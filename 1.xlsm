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6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7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/>
  <workbookPr autoCompressPictures="0"/>
  <mc:AlternateContent xmlns:mc="http://schemas.openxmlformats.org/markup-compatibility/2006">
    <mc:Choice Requires="x15">
      <x15ac:absPath xmlns:x15ac="http://schemas.microsoft.com/office/spreadsheetml/2010/11/ac" url="D:\Learn\Risk\Market\"/>
    </mc:Choice>
  </mc:AlternateContent>
  <xr:revisionPtr revIDLastSave="0" documentId="13_ncr:1_{FBCC3AC4-13DC-4198-862B-5E2B4C7217AC}" xr6:coauthVersionLast="47" xr6:coauthVersionMax="47" xr10:uidLastSave="{00000000-0000-0000-0000-000000000000}"/>
  <bookViews>
    <workbookView xWindow="-108" yWindow="-108" windowWidth="23256" windowHeight="12456" tabRatio="926" activeTab="5" xr2:uid="{00000000-000D-0000-FFFF-FFFF00000000}"/>
  </bookViews>
  <sheets>
    <sheet name="Percentile" sheetId="23" r:id="rId1"/>
    <sheet name="Data" sheetId="1" r:id="rId2"/>
    <sheet name="$ Portfolio Loss" sheetId="13" r:id="rId3"/>
    <sheet name="$ Portfolio VaR" sheetId="10" r:id="rId4"/>
    <sheet name="$ Normal VaR" sheetId="16" r:id="rId5"/>
    <sheet name="$ t VaR" sheetId="18" r:id="rId6"/>
    <sheet name="$ Weighted VaR" sheetId="20" r:id="rId7"/>
    <sheet name="Parm VaR Eq Weights" sheetId="21" r:id="rId8"/>
    <sheet name="Parm VaR  EWMA" sheetId="22" r:id="rId9"/>
    <sheet name="$ VaR Vol Adjust" sheetId="24" r:id="rId10"/>
  </sheets>
  <calcPr calcId="191029" iterate="1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7" i="21" l="1"/>
  <c r="AC29" i="22"/>
  <c r="I23" i="18"/>
  <c r="J23" i="18" s="1"/>
  <c r="J24" i="18"/>
  <c r="J25" i="18"/>
  <c r="J26" i="18"/>
  <c r="J27" i="18"/>
  <c r="J28" i="18"/>
  <c r="J29" i="18"/>
  <c r="J30" i="18"/>
  <c r="J31" i="18"/>
  <c r="J32" i="18"/>
  <c r="J33" i="18"/>
  <c r="J34" i="18"/>
  <c r="J35" i="18"/>
  <c r="J36" i="18"/>
  <c r="J37" i="18"/>
  <c r="J38" i="18"/>
  <c r="J39" i="18"/>
  <c r="J40" i="18"/>
  <c r="J41" i="18"/>
  <c r="J42" i="18"/>
  <c r="J19" i="18"/>
  <c r="E502" i="21"/>
  <c r="E501" i="21"/>
  <c r="E500" i="21"/>
  <c r="E499" i="21"/>
  <c r="E498" i="21"/>
  <c r="E497" i="21"/>
  <c r="E496" i="21"/>
  <c r="E495" i="21"/>
  <c r="E494" i="21"/>
  <c r="E493" i="21"/>
  <c r="E492" i="21"/>
  <c r="E491" i="21"/>
  <c r="E490" i="21"/>
  <c r="E489" i="21"/>
  <c r="E488" i="21"/>
  <c r="E487" i="21"/>
  <c r="E486" i="21"/>
  <c r="E485" i="21"/>
  <c r="N504" i="20"/>
  <c r="O504" i="20" s="1"/>
  <c r="P504" i="20" s="1"/>
  <c r="M504" i="20"/>
  <c r="N503" i="20"/>
  <c r="O503" i="20" s="1"/>
  <c r="P503" i="20" s="1"/>
  <c r="M503" i="20"/>
  <c r="N502" i="20"/>
  <c r="O502" i="20" s="1"/>
  <c r="P502" i="20" s="1"/>
  <c r="M502" i="20"/>
  <c r="N501" i="20"/>
  <c r="O501" i="20" s="1"/>
  <c r="P501" i="20" s="1"/>
  <c r="M501" i="20"/>
  <c r="N500" i="20"/>
  <c r="O500" i="20" s="1"/>
  <c r="P500" i="20" s="1"/>
  <c r="M500" i="20"/>
  <c r="N499" i="20"/>
  <c r="O499" i="20" s="1"/>
  <c r="P499" i="20" s="1"/>
  <c r="M499" i="20"/>
  <c r="N498" i="20"/>
  <c r="O498" i="20" s="1"/>
  <c r="P498" i="20" s="1"/>
  <c r="M498" i="20"/>
  <c r="N497" i="20"/>
  <c r="O497" i="20" s="1"/>
  <c r="P497" i="20" s="1"/>
  <c r="M497" i="20"/>
  <c r="N496" i="20"/>
  <c r="O496" i="20" s="1"/>
  <c r="P496" i="20" s="1"/>
  <c r="M496" i="20"/>
  <c r="N495" i="20"/>
  <c r="O495" i="20" s="1"/>
  <c r="P495" i="20" s="1"/>
  <c r="M495" i="20"/>
  <c r="N494" i="20"/>
  <c r="O494" i="20" s="1"/>
  <c r="P494" i="20" s="1"/>
  <c r="M494" i="20"/>
  <c r="N493" i="20"/>
  <c r="O493" i="20" s="1"/>
  <c r="P493" i="20" s="1"/>
  <c r="M493" i="20"/>
  <c r="N492" i="20"/>
  <c r="O492" i="20" s="1"/>
  <c r="P492" i="20" s="1"/>
  <c r="M492" i="20"/>
  <c r="N491" i="20"/>
  <c r="O491" i="20" s="1"/>
  <c r="P491" i="20" s="1"/>
  <c r="M491" i="20"/>
  <c r="N490" i="20"/>
  <c r="O490" i="20" s="1"/>
  <c r="P490" i="20" s="1"/>
  <c r="M490" i="20"/>
  <c r="N489" i="20"/>
  <c r="O489" i="20" s="1"/>
  <c r="P489" i="20" s="1"/>
  <c r="M489" i="20"/>
  <c r="N488" i="20"/>
  <c r="O488" i="20" s="1"/>
  <c r="P488" i="20" s="1"/>
  <c r="M488" i="20"/>
  <c r="N487" i="20"/>
  <c r="O487" i="20" s="1"/>
  <c r="P487" i="20" s="1"/>
  <c r="M487" i="20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D9" i="13"/>
  <c r="AD8" i="13"/>
  <c r="AD7" i="13"/>
  <c r="AD6" i="13"/>
  <c r="J175" i="1"/>
  <c r="L502" i="1"/>
  <c r="L501" i="1"/>
  <c r="L500" i="1"/>
  <c r="L499" i="1"/>
  <c r="L498" i="1"/>
  <c r="L497" i="1"/>
  <c r="L496" i="1"/>
  <c r="L495" i="1"/>
  <c r="M497" i="13" s="1"/>
  <c r="L494" i="1"/>
  <c r="L493" i="1"/>
  <c r="L492" i="1"/>
  <c r="L491" i="1"/>
  <c r="L490" i="1"/>
  <c r="L489" i="1"/>
  <c r="L488" i="1"/>
  <c r="L487" i="1"/>
  <c r="M489" i="13" s="1"/>
  <c r="L486" i="1"/>
  <c r="L485" i="1"/>
  <c r="L484" i="1"/>
  <c r="L483" i="1"/>
  <c r="L482" i="1"/>
  <c r="L481" i="1"/>
  <c r="L480" i="1"/>
  <c r="L479" i="1"/>
  <c r="L478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50" i="1"/>
  <c r="L449" i="1"/>
  <c r="L448" i="1"/>
  <c r="L447" i="1"/>
  <c r="L446" i="1"/>
  <c r="L445" i="1"/>
  <c r="L444" i="1"/>
  <c r="L443" i="1"/>
  <c r="L442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L383" i="1"/>
  <c r="L382" i="1"/>
  <c r="L381" i="1"/>
  <c r="L380" i="1"/>
  <c r="L379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L2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M504" i="13"/>
  <c r="M503" i="13"/>
  <c r="M502" i="13"/>
  <c r="M501" i="13"/>
  <c r="M500" i="13"/>
  <c r="M499" i="13"/>
  <c r="M498" i="13"/>
  <c r="M496" i="13"/>
  <c r="M495" i="13"/>
  <c r="M494" i="13"/>
  <c r="M493" i="13"/>
  <c r="M492" i="13"/>
  <c r="M491" i="13"/>
  <c r="M490" i="13"/>
  <c r="M488" i="13"/>
  <c r="M487" i="13"/>
  <c r="C8" i="13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C6" i="13" s="1"/>
  <c r="F2" i="1"/>
  <c r="C5" i="13"/>
  <c r="J5" i="13" l="1"/>
  <c r="K5" i="13"/>
  <c r="L5" i="13"/>
  <c r="M5" i="20"/>
  <c r="B9" i="13"/>
  <c r="J6" i="13"/>
  <c r="K7" i="13"/>
  <c r="K6" i="13"/>
  <c r="L6" i="13"/>
  <c r="J7" i="13"/>
  <c r="J8" i="13"/>
  <c r="L9" i="13"/>
  <c r="J9" i="13"/>
  <c r="M9" i="13"/>
  <c r="J10" i="13"/>
  <c r="L10" i="13"/>
  <c r="J11" i="13"/>
  <c r="J12" i="13"/>
  <c r="M12" i="13"/>
  <c r="J13" i="13"/>
  <c r="K13" i="13"/>
  <c r="J14" i="13"/>
  <c r="J15" i="13"/>
  <c r="K15" i="13"/>
  <c r="L15" i="13"/>
  <c r="J16" i="13"/>
  <c r="L16" i="13"/>
  <c r="M17" i="13"/>
  <c r="J17" i="13"/>
  <c r="J18" i="13"/>
  <c r="M18" i="13"/>
  <c r="J19" i="13"/>
  <c r="C18" i="21"/>
  <c r="M19" i="13"/>
  <c r="J20" i="13"/>
  <c r="M20" i="13"/>
  <c r="J21" i="13"/>
  <c r="K22" i="13"/>
  <c r="K21" i="13"/>
  <c r="J22" i="13"/>
  <c r="L23" i="13"/>
  <c r="M22" i="13"/>
  <c r="J23" i="13"/>
  <c r="K23" i="13"/>
  <c r="J24" i="13"/>
  <c r="J25" i="13"/>
  <c r="M25" i="13"/>
  <c r="J26" i="13"/>
  <c r="L26" i="13"/>
  <c r="M26" i="13"/>
  <c r="J27" i="13"/>
  <c r="D25" i="21"/>
  <c r="C26" i="22" s="1"/>
  <c r="M27" i="13"/>
  <c r="J28" i="13"/>
  <c r="M28" i="13"/>
  <c r="J29" i="13"/>
  <c r="K30" i="20"/>
  <c r="J30" i="13"/>
  <c r="L30" i="20"/>
  <c r="J31" i="13"/>
  <c r="J32" i="13"/>
  <c r="K32" i="13"/>
  <c r="M33" i="13"/>
  <c r="J33" i="13"/>
  <c r="D31" i="21"/>
  <c r="C32" i="22" s="1"/>
  <c r="J34" i="13"/>
  <c r="M34" i="13"/>
  <c r="J35" i="13"/>
  <c r="M35" i="13"/>
  <c r="J36" i="13"/>
  <c r="C35" i="21"/>
  <c r="B36" i="22" s="1"/>
  <c r="L36" i="13"/>
  <c r="M36" i="13"/>
  <c r="J37" i="13"/>
  <c r="J38" i="13"/>
  <c r="K39" i="13"/>
  <c r="D36" i="21"/>
  <c r="C37" i="22" s="1"/>
  <c r="M38" i="13"/>
  <c r="J39" i="13"/>
  <c r="J40" i="13"/>
  <c r="L41" i="13"/>
  <c r="M41" i="13"/>
  <c r="J41" i="13"/>
  <c r="J42" i="13"/>
  <c r="L42" i="13"/>
  <c r="M42" i="13"/>
  <c r="J43" i="13"/>
  <c r="J44" i="13"/>
  <c r="C43" i="21"/>
  <c r="B44" i="22" s="1"/>
  <c r="M44" i="13"/>
  <c r="J45" i="13"/>
  <c r="J46" i="13"/>
  <c r="K47" i="13"/>
  <c r="J47" i="13"/>
  <c r="J48" i="13"/>
  <c r="K48" i="13"/>
  <c r="M49" i="13"/>
  <c r="J49" i="13"/>
  <c r="J50" i="13"/>
  <c r="M51" i="13"/>
  <c r="J51" i="13"/>
  <c r="J52" i="13"/>
  <c r="L52" i="13"/>
  <c r="M52" i="13"/>
  <c r="J53" i="13"/>
  <c r="J54" i="13"/>
  <c r="M54" i="13"/>
  <c r="J55" i="13"/>
  <c r="J56" i="13"/>
  <c r="J57" i="13"/>
  <c r="D55" i="21"/>
  <c r="C56" i="22" s="1"/>
  <c r="L57" i="13"/>
  <c r="M57" i="13"/>
  <c r="J58" i="13"/>
  <c r="J59" i="13"/>
  <c r="L59" i="13"/>
  <c r="M59" i="13"/>
  <c r="J60" i="13"/>
  <c r="J61" i="13"/>
  <c r="J62" i="13"/>
  <c r="K62" i="13"/>
  <c r="L63" i="13"/>
  <c r="J63" i="13"/>
  <c r="J64" i="13"/>
  <c r="D63" i="21"/>
  <c r="C64" i="22" s="1"/>
  <c r="L64" i="13"/>
  <c r="M65" i="13"/>
  <c r="J65" i="13"/>
  <c r="J66" i="13"/>
  <c r="D64" i="21"/>
  <c r="C65" i="22" s="1"/>
  <c r="M66" i="13"/>
  <c r="J67" i="13"/>
  <c r="M67" i="13"/>
  <c r="J68" i="13"/>
  <c r="K69" i="13"/>
  <c r="K68" i="13"/>
  <c r="J69" i="13"/>
  <c r="M69" i="13"/>
  <c r="J70" i="13"/>
  <c r="L71" i="13"/>
  <c r="M70" i="13"/>
  <c r="J71" i="13"/>
  <c r="J72" i="13"/>
  <c r="K72" i="13"/>
  <c r="L72" i="13"/>
  <c r="J73" i="13"/>
  <c r="M73" i="13"/>
  <c r="J74" i="13"/>
  <c r="J75" i="13"/>
  <c r="J76" i="13"/>
  <c r="J77" i="13"/>
  <c r="L77" i="13"/>
  <c r="M77" i="13"/>
  <c r="J78" i="13"/>
  <c r="J79" i="13"/>
  <c r="L79" i="13"/>
  <c r="J80" i="13"/>
  <c r="D79" i="21"/>
  <c r="C80" i="22" s="1"/>
  <c r="L80" i="13"/>
  <c r="J81" i="13"/>
  <c r="C80" i="21"/>
  <c r="B81" i="22" s="1"/>
  <c r="J82" i="13"/>
  <c r="M82" i="13"/>
  <c r="J83" i="13"/>
  <c r="M83" i="13"/>
  <c r="J84" i="13"/>
  <c r="K84" i="13"/>
  <c r="J85" i="13"/>
  <c r="K85" i="13"/>
  <c r="J86" i="13"/>
  <c r="J87" i="13"/>
  <c r="J88" i="13"/>
  <c r="J89" i="13"/>
  <c r="M89" i="13"/>
  <c r="J90" i="13"/>
  <c r="M90" i="13"/>
  <c r="J91" i="13"/>
  <c r="J92" i="13"/>
  <c r="J93" i="13"/>
  <c r="J94" i="13"/>
  <c r="L94" i="13"/>
  <c r="J95" i="13"/>
  <c r="L95" i="13"/>
  <c r="M96" i="13"/>
  <c r="J96" i="13"/>
  <c r="K96" i="13"/>
  <c r="J97" i="13"/>
  <c r="D95" i="21"/>
  <c r="C96" i="22" s="1"/>
  <c r="L97" i="13"/>
  <c r="M97" i="13"/>
  <c r="J98" i="13"/>
  <c r="M99" i="13"/>
  <c r="J99" i="13"/>
  <c r="J100" i="13"/>
  <c r="L100" i="13"/>
  <c r="J101" i="13"/>
  <c r="L101" i="13"/>
  <c r="J102" i="13"/>
  <c r="K102" i="13"/>
  <c r="M102" i="13"/>
  <c r="J103" i="13"/>
  <c r="L103" i="13"/>
  <c r="J104" i="13"/>
  <c r="K104" i="13"/>
  <c r="L104" i="13"/>
  <c r="J105" i="13"/>
  <c r="K105" i="13"/>
  <c r="M105" i="13"/>
  <c r="J106" i="13"/>
  <c r="L107" i="13"/>
  <c r="L106" i="13"/>
  <c r="J107" i="13"/>
  <c r="M107" i="13"/>
  <c r="J108" i="13"/>
  <c r="L108" i="13"/>
  <c r="M109" i="13"/>
  <c r="J109" i="13"/>
  <c r="J110" i="13"/>
  <c r="M110" i="13"/>
  <c r="J111" i="13"/>
  <c r="L111" i="13"/>
  <c r="J112" i="13"/>
  <c r="K112" i="13"/>
  <c r="J113" i="13"/>
  <c r="C111" i="21"/>
  <c r="B112" i="22" s="1"/>
  <c r="L113" i="13"/>
  <c r="J114" i="13"/>
  <c r="J115" i="13"/>
  <c r="L115" i="13"/>
  <c r="M115" i="13"/>
  <c r="J116" i="13"/>
  <c r="M116" i="13"/>
  <c r="J117" i="13"/>
  <c r="J118" i="13"/>
  <c r="J119" i="13"/>
  <c r="J120" i="13"/>
  <c r="K121" i="13"/>
  <c r="D119" i="21"/>
  <c r="C120" i="22" s="1"/>
  <c r="J121" i="13"/>
  <c r="J122" i="13"/>
  <c r="K122" i="13"/>
  <c r="D120" i="21"/>
  <c r="C121" i="22" s="1"/>
  <c r="J123" i="13"/>
  <c r="J124" i="13"/>
  <c r="L124" i="13"/>
  <c r="J125" i="13"/>
  <c r="K125" i="13"/>
  <c r="D124" i="21"/>
  <c r="C125" i="22" s="1"/>
  <c r="M125" i="13"/>
  <c r="J126" i="13"/>
  <c r="J127" i="13"/>
  <c r="L128" i="13"/>
  <c r="M127" i="13"/>
  <c r="J128" i="13"/>
  <c r="K128" i="13"/>
  <c r="J129" i="13"/>
  <c r="K129" i="13"/>
  <c r="L129" i="13"/>
  <c r="J130" i="13"/>
  <c r="M130" i="13"/>
  <c r="J131" i="13"/>
  <c r="L131" i="13"/>
  <c r="J132" i="13"/>
  <c r="J133" i="13"/>
  <c r="L133" i="13"/>
  <c r="J134" i="13"/>
  <c r="L134" i="13"/>
  <c r="J135" i="13"/>
  <c r="M135" i="13"/>
  <c r="J136" i="13"/>
  <c r="K137" i="13"/>
  <c r="L136" i="13"/>
  <c r="J137" i="13"/>
  <c r="J138" i="13"/>
  <c r="M138" i="13"/>
  <c r="J139" i="13"/>
  <c r="J140" i="13"/>
  <c r="C138" i="21"/>
  <c r="B139" i="22" s="1"/>
  <c r="J141" i="13"/>
  <c r="M141" i="13"/>
  <c r="J142" i="13"/>
  <c r="J143" i="13"/>
  <c r="L143" i="13"/>
  <c r="M143" i="13"/>
  <c r="J144" i="13"/>
  <c r="M144" i="13"/>
  <c r="J145" i="13"/>
  <c r="J146" i="13"/>
  <c r="J147" i="13"/>
  <c r="C146" i="21"/>
  <c r="B147" i="22" s="1"/>
  <c r="J148" i="13"/>
  <c r="M148" i="13"/>
  <c r="J149" i="13"/>
  <c r="K149" i="13"/>
  <c r="M149" i="13"/>
  <c r="J150" i="13"/>
  <c r="M150" i="13"/>
  <c r="J151" i="13"/>
  <c r="J152" i="13"/>
  <c r="D151" i="21"/>
  <c r="C152" i="22" s="1"/>
  <c r="M152" i="13"/>
  <c r="J153" i="13"/>
  <c r="M153" i="13"/>
  <c r="J154" i="13"/>
  <c r="K154" i="13"/>
  <c r="D152" i="21"/>
  <c r="C153" i="22" s="1"/>
  <c r="J155" i="13"/>
  <c r="K156" i="13"/>
  <c r="K155" i="13"/>
  <c r="J156" i="13"/>
  <c r="L157" i="13"/>
  <c r="L156" i="13"/>
  <c r="M156" i="13"/>
  <c r="J157" i="13"/>
  <c r="L158" i="13"/>
  <c r="M157" i="13"/>
  <c r="J158" i="13"/>
  <c r="K158" i="13"/>
  <c r="M158" i="13"/>
  <c r="J159" i="13"/>
  <c r="J160" i="13"/>
  <c r="L160" i="13"/>
  <c r="J161" i="13"/>
  <c r="K161" i="13"/>
  <c r="J162" i="13"/>
  <c r="K162" i="13"/>
  <c r="D160" i="21"/>
  <c r="C161" i="22" s="1"/>
  <c r="L162" i="13"/>
  <c r="M162" i="13"/>
  <c r="J163" i="13"/>
  <c r="J164" i="13"/>
  <c r="M164" i="13"/>
  <c r="J165" i="13"/>
  <c r="J166" i="13"/>
  <c r="J167" i="13"/>
  <c r="J168" i="13"/>
  <c r="C167" i="21"/>
  <c r="B168" i="22" s="1"/>
  <c r="M169" i="13"/>
  <c r="J169" i="13"/>
  <c r="L169" i="13"/>
  <c r="J170" i="13"/>
  <c r="M170" i="13"/>
  <c r="J171" i="13"/>
  <c r="M171" i="13"/>
  <c r="J172" i="13"/>
  <c r="M172" i="13"/>
  <c r="J173" i="13"/>
  <c r="M173" i="13"/>
  <c r="J174" i="13"/>
  <c r="D172" i="21"/>
  <c r="C173" i="22" s="1"/>
  <c r="J175" i="13"/>
  <c r="J176" i="13"/>
  <c r="L176" i="13"/>
  <c r="J177" i="13"/>
  <c r="M177" i="13"/>
  <c r="J178" i="13"/>
  <c r="L178" i="13"/>
  <c r="M178" i="13"/>
  <c r="J179" i="13"/>
  <c r="J180" i="13"/>
  <c r="M180" i="13"/>
  <c r="J181" i="13"/>
  <c r="D180" i="21"/>
  <c r="C181" i="22" s="1"/>
  <c r="M181" i="13"/>
  <c r="J182" i="13"/>
  <c r="J183" i="13"/>
  <c r="L184" i="13"/>
  <c r="E181" i="21"/>
  <c r="D182" i="22" s="1"/>
  <c r="J184" i="13"/>
  <c r="K184" i="13"/>
  <c r="J185" i="13"/>
  <c r="L185" i="13"/>
  <c r="M185" i="13"/>
  <c r="J186" i="13"/>
  <c r="M186" i="13"/>
  <c r="J187" i="13"/>
  <c r="L187" i="13"/>
  <c r="J188" i="13"/>
  <c r="J189" i="13"/>
  <c r="J190" i="13"/>
  <c r="K190" i="13"/>
  <c r="D188" i="21"/>
  <c r="C189" i="22" s="1"/>
  <c r="J191" i="13"/>
  <c r="J192" i="13"/>
  <c r="K192" i="13"/>
  <c r="D190" i="21"/>
  <c r="C191" i="22" s="1"/>
  <c r="J193" i="13"/>
  <c r="K193" i="13"/>
  <c r="J194" i="13"/>
  <c r="J195" i="13"/>
  <c r="M195" i="13"/>
  <c r="J196" i="13"/>
  <c r="M196" i="13"/>
  <c r="J197" i="13"/>
  <c r="D196" i="21"/>
  <c r="C197" i="22" s="1"/>
  <c r="J198" i="13"/>
  <c r="J199" i="13"/>
  <c r="L199" i="13"/>
  <c r="M199" i="13"/>
  <c r="J200" i="13"/>
  <c r="M200" i="13"/>
  <c r="J201" i="13"/>
  <c r="J202" i="13"/>
  <c r="J203" i="13"/>
  <c r="M203" i="13"/>
  <c r="J204" i="13"/>
  <c r="M204" i="13"/>
  <c r="J205" i="13"/>
  <c r="L205" i="13"/>
  <c r="J206" i="13"/>
  <c r="K206" i="13"/>
  <c r="E205" i="21"/>
  <c r="D206" i="22" s="1"/>
  <c r="J207" i="13"/>
  <c r="K207" i="13"/>
  <c r="J208" i="13"/>
  <c r="M208" i="13"/>
  <c r="J209" i="13"/>
  <c r="M209" i="13"/>
  <c r="J210" i="13"/>
  <c r="M210" i="13"/>
  <c r="J211" i="13"/>
  <c r="M211" i="13"/>
  <c r="J212" i="13"/>
  <c r="D210" i="21"/>
  <c r="C211" i="22" s="1"/>
  <c r="J213" i="13"/>
  <c r="M213" i="13"/>
  <c r="J214" i="13"/>
  <c r="K214" i="13"/>
  <c r="D212" i="21"/>
  <c r="C213" i="22" s="1"/>
  <c r="M214" i="13"/>
  <c r="J215" i="13"/>
  <c r="J216" i="13"/>
  <c r="L216" i="13"/>
  <c r="M216" i="13"/>
  <c r="J217" i="13"/>
  <c r="J218" i="13"/>
  <c r="J219" i="13"/>
  <c r="L219" i="13"/>
  <c r="J220" i="13"/>
  <c r="J221" i="13"/>
  <c r="D220" i="21"/>
  <c r="C221" i="22" s="1"/>
  <c r="M221" i="13"/>
  <c r="J222" i="13"/>
  <c r="K222" i="13"/>
  <c r="J223" i="13"/>
  <c r="L223" i="13"/>
  <c r="J224" i="13"/>
  <c r="K224" i="13"/>
  <c r="M224" i="13"/>
  <c r="J225" i="13"/>
  <c r="L225" i="13"/>
  <c r="M226" i="13"/>
  <c r="J226" i="13"/>
  <c r="K226" i="13"/>
  <c r="L226" i="13"/>
  <c r="J227" i="13"/>
  <c r="M227" i="13"/>
  <c r="J228" i="13"/>
  <c r="D226" i="21"/>
  <c r="C227" i="22" s="1"/>
  <c r="M228" i="13"/>
  <c r="J229" i="13"/>
  <c r="J230" i="13"/>
  <c r="M230" i="13"/>
  <c r="J231" i="13"/>
  <c r="J232" i="13"/>
  <c r="J233" i="13"/>
  <c r="J234" i="13"/>
  <c r="J235" i="13"/>
  <c r="L235" i="13"/>
  <c r="J236" i="13"/>
  <c r="M236" i="13"/>
  <c r="J237" i="13"/>
  <c r="M237" i="13"/>
  <c r="J238" i="13"/>
  <c r="D236" i="21"/>
  <c r="C237" i="22" s="1"/>
  <c r="M238" i="13"/>
  <c r="J239" i="13"/>
  <c r="J240" i="13"/>
  <c r="K240" i="13"/>
  <c r="J241" i="13"/>
  <c r="M241" i="13"/>
  <c r="J242" i="13"/>
  <c r="K242" i="13"/>
  <c r="L243" i="13"/>
  <c r="L242" i="13"/>
  <c r="J243" i="13"/>
  <c r="J244" i="13"/>
  <c r="L244" i="13"/>
  <c r="M244" i="13"/>
  <c r="J245" i="13"/>
  <c r="J246" i="13"/>
  <c r="M246" i="13"/>
  <c r="J247" i="13"/>
  <c r="K247" i="13"/>
  <c r="J248" i="13"/>
  <c r="J249" i="13"/>
  <c r="K249" i="13"/>
  <c r="J250" i="13"/>
  <c r="J251" i="13"/>
  <c r="L252" i="13"/>
  <c r="L251" i="13"/>
  <c r="M251" i="13"/>
  <c r="J252" i="13"/>
  <c r="M252" i="13"/>
  <c r="J253" i="13"/>
  <c r="M253" i="13"/>
  <c r="J254" i="13"/>
  <c r="J255" i="13"/>
  <c r="M255" i="13"/>
  <c r="J256" i="13"/>
  <c r="L256" i="13"/>
  <c r="J257" i="13"/>
  <c r="K257" i="13"/>
  <c r="J258" i="13"/>
  <c r="K258" i="13"/>
  <c r="D257" i="21"/>
  <c r="C258" i="22" s="1"/>
  <c r="M258" i="13"/>
  <c r="J259" i="13"/>
  <c r="M259" i="13"/>
  <c r="J260" i="13"/>
  <c r="L260" i="13"/>
  <c r="J261" i="13"/>
  <c r="M261" i="13"/>
  <c r="J262" i="13"/>
  <c r="J263" i="13"/>
  <c r="J264" i="13"/>
  <c r="J265" i="13"/>
  <c r="K265" i="13"/>
  <c r="L265" i="13"/>
  <c r="M265" i="13"/>
  <c r="J266" i="13"/>
  <c r="M266" i="13"/>
  <c r="J267" i="13"/>
  <c r="L268" i="13"/>
  <c r="J268" i="13"/>
  <c r="J269" i="13"/>
  <c r="L269" i="13"/>
  <c r="J270" i="13"/>
  <c r="M270" i="13"/>
  <c r="J271" i="13"/>
  <c r="J272" i="13"/>
  <c r="J273" i="13"/>
  <c r="K273" i="13"/>
  <c r="J274" i="13"/>
  <c r="K274" i="13"/>
  <c r="M274" i="13"/>
  <c r="J275" i="13"/>
  <c r="J276" i="13"/>
  <c r="D274" i="21"/>
  <c r="C275" i="22" s="1"/>
  <c r="M276" i="13"/>
  <c r="J277" i="13"/>
  <c r="K277" i="13"/>
  <c r="M277" i="13"/>
  <c r="J278" i="13"/>
  <c r="M278" i="13"/>
  <c r="J279" i="13"/>
  <c r="J280" i="13"/>
  <c r="C278" i="21"/>
  <c r="B279" i="22" s="1"/>
  <c r="J281" i="13"/>
  <c r="M281" i="13"/>
  <c r="J282" i="13"/>
  <c r="M282" i="13"/>
  <c r="J283" i="13"/>
  <c r="L284" i="13"/>
  <c r="J284" i="13"/>
  <c r="K284" i="13"/>
  <c r="M284" i="13"/>
  <c r="J285" i="13"/>
  <c r="K285" i="13"/>
  <c r="D283" i="21"/>
  <c r="C284" i="22" s="1"/>
  <c r="M285" i="13"/>
  <c r="J286" i="13"/>
  <c r="M286" i="13"/>
  <c r="J287" i="13"/>
  <c r="K287" i="13"/>
  <c r="D286" i="21"/>
  <c r="C287" i="22" s="1"/>
  <c r="J288" i="13"/>
  <c r="M288" i="13"/>
  <c r="J289" i="13"/>
  <c r="K289" i="13"/>
  <c r="L289" i="13"/>
  <c r="J290" i="13"/>
  <c r="K290" i="13"/>
  <c r="M290" i="13"/>
  <c r="J291" i="13"/>
  <c r="L291" i="13"/>
  <c r="M291" i="13"/>
  <c r="J292" i="13"/>
  <c r="J293" i="13"/>
  <c r="L293" i="13"/>
  <c r="M293" i="13"/>
  <c r="J294" i="13"/>
  <c r="M294" i="13"/>
  <c r="J295" i="13"/>
  <c r="J296" i="13"/>
  <c r="D295" i="21"/>
  <c r="C296" i="22" s="1"/>
  <c r="M296" i="13"/>
  <c r="J297" i="13"/>
  <c r="K297" i="13"/>
  <c r="J298" i="13"/>
  <c r="D296" i="21"/>
  <c r="C297" i="22" s="1"/>
  <c r="J299" i="13"/>
  <c r="M299" i="13"/>
  <c r="J300" i="13"/>
  <c r="K300" i="13"/>
  <c r="L300" i="13"/>
  <c r="M300" i="13"/>
  <c r="J301" i="13"/>
  <c r="M301" i="13"/>
  <c r="J302" i="13"/>
  <c r="L302" i="13"/>
  <c r="J303" i="13"/>
  <c r="K303" i="13"/>
  <c r="M303" i="13"/>
  <c r="J304" i="13"/>
  <c r="K304" i="13"/>
  <c r="D302" i="21"/>
  <c r="C303" i="22" s="1"/>
  <c r="M305" i="13"/>
  <c r="J305" i="13"/>
  <c r="J306" i="13"/>
  <c r="L306" i="13"/>
  <c r="M306" i="13"/>
  <c r="J307" i="13"/>
  <c r="D306" i="21"/>
  <c r="C307" i="22" s="1"/>
  <c r="M307" i="13"/>
  <c r="J308" i="13"/>
  <c r="J309" i="13"/>
  <c r="M309" i="13"/>
  <c r="J310" i="13"/>
  <c r="J311" i="13"/>
  <c r="L311" i="13"/>
  <c r="J312" i="13"/>
  <c r="L312" i="13"/>
  <c r="M312" i="13"/>
  <c r="J313" i="13"/>
  <c r="M313" i="13"/>
  <c r="J314" i="13"/>
  <c r="J315" i="13"/>
  <c r="K315" i="13"/>
  <c r="M315" i="13"/>
  <c r="J316" i="13"/>
  <c r="J317" i="13"/>
  <c r="K317" i="13"/>
  <c r="J318" i="13"/>
  <c r="K318" i="13"/>
  <c r="J319" i="13"/>
  <c r="K319" i="13"/>
  <c r="J320" i="13"/>
  <c r="K320" i="13"/>
  <c r="J321" i="13"/>
  <c r="D319" i="21"/>
  <c r="C320" i="22" s="1"/>
  <c r="M321" i="13"/>
  <c r="J322" i="13"/>
  <c r="K322" i="13"/>
  <c r="M322" i="13"/>
  <c r="J323" i="13"/>
  <c r="M323" i="13"/>
  <c r="J324" i="13"/>
  <c r="L324" i="13"/>
  <c r="M324" i="13"/>
  <c r="J325" i="13"/>
  <c r="D324" i="21"/>
  <c r="C325" i="22" s="1"/>
  <c r="J326" i="13"/>
  <c r="K326" i="13"/>
  <c r="J327" i="13"/>
  <c r="L327" i="13"/>
  <c r="J328" i="13"/>
  <c r="M328" i="13"/>
  <c r="J329" i="13"/>
  <c r="D327" i="21"/>
  <c r="C328" i="22" s="1"/>
  <c r="M329" i="13"/>
  <c r="J330" i="13"/>
  <c r="L331" i="20"/>
  <c r="M330" i="13"/>
  <c r="J331" i="13"/>
  <c r="M331" i="13"/>
  <c r="J332" i="13"/>
  <c r="D330" i="21"/>
  <c r="C331" i="22" s="1"/>
  <c r="M332" i="13"/>
  <c r="J333" i="13"/>
  <c r="J334" i="13"/>
  <c r="K334" i="13"/>
  <c r="M334" i="13"/>
  <c r="J335" i="13"/>
  <c r="J336" i="13"/>
  <c r="L336" i="13"/>
  <c r="J337" i="13"/>
  <c r="M337" i="13"/>
  <c r="J338" i="13"/>
  <c r="K338" i="13"/>
  <c r="L338" i="13"/>
  <c r="M338" i="13"/>
  <c r="J339" i="13"/>
  <c r="M339" i="13"/>
  <c r="J340" i="13"/>
  <c r="M340" i="13"/>
  <c r="J341" i="13"/>
  <c r="K341" i="13"/>
  <c r="J342" i="13"/>
  <c r="K342" i="13"/>
  <c r="J343" i="13"/>
  <c r="K343" i="13"/>
  <c r="L343" i="13"/>
  <c r="J344" i="13"/>
  <c r="J345" i="13"/>
  <c r="M345" i="13"/>
  <c r="J346" i="13"/>
  <c r="M346" i="13"/>
  <c r="J347" i="13"/>
  <c r="J348" i="13"/>
  <c r="J349" i="13"/>
  <c r="K349" i="13"/>
  <c r="J350" i="13"/>
  <c r="L350" i="13"/>
  <c r="M350" i="13"/>
  <c r="J351" i="13"/>
  <c r="M351" i="13"/>
  <c r="J352" i="13"/>
  <c r="L352" i="13"/>
  <c r="J353" i="13"/>
  <c r="D351" i="21"/>
  <c r="C352" i="22" s="1"/>
  <c r="M353" i="13"/>
  <c r="J354" i="13"/>
  <c r="M354" i="13"/>
  <c r="J355" i="13"/>
  <c r="D353" i="21"/>
  <c r="C354" i="22" s="1"/>
  <c r="M355" i="13"/>
  <c r="J356" i="13"/>
  <c r="M356" i="13"/>
  <c r="J357" i="13"/>
  <c r="K357" i="13"/>
  <c r="M357" i="13"/>
  <c r="J358" i="13"/>
  <c r="J359" i="13"/>
  <c r="K359" i="13"/>
  <c r="J360" i="13"/>
  <c r="D359" i="21"/>
  <c r="J361" i="13"/>
  <c r="J362" i="13"/>
  <c r="M363" i="13"/>
  <c r="J363" i="13"/>
  <c r="J364" i="13"/>
  <c r="M364" i="13"/>
  <c r="J365" i="13"/>
  <c r="D363" i="21"/>
  <c r="C364" i="22" s="1"/>
  <c r="M365" i="13"/>
  <c r="J366" i="13"/>
  <c r="J367" i="13"/>
  <c r="J368" i="13"/>
  <c r="M368" i="13"/>
  <c r="J369" i="13"/>
  <c r="J370" i="13"/>
  <c r="L370" i="13"/>
  <c r="M370" i="13"/>
  <c r="J371" i="13"/>
  <c r="M371" i="13"/>
  <c r="J372" i="13"/>
  <c r="L372" i="13"/>
  <c r="M372" i="13"/>
  <c r="J373" i="13"/>
  <c r="L373" i="13"/>
  <c r="M373" i="13"/>
  <c r="J374" i="13"/>
  <c r="J375" i="13"/>
  <c r="K375" i="13"/>
  <c r="L375" i="13"/>
  <c r="J376" i="13"/>
  <c r="K376" i="13"/>
  <c r="M376" i="13"/>
  <c r="J377" i="13"/>
  <c r="D375" i="21"/>
  <c r="C376" i="22" s="1"/>
  <c r="M377" i="13"/>
  <c r="J378" i="13"/>
  <c r="M378" i="13"/>
  <c r="J379" i="13"/>
  <c r="M379" i="13"/>
  <c r="J380" i="13"/>
  <c r="M380" i="13"/>
  <c r="J381" i="13"/>
  <c r="M381" i="13"/>
  <c r="J382" i="13"/>
  <c r="L383" i="13"/>
  <c r="J383" i="13"/>
  <c r="K384" i="13"/>
  <c r="M383" i="13"/>
  <c r="J384" i="13"/>
  <c r="L385" i="13"/>
  <c r="L384" i="13"/>
  <c r="J385" i="13"/>
  <c r="M385" i="13"/>
  <c r="J386" i="13"/>
  <c r="M386" i="13"/>
  <c r="J387" i="13"/>
  <c r="M387" i="13"/>
  <c r="J388" i="13"/>
  <c r="L388" i="20"/>
  <c r="M388" i="13"/>
  <c r="J389" i="13"/>
  <c r="M389" i="13"/>
  <c r="J390" i="13"/>
  <c r="K390" i="13"/>
  <c r="L390" i="20"/>
  <c r="J391" i="13"/>
  <c r="K392" i="13"/>
  <c r="J392" i="13"/>
  <c r="L392" i="13"/>
  <c r="J393" i="13"/>
  <c r="M393" i="13"/>
  <c r="J394" i="13"/>
  <c r="L394" i="13"/>
  <c r="M394" i="13"/>
  <c r="J395" i="13"/>
  <c r="J396" i="13"/>
  <c r="K396" i="13"/>
  <c r="J397" i="13"/>
  <c r="J398" i="13"/>
  <c r="K398" i="13"/>
  <c r="J399" i="13"/>
  <c r="J400" i="13"/>
  <c r="J401" i="13"/>
  <c r="K401" i="13"/>
  <c r="M401" i="13"/>
  <c r="J402" i="13"/>
  <c r="D401" i="21"/>
  <c r="C402" i="22" s="1"/>
  <c r="J403" i="13"/>
  <c r="M403" i="13"/>
  <c r="J404" i="13"/>
  <c r="M404" i="13"/>
  <c r="J405" i="13"/>
  <c r="K405" i="13"/>
  <c r="J406" i="13"/>
  <c r="K406" i="13"/>
  <c r="J407" i="13"/>
  <c r="J408" i="13"/>
  <c r="M408" i="13"/>
  <c r="J409" i="13"/>
  <c r="J410" i="13"/>
  <c r="M410" i="13"/>
  <c r="J411" i="13"/>
  <c r="J412" i="13"/>
  <c r="K413" i="13"/>
  <c r="J413" i="13"/>
  <c r="L413" i="13"/>
  <c r="J414" i="13"/>
  <c r="M414" i="13"/>
  <c r="J415" i="13"/>
  <c r="J416" i="13"/>
  <c r="L416" i="13"/>
  <c r="J417" i="13"/>
  <c r="M417" i="13"/>
  <c r="J418" i="13"/>
  <c r="D417" i="21"/>
  <c r="C418" i="22" s="1"/>
  <c r="M418" i="13"/>
  <c r="J419" i="13"/>
  <c r="K419" i="13"/>
  <c r="J420" i="13"/>
  <c r="K421" i="13"/>
  <c r="D419" i="21"/>
  <c r="C420" i="22" s="1"/>
  <c r="J421" i="13"/>
  <c r="J422" i="13"/>
  <c r="L422" i="13"/>
  <c r="J423" i="13"/>
  <c r="J424" i="13"/>
  <c r="L424" i="13"/>
  <c r="J425" i="13"/>
  <c r="J426" i="13"/>
  <c r="M426" i="13"/>
  <c r="J427" i="13"/>
  <c r="K427" i="20"/>
  <c r="M427" i="13"/>
  <c r="J428" i="13"/>
  <c r="M428" i="13"/>
  <c r="J429" i="13"/>
  <c r="J430" i="13"/>
  <c r="J431" i="13"/>
  <c r="M431" i="13"/>
  <c r="J432" i="13"/>
  <c r="K432" i="13"/>
  <c r="M432" i="13"/>
  <c r="J433" i="13"/>
  <c r="K433" i="13"/>
  <c r="L433" i="13"/>
  <c r="J434" i="13"/>
  <c r="L434" i="13"/>
  <c r="J435" i="13"/>
  <c r="M436" i="13"/>
  <c r="J436" i="13"/>
  <c r="M437" i="13"/>
  <c r="J437" i="13"/>
  <c r="L438" i="20"/>
  <c r="L437" i="13"/>
  <c r="J438" i="13"/>
  <c r="M438" i="13"/>
  <c r="J439" i="13"/>
  <c r="L439" i="13"/>
  <c r="M439" i="13"/>
  <c r="J440" i="13"/>
  <c r="J441" i="13"/>
  <c r="L441" i="13"/>
  <c r="J442" i="13"/>
  <c r="K442" i="13"/>
  <c r="M442" i="13"/>
  <c r="J443" i="13"/>
  <c r="J444" i="13"/>
  <c r="K445" i="20"/>
  <c r="M444" i="13"/>
  <c r="J445" i="13"/>
  <c r="K445" i="13"/>
  <c r="M446" i="13"/>
  <c r="J446" i="13"/>
  <c r="J447" i="13"/>
  <c r="K447" i="13"/>
  <c r="M447" i="13"/>
  <c r="J448" i="13"/>
  <c r="M448" i="13"/>
  <c r="J449" i="13"/>
  <c r="L449" i="13"/>
  <c r="J450" i="13"/>
  <c r="J451" i="13"/>
  <c r="M451" i="13"/>
  <c r="J452" i="13"/>
  <c r="K452" i="13"/>
  <c r="L452" i="13"/>
  <c r="J453" i="13"/>
  <c r="K453" i="13"/>
  <c r="J454" i="13"/>
  <c r="D452" i="21"/>
  <c r="C453" i="22" s="1"/>
  <c r="M454" i="13"/>
  <c r="J455" i="13"/>
  <c r="K455" i="13"/>
  <c r="L455" i="13"/>
  <c r="M455" i="13"/>
  <c r="J456" i="13"/>
  <c r="L456" i="20"/>
  <c r="J457" i="13"/>
  <c r="M457" i="13"/>
  <c r="J458" i="13"/>
  <c r="K458" i="13"/>
  <c r="J459" i="13"/>
  <c r="K459" i="13"/>
  <c r="J460" i="13"/>
  <c r="K461" i="13"/>
  <c r="D459" i="21"/>
  <c r="C460" i="22" s="1"/>
  <c r="M460" i="13"/>
  <c r="J461" i="13"/>
  <c r="M462" i="13"/>
  <c r="J462" i="13"/>
  <c r="D460" i="21"/>
  <c r="C461" i="22" s="1"/>
  <c r="J463" i="13"/>
  <c r="M463" i="13"/>
  <c r="J464" i="13"/>
  <c r="K464" i="13"/>
  <c r="L465" i="20"/>
  <c r="M464" i="13"/>
  <c r="J465" i="13"/>
  <c r="J466" i="13"/>
  <c r="J467" i="13"/>
  <c r="J468" i="13"/>
  <c r="L468" i="13"/>
  <c r="J469" i="13"/>
  <c r="K469" i="13"/>
  <c r="J470" i="13"/>
  <c r="K470" i="13"/>
  <c r="M470" i="13"/>
  <c r="J471" i="13"/>
  <c r="L471" i="20"/>
  <c r="J472" i="13"/>
  <c r="J473" i="13"/>
  <c r="K474" i="13"/>
  <c r="M473" i="13"/>
  <c r="J474" i="13"/>
  <c r="J475" i="13"/>
  <c r="J476" i="13"/>
  <c r="M476" i="13"/>
  <c r="J477" i="13"/>
  <c r="K477" i="13"/>
  <c r="L477" i="13"/>
  <c r="M478" i="13"/>
  <c r="J478" i="13"/>
  <c r="L478" i="13"/>
  <c r="J479" i="13"/>
  <c r="M479" i="13"/>
  <c r="J480" i="13"/>
  <c r="K480" i="13"/>
  <c r="M480" i="13"/>
  <c r="J481" i="13"/>
  <c r="D479" i="21"/>
  <c r="C480" i="22" s="1"/>
  <c r="J482" i="13"/>
  <c r="K482" i="13"/>
  <c r="M482" i="13"/>
  <c r="J483" i="13"/>
  <c r="J484" i="13"/>
  <c r="K484" i="13"/>
  <c r="L484" i="13"/>
  <c r="J485" i="13"/>
  <c r="K485" i="13"/>
  <c r="L486" i="20"/>
  <c r="J486" i="13"/>
  <c r="K486" i="13"/>
  <c r="M486" i="13"/>
  <c r="J487" i="13"/>
  <c r="C486" i="21"/>
  <c r="B487" i="22" s="1"/>
  <c r="L487" i="13"/>
  <c r="J488" i="13"/>
  <c r="J489" i="13"/>
  <c r="J490" i="13"/>
  <c r="K490" i="13"/>
  <c r="J491" i="13"/>
  <c r="K491" i="13"/>
  <c r="L491" i="13"/>
  <c r="J492" i="13"/>
  <c r="K492" i="13"/>
  <c r="J493" i="13"/>
  <c r="L493" i="13"/>
  <c r="J494" i="13"/>
  <c r="L495" i="13"/>
  <c r="J495" i="13"/>
  <c r="J496" i="13"/>
  <c r="J497" i="13"/>
  <c r="K497" i="13"/>
  <c r="J498" i="13"/>
  <c r="L499" i="20"/>
  <c r="J499" i="13"/>
  <c r="C497" i="21"/>
  <c r="B498" i="22" s="1"/>
  <c r="J500" i="13"/>
  <c r="K501" i="13"/>
  <c r="L501" i="20"/>
  <c r="J501" i="13"/>
  <c r="J502" i="13"/>
  <c r="K502" i="13"/>
  <c r="J503" i="13"/>
  <c r="D501" i="21"/>
  <c r="C502" i="22" s="1"/>
  <c r="J504" i="13"/>
  <c r="M1" i="22"/>
  <c r="E6" i="21"/>
  <c r="D7" i="22" s="1"/>
  <c r="E7" i="21"/>
  <c r="D8" i="22" s="1"/>
  <c r="E10" i="21"/>
  <c r="D11" i="22" s="1"/>
  <c r="E13" i="21"/>
  <c r="D14" i="22" s="1"/>
  <c r="E14" i="21"/>
  <c r="D15" i="22" s="1"/>
  <c r="E15" i="21"/>
  <c r="D16" i="22" s="1"/>
  <c r="E16" i="21"/>
  <c r="D17" i="22" s="1"/>
  <c r="E17" i="21"/>
  <c r="D18" i="22" s="1"/>
  <c r="E18" i="21"/>
  <c r="D19" i="22" s="1"/>
  <c r="E19" i="21"/>
  <c r="D20" i="22" s="1"/>
  <c r="E20" i="21"/>
  <c r="D21" i="22" s="1"/>
  <c r="E21" i="21"/>
  <c r="D22" i="22" s="1"/>
  <c r="E22" i="21"/>
  <c r="D23" i="22" s="1"/>
  <c r="E23" i="21"/>
  <c r="D24" i="22" s="1"/>
  <c r="E24" i="21"/>
  <c r="D25" i="22" s="1"/>
  <c r="E25" i="21"/>
  <c r="D26" i="22" s="1"/>
  <c r="E26" i="21"/>
  <c r="D27" i="22" s="1"/>
  <c r="E29" i="21"/>
  <c r="D30" i="22" s="1"/>
  <c r="E30" i="21"/>
  <c r="D31" i="22" s="1"/>
  <c r="E31" i="21"/>
  <c r="D32" i="22" s="1"/>
  <c r="E32" i="21"/>
  <c r="D33" i="22" s="1"/>
  <c r="E33" i="21"/>
  <c r="D34" i="22" s="1"/>
  <c r="E34" i="21"/>
  <c r="D35" i="22" s="1"/>
  <c r="E35" i="21"/>
  <c r="D36" i="22" s="1"/>
  <c r="E36" i="21"/>
  <c r="D37" i="22" s="1"/>
  <c r="E37" i="21"/>
  <c r="D38" i="22" s="1"/>
  <c r="E38" i="21"/>
  <c r="D39" i="22" s="1"/>
  <c r="E39" i="21"/>
  <c r="D40" i="22" s="1"/>
  <c r="E40" i="21"/>
  <c r="D41" i="22" s="1"/>
  <c r="E41" i="21"/>
  <c r="D42" i="22" s="1"/>
  <c r="E42" i="21"/>
  <c r="D43" i="22" s="1"/>
  <c r="E45" i="21"/>
  <c r="D46" i="22" s="1"/>
  <c r="E46" i="21"/>
  <c r="D47" i="22" s="1"/>
  <c r="E47" i="21"/>
  <c r="D48" i="22" s="1"/>
  <c r="E48" i="21"/>
  <c r="D49" i="22" s="1"/>
  <c r="E49" i="21"/>
  <c r="D50" i="22" s="1"/>
  <c r="E50" i="21"/>
  <c r="D51" i="22" s="1"/>
  <c r="E51" i="21"/>
  <c r="D52" i="22" s="1"/>
  <c r="E52" i="21"/>
  <c r="D53" i="22" s="1"/>
  <c r="E53" i="21"/>
  <c r="D54" i="22" s="1"/>
  <c r="E54" i="21"/>
  <c r="D55" i="22" s="1"/>
  <c r="E55" i="21"/>
  <c r="D56" i="22" s="1"/>
  <c r="E56" i="21"/>
  <c r="D57" i="22" s="1"/>
  <c r="E57" i="21"/>
  <c r="D58" i="22" s="1"/>
  <c r="E60" i="21"/>
  <c r="D61" i="22" s="1"/>
  <c r="E61" i="21"/>
  <c r="D62" i="22" s="1"/>
  <c r="E62" i="21"/>
  <c r="D63" i="22" s="1"/>
  <c r="E63" i="21"/>
  <c r="D64" i="22" s="1"/>
  <c r="E64" i="21"/>
  <c r="D65" i="22" s="1"/>
  <c r="E65" i="21"/>
  <c r="D66" i="22" s="1"/>
  <c r="E66" i="21"/>
  <c r="D67" i="22" s="1"/>
  <c r="E67" i="21"/>
  <c r="D68" i="22" s="1"/>
  <c r="E68" i="21"/>
  <c r="D69" i="22" s="1"/>
  <c r="E69" i="21"/>
  <c r="D70" i="22" s="1"/>
  <c r="E70" i="21"/>
  <c r="D71" i="22" s="1"/>
  <c r="E71" i="21"/>
  <c r="D72" i="22" s="1"/>
  <c r="E72" i="21"/>
  <c r="D73" i="22" s="1"/>
  <c r="E74" i="21"/>
  <c r="D75" i="22" s="1"/>
  <c r="E75" i="21"/>
  <c r="D76" i="22" s="1"/>
  <c r="E76" i="21"/>
  <c r="D77" i="22" s="1"/>
  <c r="E77" i="21"/>
  <c r="D78" i="22" s="1"/>
  <c r="E79" i="21"/>
  <c r="D80" i="22" s="1"/>
  <c r="E80" i="21"/>
  <c r="D81" i="22" s="1"/>
  <c r="E81" i="21"/>
  <c r="D82" i="22" s="1"/>
  <c r="E82" i="21"/>
  <c r="D83" i="22" s="1"/>
  <c r="E83" i="21"/>
  <c r="D84" i="22" s="1"/>
  <c r="E84" i="21"/>
  <c r="D85" i="22" s="1"/>
  <c r="E85" i="21"/>
  <c r="D86" i="22" s="1"/>
  <c r="E86" i="21"/>
  <c r="D87" i="22" s="1"/>
  <c r="E87" i="21"/>
  <c r="D88" i="22" s="1"/>
  <c r="E88" i="21"/>
  <c r="D89" i="22" s="1"/>
  <c r="E89" i="21"/>
  <c r="D90" i="22" s="1"/>
  <c r="E90" i="21"/>
  <c r="D91" i="22" s="1"/>
  <c r="E91" i="21"/>
  <c r="D92" i="22" s="1"/>
  <c r="E94" i="21"/>
  <c r="D95" i="22" s="1"/>
  <c r="E95" i="21"/>
  <c r="D96" i="22" s="1"/>
  <c r="E96" i="21"/>
  <c r="D97" i="22" s="1"/>
  <c r="E97" i="21"/>
  <c r="D98" i="22" s="1"/>
  <c r="E98" i="21"/>
  <c r="D99" i="22" s="1"/>
  <c r="E100" i="21"/>
  <c r="D101" i="22" s="1"/>
  <c r="E101" i="21"/>
  <c r="D102" i="22" s="1"/>
  <c r="E102" i="21"/>
  <c r="D103" i="22" s="1"/>
  <c r="E103" i="21"/>
  <c r="D104" i="22" s="1"/>
  <c r="E104" i="21"/>
  <c r="D105" i="22" s="1"/>
  <c r="E105" i="21"/>
  <c r="D106" i="22" s="1"/>
  <c r="E106" i="21"/>
  <c r="D107" i="22" s="1"/>
  <c r="E107" i="21"/>
  <c r="D108" i="22" s="1"/>
  <c r="E108" i="21"/>
  <c r="D109" i="22" s="1"/>
  <c r="E109" i="21"/>
  <c r="D110" i="22" s="1"/>
  <c r="E112" i="21"/>
  <c r="D113" i="22" s="1"/>
  <c r="E113" i="21"/>
  <c r="D114" i="22" s="1"/>
  <c r="E114" i="21"/>
  <c r="D115" i="22" s="1"/>
  <c r="E117" i="21"/>
  <c r="D118" i="22" s="1"/>
  <c r="E118" i="21"/>
  <c r="D119" i="22" s="1"/>
  <c r="E119" i="21"/>
  <c r="D120" i="22" s="1"/>
  <c r="E120" i="21"/>
  <c r="D121" i="22" s="1"/>
  <c r="E122" i="21"/>
  <c r="D123" i="22" s="1"/>
  <c r="E123" i="21"/>
  <c r="D124" i="22" s="1"/>
  <c r="E124" i="21"/>
  <c r="D125" i="22" s="1"/>
  <c r="E125" i="21"/>
  <c r="D126" i="22" s="1"/>
  <c r="E126" i="21"/>
  <c r="D127" i="22" s="1"/>
  <c r="E127" i="21"/>
  <c r="D128" i="22" s="1"/>
  <c r="E128" i="21"/>
  <c r="D129" i="22" s="1"/>
  <c r="E130" i="21"/>
  <c r="D131" i="22" s="1"/>
  <c r="E131" i="21"/>
  <c r="D132" i="22" s="1"/>
  <c r="E133" i="21"/>
  <c r="D134" i="22" s="1"/>
  <c r="E134" i="21"/>
  <c r="D135" i="22" s="1"/>
  <c r="E136" i="21"/>
  <c r="D137" i="22" s="1"/>
  <c r="E137" i="21"/>
  <c r="D138" i="22" s="1"/>
  <c r="E138" i="21"/>
  <c r="D139" i="22" s="1"/>
  <c r="E139" i="21"/>
  <c r="D140" i="22" s="1"/>
  <c r="E140" i="21"/>
  <c r="D141" i="22" s="1"/>
  <c r="E141" i="21"/>
  <c r="D142" i="22" s="1"/>
  <c r="E142" i="21"/>
  <c r="D143" i="22" s="1"/>
  <c r="E143" i="21"/>
  <c r="D144" i="22" s="1"/>
  <c r="E146" i="21"/>
  <c r="D147" i="22" s="1"/>
  <c r="E147" i="21"/>
  <c r="D148" i="22" s="1"/>
  <c r="E148" i="21"/>
  <c r="D149" i="22" s="1"/>
  <c r="E149" i="21"/>
  <c r="D150" i="22" s="1"/>
  <c r="E150" i="21"/>
  <c r="D151" i="22" s="1"/>
  <c r="E151" i="21"/>
  <c r="D152" i="22" s="1"/>
  <c r="E152" i="21"/>
  <c r="D153" i="22" s="1"/>
  <c r="E153" i="21"/>
  <c r="D154" i="22" s="1"/>
  <c r="E154" i="21"/>
  <c r="D155" i="22" s="1"/>
  <c r="E155" i="21"/>
  <c r="D156" i="22" s="1"/>
  <c r="E156" i="21"/>
  <c r="D157" i="22" s="1"/>
  <c r="E157" i="21"/>
  <c r="D158" i="22" s="1"/>
  <c r="E158" i="21"/>
  <c r="D159" i="22" s="1"/>
  <c r="E159" i="21"/>
  <c r="D160" i="22" s="1"/>
  <c r="E160" i="21"/>
  <c r="D161" i="22" s="1"/>
  <c r="E161" i="21"/>
  <c r="D162" i="22" s="1"/>
  <c r="E162" i="21"/>
  <c r="D163" i="22" s="1"/>
  <c r="E165" i="21"/>
  <c r="D166" i="22" s="1"/>
  <c r="E166" i="21"/>
  <c r="D167" i="22" s="1"/>
  <c r="E167" i="21"/>
  <c r="D168" i="22" s="1"/>
  <c r="E168" i="21"/>
  <c r="D169" i="22" s="1"/>
  <c r="E169" i="21"/>
  <c r="D170" i="22" s="1"/>
  <c r="E170" i="21"/>
  <c r="D171" i="22" s="1"/>
  <c r="E171" i="21"/>
  <c r="D172" i="22" s="1"/>
  <c r="E172" i="21"/>
  <c r="D173" i="22" s="1"/>
  <c r="E173" i="21"/>
  <c r="D174" i="22" s="1"/>
  <c r="E174" i="21"/>
  <c r="D175" i="22" s="1"/>
  <c r="E175" i="21"/>
  <c r="D176" i="22" s="1"/>
  <c r="E176" i="21"/>
  <c r="D177" i="22" s="1"/>
  <c r="E177" i="21"/>
  <c r="D178" i="22" s="1"/>
  <c r="E178" i="21"/>
  <c r="D179" i="22" s="1"/>
  <c r="E179" i="21"/>
  <c r="D180" i="22" s="1"/>
  <c r="E180" i="21"/>
  <c r="D181" i="22" s="1"/>
  <c r="E182" i="21"/>
  <c r="D183" i="22" s="1"/>
  <c r="E183" i="21"/>
  <c r="D184" i="22" s="1"/>
  <c r="E184" i="21"/>
  <c r="D185" i="22" s="1"/>
  <c r="E185" i="21"/>
  <c r="D186" i="22" s="1"/>
  <c r="E188" i="21"/>
  <c r="D189" i="22" s="1"/>
  <c r="E189" i="21"/>
  <c r="D190" i="22" s="1"/>
  <c r="E190" i="21"/>
  <c r="D191" i="22" s="1"/>
  <c r="E191" i="21"/>
  <c r="D192" i="22" s="1"/>
  <c r="E193" i="21"/>
  <c r="D194" i="22" s="1"/>
  <c r="E194" i="21"/>
  <c r="D195" i="22" s="1"/>
  <c r="E195" i="21"/>
  <c r="D196" i="22" s="1"/>
  <c r="E196" i="21"/>
  <c r="D197" i="22" s="1"/>
  <c r="E197" i="21"/>
  <c r="D198" i="22" s="1"/>
  <c r="E198" i="21"/>
  <c r="D199" i="22" s="1"/>
  <c r="E199" i="21"/>
  <c r="D200" i="22" s="1"/>
  <c r="E201" i="21"/>
  <c r="D202" i="22" s="1"/>
  <c r="E202" i="21"/>
  <c r="D203" i="22" s="1"/>
  <c r="E203" i="21"/>
  <c r="D204" i="22" s="1"/>
  <c r="E204" i="21"/>
  <c r="D205" i="22" s="1"/>
  <c r="E206" i="21"/>
  <c r="D207" i="22" s="1"/>
  <c r="E207" i="21"/>
  <c r="D208" i="22" s="1"/>
  <c r="E208" i="21"/>
  <c r="D209" i="22" s="1"/>
  <c r="E209" i="21"/>
  <c r="D210" i="22" s="1"/>
  <c r="E210" i="21"/>
  <c r="D211" i="22" s="1"/>
  <c r="E211" i="21"/>
  <c r="D212" i="22" s="1"/>
  <c r="E212" i="21"/>
  <c r="D213" i="22" s="1"/>
  <c r="E213" i="21"/>
  <c r="D214" i="22" s="1"/>
  <c r="E214" i="21"/>
  <c r="D215" i="22" s="1"/>
  <c r="E216" i="21"/>
  <c r="D217" i="22" s="1"/>
  <c r="E217" i="21"/>
  <c r="D218" i="22" s="1"/>
  <c r="E218" i="21"/>
  <c r="D219" i="22" s="1"/>
  <c r="E219" i="21"/>
  <c r="D220" i="22" s="1"/>
  <c r="E220" i="21"/>
  <c r="D221" i="22" s="1"/>
  <c r="E222" i="21"/>
  <c r="D223" i="22" s="1"/>
  <c r="E223" i="21"/>
  <c r="D224" i="22" s="1"/>
  <c r="E224" i="21"/>
  <c r="D225" i="22" s="1"/>
  <c r="E225" i="21"/>
  <c r="D226" i="22" s="1"/>
  <c r="E226" i="21"/>
  <c r="D227" i="22" s="1"/>
  <c r="E227" i="21"/>
  <c r="D228" i="22" s="1"/>
  <c r="E228" i="21"/>
  <c r="D229" i="22" s="1"/>
  <c r="E229" i="21"/>
  <c r="D230" i="22" s="1"/>
  <c r="E230" i="21"/>
  <c r="D231" i="22" s="1"/>
  <c r="E231" i="21"/>
  <c r="D232" i="22" s="1"/>
  <c r="E233" i="21"/>
  <c r="D234" i="22" s="1"/>
  <c r="E234" i="21"/>
  <c r="D235" i="22" s="1"/>
  <c r="E235" i="21"/>
  <c r="D236" i="22" s="1"/>
  <c r="E236" i="21"/>
  <c r="D237" i="22" s="1"/>
  <c r="E237" i="21"/>
  <c r="D238" i="22" s="1"/>
  <c r="E238" i="21"/>
  <c r="D239" i="22" s="1"/>
  <c r="E239" i="21"/>
  <c r="D240" i="22" s="1"/>
  <c r="E240" i="21"/>
  <c r="D241" i="22" s="1"/>
  <c r="E241" i="21"/>
  <c r="D242" i="22" s="1"/>
  <c r="E242" i="21"/>
  <c r="D243" i="22" s="1"/>
  <c r="E244" i="21"/>
  <c r="D245" i="22" s="1"/>
  <c r="E245" i="21"/>
  <c r="D246" i="22" s="1"/>
  <c r="E246" i="21"/>
  <c r="D247" i="22" s="1"/>
  <c r="E247" i="21"/>
  <c r="D248" i="22" s="1"/>
  <c r="E248" i="21"/>
  <c r="D249" i="22" s="1"/>
  <c r="E249" i="21"/>
  <c r="D250" i="22" s="1"/>
  <c r="E250" i="21"/>
  <c r="D251" i="22" s="1"/>
  <c r="E251" i="21"/>
  <c r="D252" i="22" s="1"/>
  <c r="E252" i="21"/>
  <c r="D253" i="22" s="1"/>
  <c r="E253" i="21"/>
  <c r="D254" i="22" s="1"/>
  <c r="E255" i="21"/>
  <c r="D256" i="22" s="1"/>
  <c r="E256" i="21"/>
  <c r="D257" i="22" s="1"/>
  <c r="E257" i="21"/>
  <c r="D258" i="22" s="1"/>
  <c r="E258" i="21"/>
  <c r="D259" i="22" s="1"/>
  <c r="E259" i="21"/>
  <c r="D260" i="22" s="1"/>
  <c r="E261" i="21"/>
  <c r="D262" i="22" s="1"/>
  <c r="E262" i="21"/>
  <c r="D263" i="22" s="1"/>
  <c r="E263" i="21"/>
  <c r="D264" i="22" s="1"/>
  <c r="E264" i="21"/>
  <c r="D265" i="22" s="1"/>
  <c r="E265" i="21"/>
  <c r="D266" i="22" s="1"/>
  <c r="E267" i="21"/>
  <c r="D268" i="22" s="1"/>
  <c r="E268" i="21"/>
  <c r="D269" i="22" s="1"/>
  <c r="E271" i="21"/>
  <c r="D272" i="22" s="1"/>
  <c r="E272" i="21"/>
  <c r="D273" i="22" s="1"/>
  <c r="E273" i="21"/>
  <c r="D274" i="22" s="1"/>
  <c r="E274" i="21"/>
  <c r="D275" i="22" s="1"/>
  <c r="E275" i="21"/>
  <c r="D276" i="22" s="1"/>
  <c r="E276" i="21"/>
  <c r="D277" i="22" s="1"/>
  <c r="E277" i="21"/>
  <c r="D278" i="22" s="1"/>
  <c r="E278" i="21"/>
  <c r="D279" i="22" s="1"/>
  <c r="E279" i="21"/>
  <c r="D280" i="22" s="1"/>
  <c r="E280" i="21"/>
  <c r="D281" i="22" s="1"/>
  <c r="E281" i="21"/>
  <c r="D282" i="22" s="1"/>
  <c r="E282" i="21"/>
  <c r="D283" i="22" s="1"/>
  <c r="E283" i="21"/>
  <c r="D284" i="22" s="1"/>
  <c r="E284" i="21"/>
  <c r="D285" i="22" s="1"/>
  <c r="E285" i="21"/>
  <c r="D286" i="22" s="1"/>
  <c r="E286" i="21"/>
  <c r="D287" i="22" s="1"/>
  <c r="E287" i="21"/>
  <c r="D288" i="22" s="1"/>
  <c r="E288" i="21"/>
  <c r="D289" i="22" s="1"/>
  <c r="E289" i="21"/>
  <c r="D290" i="22" s="1"/>
  <c r="E290" i="21"/>
  <c r="D291" i="22" s="1"/>
  <c r="E291" i="21"/>
  <c r="D292" i="22" s="1"/>
  <c r="E292" i="21"/>
  <c r="D293" i="22" s="1"/>
  <c r="E293" i="21"/>
  <c r="D294" i="22" s="1"/>
  <c r="E294" i="21"/>
  <c r="D295" i="22" s="1"/>
  <c r="E295" i="21"/>
  <c r="D296" i="22" s="1"/>
  <c r="E296" i="21"/>
  <c r="D297" i="22" s="1"/>
  <c r="E297" i="21"/>
  <c r="D298" i="22" s="1"/>
  <c r="E298" i="21"/>
  <c r="D299" i="22" s="1"/>
  <c r="E299" i="21"/>
  <c r="D300" i="22" s="1"/>
  <c r="E300" i="21"/>
  <c r="D301" i="22" s="1"/>
  <c r="E301" i="21"/>
  <c r="D302" i="22" s="1"/>
  <c r="E302" i="21"/>
  <c r="D303" i="22" s="1"/>
  <c r="E303" i="21"/>
  <c r="D304" i="22" s="1"/>
  <c r="E304" i="21"/>
  <c r="D305" i="22" s="1"/>
  <c r="E305" i="21"/>
  <c r="D306" i="22" s="1"/>
  <c r="E306" i="21"/>
  <c r="D307" i="22" s="1"/>
  <c r="E307" i="21"/>
  <c r="D308" i="22" s="1"/>
  <c r="E310" i="21"/>
  <c r="D311" i="22" s="1"/>
  <c r="E311" i="21"/>
  <c r="D312" i="22" s="1"/>
  <c r="E312" i="21"/>
  <c r="D313" i="22" s="1"/>
  <c r="E313" i="21"/>
  <c r="D314" i="22" s="1"/>
  <c r="E315" i="21"/>
  <c r="D316" i="22" s="1"/>
  <c r="E316" i="21"/>
  <c r="D317" i="22" s="1"/>
  <c r="E318" i="21"/>
  <c r="D319" i="22" s="1"/>
  <c r="E319" i="21"/>
  <c r="D320" i="22" s="1"/>
  <c r="E320" i="21"/>
  <c r="D321" i="22" s="1"/>
  <c r="E321" i="21"/>
  <c r="D322" i="22" s="1"/>
  <c r="E322" i="21"/>
  <c r="D323" i="22" s="1"/>
  <c r="E323" i="21"/>
  <c r="D324" i="22" s="1"/>
  <c r="E324" i="21"/>
  <c r="D325" i="22" s="1"/>
  <c r="E325" i="21"/>
  <c r="D326" i="22" s="1"/>
  <c r="E326" i="21"/>
  <c r="D327" i="22" s="1"/>
  <c r="E327" i="21"/>
  <c r="D328" i="22" s="1"/>
  <c r="E328" i="21"/>
  <c r="D329" i="22" s="1"/>
  <c r="E329" i="21"/>
  <c r="D330" i="22" s="1"/>
  <c r="E330" i="21"/>
  <c r="D331" i="22" s="1"/>
  <c r="E331" i="21"/>
  <c r="D332" i="22" s="1"/>
  <c r="E332" i="21"/>
  <c r="D333" i="22" s="1"/>
  <c r="E333" i="21"/>
  <c r="D334" i="22" s="1"/>
  <c r="E334" i="21"/>
  <c r="D335" i="22" s="1"/>
  <c r="E335" i="21"/>
  <c r="D336" i="22" s="1"/>
  <c r="E336" i="21"/>
  <c r="D337" i="22" s="1"/>
  <c r="E337" i="21"/>
  <c r="D338" i="22" s="1"/>
  <c r="E338" i="21"/>
  <c r="D339" i="22" s="1"/>
  <c r="E339" i="21"/>
  <c r="D340" i="22" s="1"/>
  <c r="E340" i="21"/>
  <c r="D341" i="22" s="1"/>
  <c r="E341" i="21"/>
  <c r="D342" i="22" s="1"/>
  <c r="E342" i="21"/>
  <c r="D343" i="22" s="1"/>
  <c r="E343" i="21"/>
  <c r="D344" i="22" s="1"/>
  <c r="E344" i="21"/>
  <c r="D345" i="22" s="1"/>
  <c r="E345" i="21"/>
  <c r="D346" i="22" s="1"/>
  <c r="E346" i="21"/>
  <c r="D347" i="22" s="1"/>
  <c r="E347" i="21"/>
  <c r="D348" i="22" s="1"/>
  <c r="E348" i="21"/>
  <c r="D349" i="22" s="1"/>
  <c r="E349" i="21"/>
  <c r="D350" i="22" s="1"/>
  <c r="E350" i="21"/>
  <c r="D351" i="22" s="1"/>
  <c r="E351" i="21"/>
  <c r="D352" i="22" s="1"/>
  <c r="E352" i="21"/>
  <c r="D353" i="22" s="1"/>
  <c r="E353" i="21"/>
  <c r="D354" i="22" s="1"/>
  <c r="E354" i="21"/>
  <c r="D355" i="22" s="1"/>
  <c r="E355" i="21"/>
  <c r="D356" i="22" s="1"/>
  <c r="E356" i="21"/>
  <c r="D357" i="22" s="1"/>
  <c r="E357" i="21"/>
  <c r="D358" i="22" s="1"/>
  <c r="E358" i="21"/>
  <c r="D359" i="22" s="1"/>
  <c r="E359" i="21"/>
  <c r="D360" i="22" s="1"/>
  <c r="E360" i="21"/>
  <c r="D361" i="22" s="1"/>
  <c r="E361" i="21"/>
  <c r="D362" i="22" s="1"/>
  <c r="E362" i="21"/>
  <c r="D363" i="22"/>
  <c r="E363" i="21"/>
  <c r="D364" i="22" s="1"/>
  <c r="E364" i="21"/>
  <c r="D365" i="22" s="1"/>
  <c r="E365" i="21"/>
  <c r="D366" i="22" s="1"/>
  <c r="E366" i="21"/>
  <c r="D367" i="22" s="1"/>
  <c r="E367" i="21"/>
  <c r="D368" i="22" s="1"/>
  <c r="E368" i="21"/>
  <c r="D369" i="22" s="1"/>
  <c r="E369" i="21"/>
  <c r="D370" i="22" s="1"/>
  <c r="E370" i="21"/>
  <c r="D371" i="22" s="1"/>
  <c r="E371" i="21"/>
  <c r="D372" i="22" s="1"/>
  <c r="E372" i="21"/>
  <c r="D373" i="22" s="1"/>
  <c r="E373" i="21"/>
  <c r="D374" i="22" s="1"/>
  <c r="E374" i="21"/>
  <c r="D375" i="22" s="1"/>
  <c r="E375" i="21"/>
  <c r="D376" i="22" s="1"/>
  <c r="E376" i="21"/>
  <c r="D377" i="22" s="1"/>
  <c r="E377" i="21"/>
  <c r="D378" i="22" s="1"/>
  <c r="E378" i="21"/>
  <c r="D379" i="22" s="1"/>
  <c r="E379" i="21"/>
  <c r="D380" i="22" s="1"/>
  <c r="E380" i="21"/>
  <c r="D381" i="22" s="1"/>
  <c r="E381" i="21"/>
  <c r="D382" i="22" s="1"/>
  <c r="E382" i="21"/>
  <c r="D383" i="22" s="1"/>
  <c r="E383" i="21"/>
  <c r="D384" i="22" s="1"/>
  <c r="E384" i="21"/>
  <c r="D385" i="22" s="1"/>
  <c r="E385" i="21"/>
  <c r="D386" i="22" s="1"/>
  <c r="E386" i="21"/>
  <c r="D387" i="22" s="1"/>
  <c r="E387" i="21"/>
  <c r="D388" i="22" s="1"/>
  <c r="E388" i="21"/>
  <c r="D389" i="22" s="1"/>
  <c r="E391" i="21"/>
  <c r="D392" i="22" s="1"/>
  <c r="E392" i="21"/>
  <c r="D393" i="22" s="1"/>
  <c r="E393" i="21"/>
  <c r="D394" i="22" s="1"/>
  <c r="E396" i="21"/>
  <c r="D397" i="22" s="1"/>
  <c r="E397" i="21"/>
  <c r="D398" i="22" s="1"/>
  <c r="E398" i="21"/>
  <c r="D399" i="22" s="1"/>
  <c r="E399" i="21"/>
  <c r="D400" i="22" s="1"/>
  <c r="E400" i="21"/>
  <c r="D401" i="22" s="1"/>
  <c r="E401" i="21"/>
  <c r="D402" i="22" s="1"/>
  <c r="E402" i="21"/>
  <c r="D403" i="22" s="1"/>
  <c r="E403" i="21"/>
  <c r="D404" i="22" s="1"/>
  <c r="E404" i="21"/>
  <c r="D405" i="22" s="1"/>
  <c r="E405" i="21"/>
  <c r="D406" i="22" s="1"/>
  <c r="E406" i="21"/>
  <c r="D407" i="22" s="1"/>
  <c r="E407" i="21"/>
  <c r="D408" i="22" s="1"/>
  <c r="E408" i="21"/>
  <c r="D409" i="22" s="1"/>
  <c r="E409" i="21"/>
  <c r="D410" i="22" s="1"/>
  <c r="E410" i="21"/>
  <c r="D411" i="22" s="1"/>
  <c r="E411" i="21"/>
  <c r="D412" i="22" s="1"/>
  <c r="E412" i="21"/>
  <c r="D413" i="22" s="1"/>
  <c r="E413" i="21"/>
  <c r="D414" i="22" s="1"/>
  <c r="E414" i="21"/>
  <c r="D415" i="22" s="1"/>
  <c r="E415" i="21"/>
  <c r="D416" i="22" s="1"/>
  <c r="E416" i="21"/>
  <c r="D417" i="22" s="1"/>
  <c r="E418" i="21"/>
  <c r="D419" i="22" s="1"/>
  <c r="E419" i="21"/>
  <c r="D420" i="22" s="1"/>
  <c r="E420" i="21"/>
  <c r="D421" i="22" s="1"/>
  <c r="E421" i="21"/>
  <c r="D422" i="22" s="1"/>
  <c r="E422" i="21"/>
  <c r="D423" i="22" s="1"/>
  <c r="E423" i="21"/>
  <c r="D424" i="22" s="1"/>
  <c r="E424" i="21"/>
  <c r="D425" i="22" s="1"/>
  <c r="E425" i="21"/>
  <c r="D426" i="22" s="1"/>
  <c r="E426" i="21"/>
  <c r="D427" i="22" s="1"/>
  <c r="E427" i="21"/>
  <c r="D428" i="22" s="1"/>
  <c r="E428" i="21"/>
  <c r="D429" i="22" s="1"/>
  <c r="E429" i="21"/>
  <c r="D430" i="22" s="1"/>
  <c r="E430" i="21"/>
  <c r="D431" i="22" s="1"/>
  <c r="E431" i="21"/>
  <c r="D432" i="22" s="1"/>
  <c r="E432" i="21"/>
  <c r="D433" i="22" s="1"/>
  <c r="E433" i="21"/>
  <c r="D434" i="22" s="1"/>
  <c r="E434" i="21"/>
  <c r="D435" i="22" s="1"/>
  <c r="E435" i="21"/>
  <c r="D436" i="22" s="1"/>
  <c r="E436" i="21"/>
  <c r="D437" i="22" s="1"/>
  <c r="E437" i="21"/>
  <c r="D438" i="22" s="1"/>
  <c r="E438" i="21"/>
  <c r="D439" i="22" s="1"/>
  <c r="E439" i="21"/>
  <c r="D440" i="22" s="1"/>
  <c r="E440" i="21"/>
  <c r="D441" i="22" s="1"/>
  <c r="E441" i="21"/>
  <c r="D442" i="22" s="1"/>
  <c r="E442" i="21"/>
  <c r="D443" i="22" s="1"/>
  <c r="E443" i="21"/>
  <c r="D444" i="22" s="1"/>
  <c r="E444" i="21"/>
  <c r="D445" i="22" s="1"/>
  <c r="E445" i="21"/>
  <c r="D446" i="22" s="1"/>
  <c r="E446" i="21"/>
  <c r="D447" i="22" s="1"/>
  <c r="E447" i="21"/>
  <c r="D448" i="22" s="1"/>
  <c r="E448" i="21"/>
  <c r="D449" i="22" s="1"/>
  <c r="E449" i="21"/>
  <c r="D450" i="22" s="1"/>
  <c r="E450" i="21"/>
  <c r="D451" i="22" s="1"/>
  <c r="E451" i="21"/>
  <c r="D452" i="22" s="1"/>
  <c r="E452" i="21"/>
  <c r="D453" i="22" s="1"/>
  <c r="E453" i="21"/>
  <c r="D454" i="22" s="1"/>
  <c r="E454" i="21"/>
  <c r="D455" i="22" s="1"/>
  <c r="E455" i="21"/>
  <c r="D456" i="22" s="1"/>
  <c r="E456" i="21"/>
  <c r="D457" i="22" s="1"/>
  <c r="E457" i="21"/>
  <c r="D458" i="22" s="1"/>
  <c r="E458" i="21"/>
  <c r="D459" i="22" s="1"/>
  <c r="E459" i="21"/>
  <c r="D460" i="22" s="1"/>
  <c r="E460" i="21"/>
  <c r="D461" i="22" s="1"/>
  <c r="E461" i="21"/>
  <c r="D462" i="22" s="1"/>
  <c r="E462" i="21"/>
  <c r="D463" i="22" s="1"/>
  <c r="E463" i="21"/>
  <c r="D464" i="22" s="1"/>
  <c r="E464" i="21"/>
  <c r="D465" i="22" s="1"/>
  <c r="E465" i="21"/>
  <c r="D466" i="22" s="1"/>
  <c r="E466" i="21"/>
  <c r="D467" i="22" s="1"/>
  <c r="E467" i="21"/>
  <c r="D468" i="22" s="1"/>
  <c r="E468" i="21"/>
  <c r="D469" i="22" s="1"/>
  <c r="E471" i="21"/>
  <c r="D472" i="22" s="1"/>
  <c r="E472" i="21"/>
  <c r="D473" i="22" s="1"/>
  <c r="E473" i="21"/>
  <c r="D474" i="22" s="1"/>
  <c r="E474" i="21"/>
  <c r="D475" i="22" s="1"/>
  <c r="E475" i="21"/>
  <c r="D476" i="22" s="1"/>
  <c r="E476" i="21"/>
  <c r="D477" i="22" s="1"/>
  <c r="E477" i="21"/>
  <c r="D478" i="22" s="1"/>
  <c r="E479" i="21"/>
  <c r="D480" i="22" s="1"/>
  <c r="E480" i="21"/>
  <c r="D481" i="22" s="1"/>
  <c r="E481" i="21"/>
  <c r="D482" i="22" s="1"/>
  <c r="E482" i="21"/>
  <c r="D483" i="22" s="1"/>
  <c r="E483" i="21"/>
  <c r="D484" i="22" s="1"/>
  <c r="E484" i="21"/>
  <c r="D485" i="22" s="1"/>
  <c r="D486" i="22"/>
  <c r="D487" i="22"/>
  <c r="D488" i="22"/>
  <c r="D489" i="22"/>
  <c r="D490" i="22"/>
  <c r="D491" i="22"/>
  <c r="D492" i="22"/>
  <c r="D493" i="22"/>
  <c r="D494" i="22"/>
  <c r="D495" i="22"/>
  <c r="D496" i="22"/>
  <c r="D497" i="22"/>
  <c r="D498" i="22"/>
  <c r="D499" i="22"/>
  <c r="D500" i="22"/>
  <c r="D501" i="22"/>
  <c r="D503" i="22"/>
  <c r="D3" i="21"/>
  <c r="C4" i="22" s="1"/>
  <c r="D4" i="21"/>
  <c r="C5" i="22" s="1"/>
  <c r="D5" i="21"/>
  <c r="C6" i="22" s="1"/>
  <c r="D8" i="21"/>
  <c r="C9" i="22"/>
  <c r="D12" i="21"/>
  <c r="C13" i="22" s="1"/>
  <c r="D13" i="21"/>
  <c r="C14" i="22" s="1"/>
  <c r="D14" i="21"/>
  <c r="C15" i="22" s="1"/>
  <c r="D15" i="21"/>
  <c r="C16" i="22" s="1"/>
  <c r="D16" i="21"/>
  <c r="C17" i="22" s="1"/>
  <c r="D21" i="21"/>
  <c r="C22" i="22" s="1"/>
  <c r="D24" i="21"/>
  <c r="C25" i="22" s="1"/>
  <c r="D30" i="21"/>
  <c r="C31" i="22" s="1"/>
  <c r="D33" i="21"/>
  <c r="C34" i="22" s="1"/>
  <c r="D40" i="21"/>
  <c r="C41" i="22" s="1"/>
  <c r="D42" i="21"/>
  <c r="C43" i="22" s="1"/>
  <c r="D43" i="21"/>
  <c r="C44" i="22" s="1"/>
  <c r="D46" i="21"/>
  <c r="C47" i="22" s="1"/>
  <c r="D51" i="21"/>
  <c r="C52" i="22" s="1"/>
  <c r="D57" i="21"/>
  <c r="C58" i="22" s="1"/>
  <c r="D58" i="21"/>
  <c r="C59" i="22" s="1"/>
  <c r="D61" i="21"/>
  <c r="C62" i="22" s="1"/>
  <c r="D62" i="21"/>
  <c r="C63" i="22" s="1"/>
  <c r="D66" i="21"/>
  <c r="C67" i="22" s="1"/>
  <c r="D69" i="21"/>
  <c r="C70" i="22" s="1"/>
  <c r="D70" i="21"/>
  <c r="C71" i="22" s="1"/>
  <c r="D75" i="21"/>
  <c r="C76" i="22" s="1"/>
  <c r="D76" i="21"/>
  <c r="C77" i="22" s="1"/>
  <c r="D77" i="21"/>
  <c r="C78" i="22" s="1"/>
  <c r="D78" i="21"/>
  <c r="C79" i="22" s="1"/>
  <c r="D84" i="21"/>
  <c r="C85" i="22" s="1"/>
  <c r="D89" i="21"/>
  <c r="C90" i="22" s="1"/>
  <c r="D90" i="21"/>
  <c r="C91" i="22" s="1"/>
  <c r="D91" i="21"/>
  <c r="C92" i="22" s="1"/>
  <c r="D92" i="21"/>
  <c r="C93" i="22" s="1"/>
  <c r="D96" i="21"/>
  <c r="C97" i="22" s="1"/>
  <c r="D97" i="21"/>
  <c r="C98" i="22" s="1"/>
  <c r="D98" i="21"/>
  <c r="C99" i="22" s="1"/>
  <c r="D99" i="21"/>
  <c r="C100" i="22" s="1"/>
  <c r="D100" i="21"/>
  <c r="C101" i="22" s="1"/>
  <c r="D101" i="21"/>
  <c r="C102" i="22" s="1"/>
  <c r="D104" i="21"/>
  <c r="C105" i="22" s="1"/>
  <c r="D105" i="21"/>
  <c r="C106" i="22" s="1"/>
  <c r="D108" i="21"/>
  <c r="C109" i="22" s="1"/>
  <c r="D113" i="21"/>
  <c r="C114" i="22" s="1"/>
  <c r="D114" i="21"/>
  <c r="C115" i="22" s="1"/>
  <c r="D115" i="21"/>
  <c r="C116" i="22" s="1"/>
  <c r="D122" i="21"/>
  <c r="C123" i="22" s="1"/>
  <c r="D125" i="21"/>
  <c r="C126" i="22" s="1"/>
  <c r="D126" i="21"/>
  <c r="C127" i="22" s="1"/>
  <c r="D129" i="21"/>
  <c r="C130" i="22" s="1"/>
  <c r="D130" i="21"/>
  <c r="C131" i="22" s="1"/>
  <c r="D131" i="21"/>
  <c r="C132" i="22" s="1"/>
  <c r="D132" i="21"/>
  <c r="C133" i="22" s="1"/>
  <c r="D141" i="21"/>
  <c r="C142" i="22" s="1"/>
  <c r="D142" i="21"/>
  <c r="C143" i="22" s="1"/>
  <c r="D143" i="21"/>
  <c r="C144" i="22" s="1"/>
  <c r="D148" i="21"/>
  <c r="C149" i="22" s="1"/>
  <c r="D149" i="21"/>
  <c r="C150" i="22" s="1"/>
  <c r="D154" i="21"/>
  <c r="C155" i="22" s="1"/>
  <c r="D155" i="21"/>
  <c r="C156" i="22" s="1"/>
  <c r="D156" i="21"/>
  <c r="C157" i="22" s="1"/>
  <c r="D157" i="21"/>
  <c r="C158" i="22" s="1"/>
  <c r="D158" i="21"/>
  <c r="C159" i="22" s="1"/>
  <c r="D159" i="21"/>
  <c r="C160" i="22" s="1"/>
  <c r="D162" i="21"/>
  <c r="C163" i="22" s="1"/>
  <c r="D163" i="21"/>
  <c r="C164" i="22" s="1"/>
  <c r="D164" i="21"/>
  <c r="C165" i="22" s="1"/>
  <c r="D165" i="21"/>
  <c r="C166" i="22" s="1"/>
  <c r="D171" i="21"/>
  <c r="C172" i="22" s="1"/>
  <c r="D173" i="21"/>
  <c r="C174" i="22" s="1"/>
  <c r="D174" i="21"/>
  <c r="C175" i="22" s="1"/>
  <c r="D175" i="21"/>
  <c r="C176" i="22" s="1"/>
  <c r="D176" i="21"/>
  <c r="C177" i="22" s="1"/>
  <c r="D177" i="21"/>
  <c r="C178" i="22" s="1"/>
  <c r="D178" i="21"/>
  <c r="C179" i="22" s="1"/>
  <c r="D179" i="21"/>
  <c r="C180" i="22" s="1"/>
  <c r="D181" i="21"/>
  <c r="C182" i="22" s="1"/>
  <c r="D182" i="21"/>
  <c r="C183" i="22" s="1"/>
  <c r="D183" i="21"/>
  <c r="C184" i="22" s="1"/>
  <c r="D184" i="21"/>
  <c r="C185" i="22" s="1"/>
  <c r="D185" i="21"/>
  <c r="C186" i="22" s="1"/>
  <c r="D189" i="21"/>
  <c r="C190" i="22" s="1"/>
  <c r="D194" i="21"/>
  <c r="C195" i="22" s="1"/>
  <c r="D195" i="21"/>
  <c r="C196" i="22" s="1"/>
  <c r="D197" i="21"/>
  <c r="C198" i="22" s="1"/>
  <c r="D201" i="21"/>
  <c r="C202" i="22" s="1"/>
  <c r="D202" i="21"/>
  <c r="C203" i="22" s="1"/>
  <c r="D203" i="21"/>
  <c r="C204" i="22" s="1"/>
  <c r="D214" i="21"/>
  <c r="C215" i="22" s="1"/>
  <c r="D215" i="21"/>
  <c r="C216" i="22" s="1"/>
  <c r="D216" i="21"/>
  <c r="C217" i="22" s="1"/>
  <c r="D221" i="21"/>
  <c r="C222" i="22" s="1"/>
  <c r="D222" i="21"/>
  <c r="C223" i="22" s="1"/>
  <c r="D223" i="21"/>
  <c r="C224" i="22" s="1"/>
  <c r="D224" i="21"/>
  <c r="C225" i="22" s="1"/>
  <c r="D225" i="21"/>
  <c r="C226" i="22" s="1"/>
  <c r="D228" i="21"/>
  <c r="C229" i="22" s="1"/>
  <c r="D231" i="21"/>
  <c r="C232" i="22" s="1"/>
  <c r="D232" i="21"/>
  <c r="C233" i="22" s="1"/>
  <c r="D233" i="21"/>
  <c r="C234" i="22" s="1"/>
  <c r="D240" i="21"/>
  <c r="C241" i="22" s="1"/>
  <c r="D241" i="21"/>
  <c r="C242" i="22" s="1"/>
  <c r="D242" i="21"/>
  <c r="C243" i="22" s="1"/>
  <c r="D243" i="21"/>
  <c r="C244" i="22" s="1"/>
  <c r="D244" i="21"/>
  <c r="C245" i="22" s="1"/>
  <c r="D249" i="21"/>
  <c r="C250" i="22" s="1"/>
  <c r="D250" i="21"/>
  <c r="C251" i="22" s="1"/>
  <c r="D253" i="21"/>
  <c r="C254" i="22" s="1"/>
  <c r="D258" i="21"/>
  <c r="C259" i="22" s="1"/>
  <c r="D259" i="21"/>
  <c r="C260" i="22" s="1"/>
  <c r="D260" i="21"/>
  <c r="C261" i="22" s="1"/>
  <c r="D265" i="21"/>
  <c r="C266" i="22" s="1"/>
  <c r="D266" i="21"/>
  <c r="C267" i="22" s="1"/>
  <c r="D267" i="21"/>
  <c r="C268" i="22" s="1"/>
  <c r="D270" i="21"/>
  <c r="C271" i="22" s="1"/>
  <c r="D271" i="21"/>
  <c r="C272" i="22" s="1"/>
  <c r="D272" i="21"/>
  <c r="C273" i="22" s="1"/>
  <c r="D273" i="21"/>
  <c r="C274" i="22" s="1"/>
  <c r="D276" i="21"/>
  <c r="C277" i="22" s="1"/>
  <c r="D279" i="21"/>
  <c r="C280" i="22" s="1"/>
  <c r="D280" i="21"/>
  <c r="C281" i="22" s="1"/>
  <c r="D281" i="21"/>
  <c r="C282" i="22" s="1"/>
  <c r="D282" i="21"/>
  <c r="C283" i="22" s="1"/>
  <c r="D287" i="21"/>
  <c r="C288" i="22" s="1"/>
  <c r="D288" i="21"/>
  <c r="C289" i="22" s="1"/>
  <c r="D289" i="21"/>
  <c r="C290" i="22" s="1"/>
  <c r="D290" i="21"/>
  <c r="C291" i="22" s="1"/>
  <c r="D291" i="21"/>
  <c r="C292" i="22" s="1"/>
  <c r="D293" i="21"/>
  <c r="C294" i="22" s="1"/>
  <c r="D298" i="21"/>
  <c r="C299" i="22" s="1"/>
  <c r="D299" i="21"/>
  <c r="C300" i="22" s="1"/>
  <c r="D300" i="21"/>
  <c r="C301" i="22" s="1"/>
  <c r="D301" i="21"/>
  <c r="C302" i="22" s="1"/>
  <c r="D307" i="21"/>
  <c r="C308" i="22" s="1"/>
  <c r="D308" i="21"/>
  <c r="C309" i="22" s="1"/>
  <c r="D314" i="21"/>
  <c r="C315" i="22" s="1"/>
  <c r="D321" i="21"/>
  <c r="C322" i="22" s="1"/>
  <c r="D322" i="21"/>
  <c r="C323" i="22" s="1"/>
  <c r="D335" i="21"/>
  <c r="C336" i="22" s="1"/>
  <c r="D336" i="21"/>
  <c r="C337" i="22" s="1"/>
  <c r="D337" i="21"/>
  <c r="C338" i="22" s="1"/>
  <c r="D338" i="21"/>
  <c r="C339" i="22" s="1"/>
  <c r="D339" i="21"/>
  <c r="C340" i="22" s="1"/>
  <c r="D340" i="21"/>
  <c r="C341" i="22" s="1"/>
  <c r="D341" i="21"/>
  <c r="C342" i="22" s="1"/>
  <c r="D342" i="21"/>
  <c r="C343" i="22" s="1"/>
  <c r="D346" i="21"/>
  <c r="C347" i="22" s="1"/>
  <c r="D347" i="21"/>
  <c r="C348" i="22" s="1"/>
  <c r="D348" i="21"/>
  <c r="C349" i="22" s="1"/>
  <c r="D355" i="21"/>
  <c r="C356" i="22" s="1"/>
  <c r="C360" i="22"/>
  <c r="D360" i="21"/>
  <c r="C361" i="22" s="1"/>
  <c r="D361" i="21"/>
  <c r="C362" i="22" s="1"/>
  <c r="D362" i="21"/>
  <c r="C363" i="22" s="1"/>
  <c r="D368" i="21"/>
  <c r="C369" i="22" s="1"/>
  <c r="D369" i="21"/>
  <c r="C370" i="22" s="1"/>
  <c r="D370" i="21"/>
  <c r="C371" i="22" s="1"/>
  <c r="D373" i="21"/>
  <c r="C374" i="22" s="1"/>
  <c r="D374" i="21"/>
  <c r="C375" i="22" s="1"/>
  <c r="D377" i="21"/>
  <c r="C378" i="22" s="1"/>
  <c r="D381" i="21"/>
  <c r="C382" i="22" s="1"/>
  <c r="D382" i="21"/>
  <c r="C383" i="22" s="1"/>
  <c r="D383" i="21"/>
  <c r="C384" i="22" s="1"/>
  <c r="D395" i="21"/>
  <c r="C396" i="22" s="1"/>
  <c r="D396" i="21"/>
  <c r="C397" i="22" s="1"/>
  <c r="D397" i="21"/>
  <c r="C398" i="22" s="1"/>
  <c r="D402" i="21"/>
  <c r="C403" i="22" s="1"/>
  <c r="D406" i="21"/>
  <c r="C407" i="22" s="1"/>
  <c r="D407" i="21"/>
  <c r="C408" i="22" s="1"/>
  <c r="D408" i="21"/>
  <c r="C409" i="22" s="1"/>
  <c r="D411" i="21"/>
  <c r="C412" i="22" s="1"/>
  <c r="D415" i="21"/>
  <c r="C416" i="22" s="1"/>
  <c r="D418" i="21"/>
  <c r="C419" i="22" s="1"/>
  <c r="D422" i="21"/>
  <c r="C423" i="22" s="1"/>
  <c r="D424" i="21"/>
  <c r="C425" i="22" s="1"/>
  <c r="D425" i="21"/>
  <c r="C426" i="22" s="1"/>
  <c r="D426" i="21"/>
  <c r="C427" i="22" s="1"/>
  <c r="D427" i="21"/>
  <c r="C428" i="22" s="1"/>
  <c r="D428" i="21"/>
  <c r="C429" i="22" s="1"/>
  <c r="D429" i="21"/>
  <c r="C430" i="22" s="1"/>
  <c r="D430" i="21"/>
  <c r="C431" i="22" s="1"/>
  <c r="D431" i="21"/>
  <c r="C432" i="22" s="1"/>
  <c r="D432" i="21"/>
  <c r="C433" i="22" s="1"/>
  <c r="D433" i="21"/>
  <c r="C434" i="22" s="1"/>
  <c r="D434" i="21"/>
  <c r="C435" i="22" s="1"/>
  <c r="D435" i="21"/>
  <c r="C436" i="22" s="1"/>
  <c r="D436" i="21"/>
  <c r="C437" i="22" s="1"/>
  <c r="D437" i="21"/>
  <c r="C438" i="22" s="1"/>
  <c r="D438" i="21"/>
  <c r="C439" i="22" s="1"/>
  <c r="D439" i="21"/>
  <c r="C440" i="22" s="1"/>
  <c r="D440" i="21"/>
  <c r="C441" i="22" s="1"/>
  <c r="D441" i="21"/>
  <c r="C442" i="22" s="1"/>
  <c r="D442" i="21"/>
  <c r="C443" i="22" s="1"/>
  <c r="D443" i="21"/>
  <c r="C444" i="22" s="1"/>
  <c r="D446" i="21"/>
  <c r="C447" i="22" s="1"/>
  <c r="D447" i="21"/>
  <c r="C448" i="22" s="1"/>
  <c r="D448" i="21"/>
  <c r="C449" i="22" s="1"/>
  <c r="D450" i="21"/>
  <c r="C451" i="22" s="1"/>
  <c r="D451" i="21"/>
  <c r="C452" i="22" s="1"/>
  <c r="D464" i="21"/>
  <c r="C465" i="22" s="1"/>
  <c r="D465" i="21"/>
  <c r="C466" i="22" s="1"/>
  <c r="D466" i="21"/>
  <c r="C467" i="22" s="1"/>
  <c r="D467" i="21"/>
  <c r="C468" i="22" s="1"/>
  <c r="D468" i="21"/>
  <c r="C469" i="22" s="1"/>
  <c r="D474" i="21"/>
  <c r="C475" i="22" s="1"/>
  <c r="D475" i="21"/>
  <c r="C476" i="22" s="1"/>
  <c r="D478" i="21"/>
  <c r="C479" i="22" s="1"/>
  <c r="D481" i="21"/>
  <c r="C482" i="22" s="1"/>
  <c r="D482" i="21"/>
  <c r="C483" i="22" s="1"/>
  <c r="D487" i="21"/>
  <c r="C488" i="22" s="1"/>
  <c r="D488" i="21"/>
  <c r="C489" i="22" s="1"/>
  <c r="D489" i="21"/>
  <c r="C490" i="22" s="1"/>
  <c r="D490" i="21"/>
  <c r="C491" i="22" s="1"/>
  <c r="D493" i="21"/>
  <c r="C494" i="22" s="1"/>
  <c r="D500" i="21"/>
  <c r="C501" i="22" s="1"/>
  <c r="D502" i="21"/>
  <c r="C503" i="22" s="1"/>
  <c r="C3" i="21"/>
  <c r="B4" i="22" s="1"/>
  <c r="C4" i="21"/>
  <c r="B5" i="22" s="1"/>
  <c r="C5" i="21"/>
  <c r="B6" i="22" s="1"/>
  <c r="C8" i="21"/>
  <c r="B9" i="22" s="1"/>
  <c r="C12" i="21"/>
  <c r="B13" i="22" s="1"/>
  <c r="C13" i="21"/>
  <c r="B14" i="22" s="1"/>
  <c r="C14" i="21"/>
  <c r="B15" i="22" s="1"/>
  <c r="C16" i="21"/>
  <c r="B17" i="22" s="1"/>
  <c r="C17" i="21"/>
  <c r="B18" i="22" s="1"/>
  <c r="B19" i="22"/>
  <c r="C19" i="21"/>
  <c r="B20" i="22" s="1"/>
  <c r="C20" i="21"/>
  <c r="B21" i="22" s="1"/>
  <c r="C21" i="21"/>
  <c r="B22" i="22" s="1"/>
  <c r="C22" i="21"/>
  <c r="B23" i="22" s="1"/>
  <c r="C23" i="21"/>
  <c r="B24" i="22" s="1"/>
  <c r="C24" i="21"/>
  <c r="B25" i="22" s="1"/>
  <c r="C25" i="21"/>
  <c r="B26" i="22" s="1"/>
  <c r="C29" i="21"/>
  <c r="B30" i="22" s="1"/>
  <c r="C31" i="21"/>
  <c r="B32" i="22" s="1"/>
  <c r="C36" i="21"/>
  <c r="B37" i="22" s="1"/>
  <c r="C37" i="21"/>
  <c r="B38" i="22" s="1"/>
  <c r="C38" i="21"/>
  <c r="B39" i="22" s="1"/>
  <c r="C39" i="21"/>
  <c r="B40" i="22" s="1"/>
  <c r="C42" i="21"/>
  <c r="B43" i="22" s="1"/>
  <c r="C44" i="21"/>
  <c r="B45" i="22" s="1"/>
  <c r="C45" i="21"/>
  <c r="B46" i="22" s="1"/>
  <c r="C46" i="21"/>
  <c r="B47" i="22" s="1"/>
  <c r="C47" i="21"/>
  <c r="B48" i="22" s="1"/>
  <c r="C54" i="21"/>
  <c r="B55" i="22" s="1"/>
  <c r="C55" i="21"/>
  <c r="B56" i="22" s="1"/>
  <c r="C62" i="21"/>
  <c r="B63" i="22" s="1"/>
  <c r="C64" i="21"/>
  <c r="B65" i="22" s="1"/>
  <c r="C65" i="21"/>
  <c r="B66" i="22" s="1"/>
  <c r="C66" i="21"/>
  <c r="B67" i="22" s="1"/>
  <c r="C67" i="21"/>
  <c r="B68" i="22" s="1"/>
  <c r="C69" i="21"/>
  <c r="B70" i="22" s="1"/>
  <c r="C70" i="21"/>
  <c r="B71" i="22" s="1"/>
  <c r="C79" i="21"/>
  <c r="B80" i="22" s="1"/>
  <c r="C81" i="21"/>
  <c r="B82" i="22" s="1"/>
  <c r="C82" i="21"/>
  <c r="B83" i="22" s="1"/>
  <c r="C83" i="21"/>
  <c r="B84" i="22" s="1"/>
  <c r="C84" i="21"/>
  <c r="B85" i="22" s="1"/>
  <c r="C89" i="21"/>
  <c r="B90" i="22" s="1"/>
  <c r="C94" i="21"/>
  <c r="B95" i="22" s="1"/>
  <c r="C100" i="21"/>
  <c r="B101" i="22" s="1"/>
  <c r="C101" i="21"/>
  <c r="B102" i="22" s="1"/>
  <c r="C102" i="21"/>
  <c r="B103" i="22" s="1"/>
  <c r="C103" i="21"/>
  <c r="B104" i="22" s="1"/>
  <c r="C104" i="21"/>
  <c r="B105" i="22" s="1"/>
  <c r="C105" i="21"/>
  <c r="B106" i="22" s="1"/>
  <c r="C106" i="21"/>
  <c r="B107" i="22" s="1"/>
  <c r="C107" i="21"/>
  <c r="B108" i="22" s="1"/>
  <c r="C108" i="21"/>
  <c r="B109" i="22" s="1"/>
  <c r="C109" i="21"/>
  <c r="B110" i="22" s="1"/>
  <c r="C110" i="21"/>
  <c r="B111" i="22" s="1"/>
  <c r="C112" i="21"/>
  <c r="B113" i="22" s="1"/>
  <c r="C113" i="21"/>
  <c r="B114" i="22" s="1"/>
  <c r="C114" i="21"/>
  <c r="B115" i="22" s="1"/>
  <c r="C117" i="21"/>
  <c r="B118" i="22" s="1"/>
  <c r="C118" i="21"/>
  <c r="B119" i="22" s="1"/>
  <c r="C119" i="21"/>
  <c r="B120" i="22" s="1"/>
  <c r="C120" i="21"/>
  <c r="B121" i="22" s="1"/>
  <c r="C122" i="21"/>
  <c r="B123" i="22" s="1"/>
  <c r="C123" i="21"/>
  <c r="B124" i="22" s="1"/>
  <c r="C124" i="21"/>
  <c r="B125" i="22" s="1"/>
  <c r="C125" i="21"/>
  <c r="B126" i="22" s="1"/>
  <c r="C126" i="21"/>
  <c r="B127" i="22" s="1"/>
  <c r="C127" i="21"/>
  <c r="B128" i="22" s="1"/>
  <c r="C129" i="21"/>
  <c r="B130" i="22" s="1"/>
  <c r="C130" i="21"/>
  <c r="B131" i="22" s="1"/>
  <c r="C131" i="21"/>
  <c r="B132" i="22" s="1"/>
  <c r="C132" i="21"/>
  <c r="B133" i="22" s="1"/>
  <c r="C134" i="21"/>
  <c r="B135" i="22" s="1"/>
  <c r="C135" i="21"/>
  <c r="B136" i="22" s="1"/>
  <c r="C140" i="21"/>
  <c r="B141" i="22" s="1"/>
  <c r="C142" i="21"/>
  <c r="B143" i="22" s="1"/>
  <c r="C144" i="21"/>
  <c r="B145" i="22" s="1"/>
  <c r="C147" i="21"/>
  <c r="B148" i="22" s="1"/>
  <c r="C150" i="21"/>
  <c r="B151" i="22" s="1"/>
  <c r="C151" i="21"/>
  <c r="B152" i="22" s="1"/>
  <c r="C152" i="21"/>
  <c r="B153" i="22" s="1"/>
  <c r="C153" i="21"/>
  <c r="B154" i="22" s="1"/>
  <c r="C154" i="21"/>
  <c r="B155" i="22" s="1"/>
  <c r="C155" i="21"/>
  <c r="B156" i="22" s="1"/>
  <c r="C156" i="21"/>
  <c r="B157" i="22" s="1"/>
  <c r="C158" i="21"/>
  <c r="B159" i="22" s="1"/>
  <c r="C159" i="21"/>
  <c r="B160" i="22" s="1"/>
  <c r="C160" i="21"/>
  <c r="B161" i="22" s="1"/>
  <c r="C161" i="21"/>
  <c r="B162" i="22" s="1"/>
  <c r="C163" i="21"/>
  <c r="B164" i="22" s="1"/>
  <c r="C165" i="21"/>
  <c r="B166" i="22" s="1"/>
  <c r="C168" i="21"/>
  <c r="B169" i="22" s="1"/>
  <c r="C175" i="21"/>
  <c r="B176" i="22" s="1"/>
  <c r="C176" i="21"/>
  <c r="B177" i="22" s="1"/>
  <c r="C177" i="21"/>
  <c r="B178" i="22" s="1"/>
  <c r="C179" i="21"/>
  <c r="B180" i="22" s="1"/>
  <c r="C181" i="21"/>
  <c r="B182" i="22" s="1"/>
  <c r="C182" i="21"/>
  <c r="B183" i="22" s="1"/>
  <c r="C185" i="21"/>
  <c r="B186" i="22" s="1"/>
  <c r="C186" i="21"/>
  <c r="B187" i="22" s="1"/>
  <c r="C187" i="21"/>
  <c r="B188" i="22" s="1"/>
  <c r="C188" i="21"/>
  <c r="B189" i="22" s="1"/>
  <c r="C191" i="21"/>
  <c r="B192" i="22" s="1"/>
  <c r="C192" i="21"/>
  <c r="B193" i="22" s="1"/>
  <c r="C193" i="21"/>
  <c r="B194" i="22" s="1"/>
  <c r="C194" i="21"/>
  <c r="B195" i="22" s="1"/>
  <c r="C195" i="21"/>
  <c r="B196" i="22" s="1"/>
  <c r="C200" i="21"/>
  <c r="B201" i="22" s="1"/>
  <c r="C201" i="21"/>
  <c r="B202" i="22" s="1"/>
  <c r="C202" i="21"/>
  <c r="B203" i="22" s="1"/>
  <c r="C203" i="21"/>
  <c r="B204" i="22" s="1"/>
  <c r="C204" i="21"/>
  <c r="B205" i="22" s="1"/>
  <c r="C205" i="21"/>
  <c r="B206" i="22" s="1"/>
  <c r="C206" i="21"/>
  <c r="B207" i="22" s="1"/>
  <c r="C207" i="21"/>
  <c r="B208" i="22" s="1"/>
  <c r="C208" i="21"/>
  <c r="B209" i="22" s="1"/>
  <c r="C209" i="21"/>
  <c r="B210" i="22" s="1"/>
  <c r="C212" i="21"/>
  <c r="B213" i="22" s="1"/>
  <c r="C213" i="21"/>
  <c r="B214" i="22" s="1"/>
  <c r="C214" i="21"/>
  <c r="B215" i="22" s="1"/>
  <c r="C219" i="21"/>
  <c r="B220" i="22" s="1"/>
  <c r="C221" i="21"/>
  <c r="B222" i="22" s="1"/>
  <c r="C222" i="21"/>
  <c r="B223" i="22" s="1"/>
  <c r="C223" i="21"/>
  <c r="B224" i="22" s="1"/>
  <c r="C229" i="21"/>
  <c r="B230" i="22" s="1"/>
  <c r="C230" i="21"/>
  <c r="B231" i="22" s="1"/>
  <c r="C233" i="21"/>
  <c r="B234" i="22" s="1"/>
  <c r="C234" i="21"/>
  <c r="B235" i="22" s="1"/>
  <c r="C235" i="21"/>
  <c r="B236" i="22" s="1"/>
  <c r="C236" i="21"/>
  <c r="B237" i="22" s="1"/>
  <c r="C238" i="21"/>
  <c r="B239" i="22" s="1"/>
  <c r="C239" i="21"/>
  <c r="B240" i="22" s="1"/>
  <c r="C240" i="21"/>
  <c r="B241" i="22" s="1"/>
  <c r="C241" i="21"/>
  <c r="B242" i="22" s="1"/>
  <c r="C242" i="21"/>
  <c r="B243" i="22" s="1"/>
  <c r="C243" i="21"/>
  <c r="B244" i="22" s="1"/>
  <c r="C244" i="21"/>
  <c r="B245" i="22" s="1"/>
  <c r="C245" i="21"/>
  <c r="B246" i="22" s="1"/>
  <c r="C246" i="21"/>
  <c r="B247" i="22" s="1"/>
  <c r="C247" i="21"/>
  <c r="B248" i="22" s="1"/>
  <c r="C248" i="21"/>
  <c r="B249" i="22" s="1"/>
  <c r="C249" i="21"/>
  <c r="B250" i="22" s="1"/>
  <c r="C250" i="21"/>
  <c r="B251" i="22" s="1"/>
  <c r="C251" i="21"/>
  <c r="B252" i="22" s="1"/>
  <c r="C254" i="21"/>
  <c r="B255" i="22" s="1"/>
  <c r="C256" i="21"/>
  <c r="B257" i="22" s="1"/>
  <c r="C257" i="21"/>
  <c r="B258" i="22" s="1"/>
  <c r="C258" i="21"/>
  <c r="B259" i="22" s="1"/>
  <c r="C260" i="21"/>
  <c r="B261" i="22" s="1"/>
  <c r="C263" i="21"/>
  <c r="B264" i="22" s="1"/>
  <c r="C264" i="21"/>
  <c r="B265" i="22" s="1"/>
  <c r="C265" i="21"/>
  <c r="B266" i="22" s="1"/>
  <c r="C266" i="21"/>
  <c r="B267" i="22" s="1"/>
  <c r="C268" i="21"/>
  <c r="B269" i="22" s="1"/>
  <c r="C269" i="21"/>
  <c r="B270" i="22" s="1"/>
  <c r="C270" i="21"/>
  <c r="B271" i="22" s="1"/>
  <c r="C271" i="21"/>
  <c r="B272" i="22" s="1"/>
  <c r="C272" i="21"/>
  <c r="B273" i="22" s="1"/>
  <c r="C275" i="21"/>
  <c r="B276" i="22" s="1"/>
  <c r="C282" i="21"/>
  <c r="B283" i="22" s="1"/>
  <c r="C285" i="21"/>
  <c r="B286" i="22" s="1"/>
  <c r="C286" i="21"/>
  <c r="B287" i="22" s="1"/>
  <c r="C287" i="21"/>
  <c r="B288" i="22" s="1"/>
  <c r="C290" i="21"/>
  <c r="B291" i="22" s="1"/>
  <c r="C293" i="21"/>
  <c r="B294" i="22" s="1"/>
  <c r="C294" i="21"/>
  <c r="B295" i="22" s="1"/>
  <c r="C295" i="21"/>
  <c r="B296" i="22" s="1"/>
  <c r="C299" i="21"/>
  <c r="B300" i="22" s="1"/>
  <c r="C300" i="21"/>
  <c r="B301" i="22" s="1"/>
  <c r="C301" i="21"/>
  <c r="B302" i="22" s="1"/>
  <c r="C302" i="21"/>
  <c r="B303" i="22" s="1"/>
  <c r="C305" i="21"/>
  <c r="B306" i="22" s="1"/>
  <c r="C306" i="21"/>
  <c r="B307" i="22" s="1"/>
  <c r="C307" i="21"/>
  <c r="B308" i="22" s="1"/>
  <c r="C308" i="21"/>
  <c r="B309" i="22" s="1"/>
  <c r="C309" i="21"/>
  <c r="B310" i="22" s="1"/>
  <c r="C310" i="21"/>
  <c r="B311" i="22" s="1"/>
  <c r="C311" i="21"/>
  <c r="B312" i="22" s="1"/>
  <c r="C312" i="21"/>
  <c r="B313" i="22" s="1"/>
  <c r="C313" i="21"/>
  <c r="B314" i="22" s="1"/>
  <c r="C314" i="21"/>
  <c r="B315" i="22" s="1"/>
  <c r="C315" i="21"/>
  <c r="B316" i="22" s="1"/>
  <c r="C316" i="21"/>
  <c r="B317" i="22" s="1"/>
  <c r="C317" i="21"/>
  <c r="B318" i="22" s="1"/>
  <c r="C318" i="21"/>
  <c r="B319" i="22" s="1"/>
  <c r="C319" i="21"/>
  <c r="B320" i="22" s="1"/>
  <c r="C320" i="21"/>
  <c r="B321" i="22" s="1"/>
  <c r="C321" i="21"/>
  <c r="B322" i="22" s="1"/>
  <c r="C322" i="21"/>
  <c r="B323" i="22" s="1"/>
  <c r="C323" i="21"/>
  <c r="B324" i="22" s="1"/>
  <c r="C324" i="21"/>
  <c r="B325" i="22" s="1"/>
  <c r="C325" i="21"/>
  <c r="B326" i="22" s="1"/>
  <c r="C326" i="21"/>
  <c r="B327" i="22" s="1"/>
  <c r="C327" i="21"/>
  <c r="B328" i="22" s="1"/>
  <c r="C328" i="21"/>
  <c r="B329" i="22" s="1"/>
  <c r="C329" i="21"/>
  <c r="B330" i="22" s="1"/>
  <c r="C330" i="21"/>
  <c r="B331" i="22" s="1"/>
  <c r="C332" i="21"/>
  <c r="B333" i="22" s="1"/>
  <c r="C333" i="21"/>
  <c r="B334" i="22" s="1"/>
  <c r="C334" i="21"/>
  <c r="B335" i="22" s="1"/>
  <c r="C335" i="21"/>
  <c r="B336" i="22" s="1"/>
  <c r="C336" i="21"/>
  <c r="B337" i="22" s="1"/>
  <c r="C337" i="21"/>
  <c r="B338" i="22" s="1"/>
  <c r="C338" i="21"/>
  <c r="B339" i="22" s="1"/>
  <c r="C339" i="21"/>
  <c r="B340" i="22" s="1"/>
  <c r="C340" i="21"/>
  <c r="B341" i="22" s="1"/>
  <c r="C341" i="21"/>
  <c r="B342" i="22" s="1"/>
  <c r="C342" i="21"/>
  <c r="B343" i="22" s="1"/>
  <c r="C343" i="21"/>
  <c r="B344" i="22" s="1"/>
  <c r="C344" i="21"/>
  <c r="B345" i="22" s="1"/>
  <c r="C345" i="21"/>
  <c r="B346" i="22" s="1"/>
  <c r="C346" i="21"/>
  <c r="B347" i="22" s="1"/>
  <c r="C347" i="21"/>
  <c r="B348" i="22" s="1"/>
  <c r="C348" i="21"/>
  <c r="B349" i="22" s="1"/>
  <c r="C349" i="21"/>
  <c r="B350" i="22" s="1"/>
  <c r="C352" i="21"/>
  <c r="B353" i="22" s="1"/>
  <c r="C353" i="21"/>
  <c r="B354" i="22" s="1"/>
  <c r="C354" i="21"/>
  <c r="B355" i="22" s="1"/>
  <c r="C355" i="21"/>
  <c r="B356" i="22" s="1"/>
  <c r="C356" i="21"/>
  <c r="B357" i="22" s="1"/>
  <c r="C357" i="21"/>
  <c r="B358" i="22" s="1"/>
  <c r="C358" i="21"/>
  <c r="B359" i="22" s="1"/>
  <c r="C359" i="21"/>
  <c r="B360" i="22" s="1"/>
  <c r="C362" i="21"/>
  <c r="B363" i="22" s="1"/>
  <c r="C363" i="21"/>
  <c r="B364" i="22" s="1"/>
  <c r="C364" i="21"/>
  <c r="B365" i="22" s="1"/>
  <c r="C365" i="21"/>
  <c r="B366" i="22" s="1"/>
  <c r="C366" i="21"/>
  <c r="B367" i="22" s="1"/>
  <c r="C367" i="21"/>
  <c r="B368" i="22" s="1"/>
  <c r="C368" i="21"/>
  <c r="B369" i="22" s="1"/>
  <c r="C369" i="21"/>
  <c r="B370" i="22" s="1"/>
  <c r="C370" i="21"/>
  <c r="B371" i="22" s="1"/>
  <c r="C371" i="21"/>
  <c r="B372" i="22" s="1"/>
  <c r="C372" i="21"/>
  <c r="B373" i="22" s="1"/>
  <c r="C373" i="21"/>
  <c r="B374" i="22" s="1"/>
  <c r="C374" i="21"/>
  <c r="B375" i="22" s="1"/>
  <c r="C375" i="21"/>
  <c r="B376" i="22" s="1"/>
  <c r="C376" i="21"/>
  <c r="B377" i="22" s="1"/>
  <c r="C377" i="21"/>
  <c r="B378" i="22" s="1"/>
  <c r="C378" i="21"/>
  <c r="B379" i="22" s="1"/>
  <c r="C381" i="21"/>
  <c r="B382" i="22" s="1"/>
  <c r="C382" i="21"/>
  <c r="B383" i="22" s="1"/>
  <c r="C385" i="21"/>
  <c r="B386" i="22" s="1"/>
  <c r="C386" i="21"/>
  <c r="B387" i="22" s="1"/>
  <c r="C388" i="21"/>
  <c r="B389" i="22" s="1"/>
  <c r="C389" i="21"/>
  <c r="B390" i="22" s="1"/>
  <c r="C390" i="21"/>
  <c r="B391" i="22" s="1"/>
  <c r="C391" i="21"/>
  <c r="B392" i="22" s="1"/>
  <c r="C392" i="21"/>
  <c r="B393" i="22" s="1"/>
  <c r="C393" i="21"/>
  <c r="B394" i="22" s="1"/>
  <c r="C394" i="21"/>
  <c r="B395" i="22" s="1"/>
  <c r="C395" i="21"/>
  <c r="B396" i="22" s="1"/>
  <c r="C396" i="21"/>
  <c r="B397" i="22" s="1"/>
  <c r="C398" i="21"/>
  <c r="B399" i="22" s="1"/>
  <c r="C399" i="21"/>
  <c r="B400" i="22" s="1"/>
  <c r="C400" i="21"/>
  <c r="B401" i="22" s="1"/>
  <c r="C401" i="21"/>
  <c r="B402" i="22" s="1"/>
  <c r="C402" i="21"/>
  <c r="B403" i="22" s="1"/>
  <c r="C403" i="21"/>
  <c r="B404" i="22" s="1"/>
  <c r="C404" i="21"/>
  <c r="B405" i="22" s="1"/>
  <c r="C405" i="21"/>
  <c r="B406" i="22" s="1"/>
  <c r="C406" i="21"/>
  <c r="B407" i="22" s="1"/>
  <c r="C407" i="21"/>
  <c r="B408" i="22" s="1"/>
  <c r="C408" i="21"/>
  <c r="B409" i="22" s="1"/>
  <c r="C409" i="21"/>
  <c r="B410" i="22" s="1"/>
  <c r="C410" i="21"/>
  <c r="B411" i="22" s="1"/>
  <c r="C411" i="21"/>
  <c r="B412" i="22" s="1"/>
  <c r="C414" i="21"/>
  <c r="B415" i="22" s="1"/>
  <c r="C415" i="21"/>
  <c r="B416" i="22" s="1"/>
  <c r="C416" i="21"/>
  <c r="B417" i="22" s="1"/>
  <c r="C417" i="21"/>
  <c r="B418" i="22" s="1"/>
  <c r="C418" i="21"/>
  <c r="B419" i="22" s="1"/>
  <c r="C419" i="21"/>
  <c r="B420" i="22" s="1"/>
  <c r="C424" i="21"/>
  <c r="B425" i="22" s="1"/>
  <c r="C426" i="21"/>
  <c r="B427" i="22" s="1"/>
  <c r="C427" i="21"/>
  <c r="B428" i="22" s="1"/>
  <c r="C430" i="21"/>
  <c r="B431" i="22" s="1"/>
  <c r="C433" i="21"/>
  <c r="B434" i="22" s="1"/>
  <c r="C434" i="21"/>
  <c r="B435" i="22" s="1"/>
  <c r="C435" i="21"/>
  <c r="B436" i="22" s="1"/>
  <c r="C436" i="21"/>
  <c r="B437" i="22" s="1"/>
  <c r="C437" i="21"/>
  <c r="B438" i="22" s="1"/>
  <c r="C438" i="21"/>
  <c r="B439" i="22" s="1"/>
  <c r="C439" i="21"/>
  <c r="B440" i="22" s="1"/>
  <c r="C441" i="21"/>
  <c r="B442" i="22" s="1"/>
  <c r="C444" i="21"/>
  <c r="B445" i="22" s="1"/>
  <c r="C445" i="21"/>
  <c r="B446" i="22" s="1"/>
  <c r="C446" i="21"/>
  <c r="B447" i="22" s="1"/>
  <c r="C447" i="21"/>
  <c r="B448" i="22" s="1"/>
  <c r="C448" i="21"/>
  <c r="B449" i="22" s="1"/>
  <c r="C449" i="21"/>
  <c r="B450" i="22" s="1"/>
  <c r="C450" i="21"/>
  <c r="B451" i="22" s="1"/>
  <c r="C451" i="21"/>
  <c r="B452" i="22" s="1"/>
  <c r="C452" i="21"/>
  <c r="B453" i="22" s="1"/>
  <c r="C453" i="21"/>
  <c r="B454" i="22" s="1"/>
  <c r="C454" i="21"/>
  <c r="B455" i="22" s="1"/>
  <c r="C455" i="21"/>
  <c r="B456" i="22" s="1"/>
  <c r="C458" i="21"/>
  <c r="B459" i="22" s="1"/>
  <c r="C459" i="21"/>
  <c r="B460" i="22" s="1"/>
  <c r="C462" i="21"/>
  <c r="B463" i="22" s="1"/>
  <c r="C463" i="21"/>
  <c r="B464" i="22" s="1"/>
  <c r="C464" i="21"/>
  <c r="B465" i="22" s="1"/>
  <c r="C465" i="21"/>
  <c r="B466" i="22" s="1"/>
  <c r="C466" i="21"/>
  <c r="B467" i="22" s="1"/>
  <c r="C467" i="21"/>
  <c r="B468" i="22" s="1"/>
  <c r="C470" i="21"/>
  <c r="B471" i="22" s="1"/>
  <c r="C471" i="21"/>
  <c r="B472" i="22" s="1"/>
  <c r="C472" i="21"/>
  <c r="B473" i="22" s="1"/>
  <c r="C473" i="21"/>
  <c r="B474" i="22" s="1"/>
  <c r="C474" i="21"/>
  <c r="B475" i="22" s="1"/>
  <c r="C477" i="21"/>
  <c r="B478" i="22" s="1"/>
  <c r="C479" i="21"/>
  <c r="B480" i="22" s="1"/>
  <c r="C481" i="21"/>
  <c r="B482" i="22" s="1"/>
  <c r="C482" i="21"/>
  <c r="B483" i="22" s="1"/>
  <c r="C483" i="21"/>
  <c r="B484" i="22" s="1"/>
  <c r="C487" i="21"/>
  <c r="B488" i="22" s="1"/>
  <c r="C488" i="21"/>
  <c r="B489" i="22" s="1"/>
  <c r="C489" i="21"/>
  <c r="B490" i="22" s="1"/>
  <c r="C490" i="21"/>
  <c r="B491" i="22" s="1"/>
  <c r="C491" i="21"/>
  <c r="B492" i="22" s="1"/>
  <c r="C492" i="21"/>
  <c r="B493" i="22" s="1"/>
  <c r="C493" i="21"/>
  <c r="B494" i="22" s="1"/>
  <c r="C494" i="21"/>
  <c r="B495" i="22" s="1"/>
  <c r="C498" i="21"/>
  <c r="B499" i="22" s="1"/>
  <c r="C499" i="21"/>
  <c r="B500" i="22" s="1"/>
  <c r="C500" i="21"/>
  <c r="B501" i="22" s="1"/>
  <c r="C501" i="21"/>
  <c r="B502" i="22" s="1"/>
  <c r="C502" i="21"/>
  <c r="B503" i="22" s="1"/>
  <c r="B3" i="21"/>
  <c r="A4" i="22" s="1"/>
  <c r="B4" i="21"/>
  <c r="A5" i="22" s="1"/>
  <c r="B5" i="21"/>
  <c r="A6" i="22"/>
  <c r="B6" i="21"/>
  <c r="A7" i="22" s="1"/>
  <c r="B7" i="21"/>
  <c r="A8" i="22" s="1"/>
  <c r="B8" i="21"/>
  <c r="A9" i="22" s="1"/>
  <c r="B9" i="21"/>
  <c r="A10" i="22" s="1"/>
  <c r="B10" i="21"/>
  <c r="A11" i="22" s="1"/>
  <c r="B11" i="21"/>
  <c r="A12" i="22" s="1"/>
  <c r="B12" i="21"/>
  <c r="A13" i="22" s="1"/>
  <c r="B13" i="21"/>
  <c r="A14" i="22" s="1"/>
  <c r="B14" i="21"/>
  <c r="A15" i="22" s="1"/>
  <c r="B15" i="21"/>
  <c r="A16" i="22" s="1"/>
  <c r="B16" i="21"/>
  <c r="A17" i="22" s="1"/>
  <c r="B17" i="21"/>
  <c r="A18" i="22" s="1"/>
  <c r="B18" i="21"/>
  <c r="A19" i="22" s="1"/>
  <c r="B19" i="21"/>
  <c r="A20" i="22" s="1"/>
  <c r="B20" i="21"/>
  <c r="A21" i="22" s="1"/>
  <c r="B21" i="21"/>
  <c r="A22" i="22" s="1"/>
  <c r="B22" i="21"/>
  <c r="A23" i="22" s="1"/>
  <c r="B23" i="21"/>
  <c r="A24" i="22" s="1"/>
  <c r="B24" i="21"/>
  <c r="A25" i="22" s="1"/>
  <c r="B25" i="21"/>
  <c r="A26" i="22" s="1"/>
  <c r="B26" i="21"/>
  <c r="A27" i="22" s="1"/>
  <c r="B27" i="21"/>
  <c r="A28" i="22" s="1"/>
  <c r="B28" i="21"/>
  <c r="A29" i="22"/>
  <c r="B29" i="21"/>
  <c r="A30" i="22" s="1"/>
  <c r="B30" i="21"/>
  <c r="A31" i="22" s="1"/>
  <c r="B31" i="21"/>
  <c r="A32" i="22" s="1"/>
  <c r="B32" i="21"/>
  <c r="A33" i="22" s="1"/>
  <c r="B33" i="21"/>
  <c r="A34" i="22"/>
  <c r="B34" i="21"/>
  <c r="A35" i="22" s="1"/>
  <c r="B35" i="21"/>
  <c r="A36" i="22" s="1"/>
  <c r="B36" i="21"/>
  <c r="A37" i="22" s="1"/>
  <c r="B37" i="21"/>
  <c r="A38" i="22" s="1"/>
  <c r="B38" i="21"/>
  <c r="A39" i="22" s="1"/>
  <c r="B39" i="21"/>
  <c r="A40" i="22" s="1"/>
  <c r="B40" i="21"/>
  <c r="A41" i="22" s="1"/>
  <c r="B41" i="21"/>
  <c r="A42" i="22" s="1"/>
  <c r="B42" i="21"/>
  <c r="A43" i="22" s="1"/>
  <c r="B43" i="21"/>
  <c r="A44" i="22" s="1"/>
  <c r="B44" i="21"/>
  <c r="A45" i="22" s="1"/>
  <c r="B45" i="21"/>
  <c r="A46" i="22" s="1"/>
  <c r="B46" i="21"/>
  <c r="A47" i="22" s="1"/>
  <c r="B47" i="21"/>
  <c r="A48" i="22" s="1"/>
  <c r="B48" i="21"/>
  <c r="A49" i="22" s="1"/>
  <c r="B49" i="21"/>
  <c r="A50" i="22" s="1"/>
  <c r="B50" i="21"/>
  <c r="A51" i="22" s="1"/>
  <c r="B51" i="21"/>
  <c r="A52" i="22" s="1"/>
  <c r="B52" i="21"/>
  <c r="A53" i="22" s="1"/>
  <c r="B53" i="21"/>
  <c r="A54" i="22" s="1"/>
  <c r="B54" i="21"/>
  <c r="A55" i="22" s="1"/>
  <c r="B55" i="21"/>
  <c r="A56" i="22" s="1"/>
  <c r="B56" i="21"/>
  <c r="A57" i="22" s="1"/>
  <c r="B57" i="21"/>
  <c r="A58" i="22" s="1"/>
  <c r="B58" i="21"/>
  <c r="A59" i="22" s="1"/>
  <c r="B59" i="21"/>
  <c r="A60" i="22" s="1"/>
  <c r="B60" i="21"/>
  <c r="A61" i="22" s="1"/>
  <c r="B61" i="21"/>
  <c r="A62" i="22" s="1"/>
  <c r="B62" i="21"/>
  <c r="A63" i="22" s="1"/>
  <c r="B63" i="21"/>
  <c r="A64" i="22" s="1"/>
  <c r="B64" i="21"/>
  <c r="A65" i="22" s="1"/>
  <c r="B65" i="21"/>
  <c r="A66" i="22" s="1"/>
  <c r="B66" i="21"/>
  <c r="A67" i="22" s="1"/>
  <c r="B67" i="21"/>
  <c r="A68" i="22" s="1"/>
  <c r="B68" i="21"/>
  <c r="A69" i="22" s="1"/>
  <c r="B69" i="21"/>
  <c r="A70" i="22" s="1"/>
  <c r="B70" i="21"/>
  <c r="A71" i="22" s="1"/>
  <c r="B71" i="21"/>
  <c r="A72" i="22" s="1"/>
  <c r="B72" i="21"/>
  <c r="A73" i="22" s="1"/>
  <c r="B73" i="21"/>
  <c r="A74" i="22" s="1"/>
  <c r="B74" i="21"/>
  <c r="A75" i="22" s="1"/>
  <c r="B75" i="21"/>
  <c r="A76" i="22" s="1"/>
  <c r="B76" i="21"/>
  <c r="A77" i="22" s="1"/>
  <c r="B77" i="21"/>
  <c r="A78" i="22" s="1"/>
  <c r="B78" i="21"/>
  <c r="A79" i="22" s="1"/>
  <c r="B79" i="21"/>
  <c r="A80" i="22"/>
  <c r="B80" i="21"/>
  <c r="A81" i="22" s="1"/>
  <c r="B81" i="21"/>
  <c r="A82" i="22" s="1"/>
  <c r="B82" i="21"/>
  <c r="A83" i="22" s="1"/>
  <c r="B83" i="21"/>
  <c r="A84" i="22" s="1"/>
  <c r="B84" i="21"/>
  <c r="A85" i="22" s="1"/>
  <c r="B85" i="21"/>
  <c r="A86" i="22" s="1"/>
  <c r="B86" i="21"/>
  <c r="A87" i="22" s="1"/>
  <c r="B87" i="21"/>
  <c r="A88" i="22" s="1"/>
  <c r="B88" i="21"/>
  <c r="A89" i="22" s="1"/>
  <c r="B89" i="21"/>
  <c r="A90" i="22" s="1"/>
  <c r="B90" i="21"/>
  <c r="A91" i="22" s="1"/>
  <c r="B91" i="21"/>
  <c r="A92" i="22" s="1"/>
  <c r="B92" i="21"/>
  <c r="A93" i="22"/>
  <c r="B93" i="21"/>
  <c r="A94" i="22" s="1"/>
  <c r="B94" i="21"/>
  <c r="A95" i="22" s="1"/>
  <c r="B95" i="21"/>
  <c r="A96" i="22" s="1"/>
  <c r="B96" i="21"/>
  <c r="A97" i="22" s="1"/>
  <c r="B97" i="21"/>
  <c r="A98" i="22" s="1"/>
  <c r="B98" i="21"/>
  <c r="A99" i="22" s="1"/>
  <c r="B99" i="21"/>
  <c r="A100" i="22" s="1"/>
  <c r="B100" i="21"/>
  <c r="A101" i="22" s="1"/>
  <c r="B101" i="21"/>
  <c r="A102" i="22" s="1"/>
  <c r="B102" i="21"/>
  <c r="A103" i="22" s="1"/>
  <c r="B103" i="21"/>
  <c r="A104" i="22" s="1"/>
  <c r="B104" i="21"/>
  <c r="A105" i="22" s="1"/>
  <c r="B105" i="21"/>
  <c r="A106" i="22" s="1"/>
  <c r="B106" i="21"/>
  <c r="A107" i="22" s="1"/>
  <c r="B107" i="21"/>
  <c r="A108" i="22" s="1"/>
  <c r="B108" i="21"/>
  <c r="A109" i="22" s="1"/>
  <c r="B109" i="21"/>
  <c r="A110" i="22" s="1"/>
  <c r="B110" i="21"/>
  <c r="A111" i="22" s="1"/>
  <c r="B111" i="21"/>
  <c r="A112" i="22"/>
  <c r="B112" i="21"/>
  <c r="A113" i="22" s="1"/>
  <c r="B113" i="21"/>
  <c r="A114" i="22" s="1"/>
  <c r="B114" i="21"/>
  <c r="A115" i="22" s="1"/>
  <c r="B115" i="21"/>
  <c r="A116" i="22" s="1"/>
  <c r="B116" i="21"/>
  <c r="A117" i="22" s="1"/>
  <c r="B117" i="21"/>
  <c r="A118" i="22"/>
  <c r="B118" i="21"/>
  <c r="A119" i="22" s="1"/>
  <c r="B119" i="21"/>
  <c r="A120" i="22" s="1"/>
  <c r="B120" i="21"/>
  <c r="A121" i="22" s="1"/>
  <c r="B121" i="21"/>
  <c r="A122" i="22" s="1"/>
  <c r="B122" i="21"/>
  <c r="A123" i="22" s="1"/>
  <c r="B123" i="21"/>
  <c r="A124" i="22"/>
  <c r="B124" i="21"/>
  <c r="A125" i="22" s="1"/>
  <c r="B125" i="21"/>
  <c r="A126" i="22" s="1"/>
  <c r="B126" i="21"/>
  <c r="A127" i="22" s="1"/>
  <c r="B127" i="21"/>
  <c r="A128" i="22" s="1"/>
  <c r="B128" i="21"/>
  <c r="A129" i="22" s="1"/>
  <c r="B129" i="21"/>
  <c r="A130" i="22" s="1"/>
  <c r="B130" i="21"/>
  <c r="A131" i="22" s="1"/>
  <c r="B131" i="21"/>
  <c r="A132" i="22" s="1"/>
  <c r="B132" i="21"/>
  <c r="A133" i="22" s="1"/>
  <c r="B133" i="21"/>
  <c r="A134" i="22" s="1"/>
  <c r="B134" i="21"/>
  <c r="A135" i="22" s="1"/>
  <c r="B135" i="21"/>
  <c r="A136" i="22" s="1"/>
  <c r="B136" i="21"/>
  <c r="A137" i="22" s="1"/>
  <c r="B137" i="21"/>
  <c r="A138" i="22" s="1"/>
  <c r="B138" i="21"/>
  <c r="A139" i="22" s="1"/>
  <c r="B139" i="21"/>
  <c r="A140" i="22" s="1"/>
  <c r="B140" i="21"/>
  <c r="A141" i="22" s="1"/>
  <c r="B141" i="21"/>
  <c r="A142" i="22" s="1"/>
  <c r="B142" i="21"/>
  <c r="A143" i="22" s="1"/>
  <c r="B143" i="21"/>
  <c r="A144" i="22" s="1"/>
  <c r="B144" i="21"/>
  <c r="A145" i="22" s="1"/>
  <c r="B145" i="21"/>
  <c r="A146" i="22" s="1"/>
  <c r="B146" i="21"/>
  <c r="A147" i="22" s="1"/>
  <c r="B147" i="21"/>
  <c r="A148" i="22" s="1"/>
  <c r="B148" i="21"/>
  <c r="A149" i="22" s="1"/>
  <c r="B149" i="21"/>
  <c r="A150" i="22"/>
  <c r="B150" i="21"/>
  <c r="A151" i="22" s="1"/>
  <c r="B151" i="21"/>
  <c r="A152" i="22" s="1"/>
  <c r="B152" i="21"/>
  <c r="A153" i="22"/>
  <c r="B153" i="21"/>
  <c r="A154" i="22" s="1"/>
  <c r="B154" i="21"/>
  <c r="A155" i="22" s="1"/>
  <c r="B155" i="21"/>
  <c r="A156" i="22" s="1"/>
  <c r="B156" i="21"/>
  <c r="A157" i="22" s="1"/>
  <c r="B157" i="21"/>
  <c r="A158" i="22" s="1"/>
  <c r="B158" i="21"/>
  <c r="A159" i="22" s="1"/>
  <c r="B159" i="21"/>
  <c r="A160" i="22" s="1"/>
  <c r="B160" i="21"/>
  <c r="A161" i="22" s="1"/>
  <c r="B161" i="21"/>
  <c r="A162" i="22" s="1"/>
  <c r="B162" i="21"/>
  <c r="A163" i="22" s="1"/>
  <c r="B163" i="21"/>
  <c r="A164" i="22" s="1"/>
  <c r="B164" i="21"/>
  <c r="A165" i="22"/>
  <c r="B165" i="21"/>
  <c r="A166" i="22" s="1"/>
  <c r="B166" i="21"/>
  <c r="A167" i="22" s="1"/>
  <c r="B167" i="21"/>
  <c r="A168" i="22" s="1"/>
  <c r="B168" i="21"/>
  <c r="A169" i="22" s="1"/>
  <c r="B169" i="21"/>
  <c r="A170" i="22" s="1"/>
  <c r="B170" i="21"/>
  <c r="A171" i="22" s="1"/>
  <c r="B171" i="21"/>
  <c r="A172" i="22" s="1"/>
  <c r="B172" i="21"/>
  <c r="A173" i="22" s="1"/>
  <c r="B173" i="21"/>
  <c r="A174" i="22" s="1"/>
  <c r="B174" i="21"/>
  <c r="A175" i="22" s="1"/>
  <c r="B175" i="21"/>
  <c r="A176" i="22" s="1"/>
  <c r="B176" i="21"/>
  <c r="A177" i="22" s="1"/>
  <c r="B177" i="21"/>
  <c r="A178" i="22" s="1"/>
  <c r="B178" i="21"/>
  <c r="A179" i="22" s="1"/>
  <c r="B179" i="21"/>
  <c r="A180" i="22" s="1"/>
  <c r="B180" i="21"/>
  <c r="A181" i="22" s="1"/>
  <c r="B181" i="21"/>
  <c r="A182" i="22" s="1"/>
  <c r="B182" i="21"/>
  <c r="A183" i="22" s="1"/>
  <c r="B183" i="21"/>
  <c r="A184" i="22" s="1"/>
  <c r="B184" i="21"/>
  <c r="A185" i="22" s="1"/>
  <c r="B185" i="21"/>
  <c r="A186" i="22" s="1"/>
  <c r="B186" i="21"/>
  <c r="A187" i="22" s="1"/>
  <c r="B187" i="21"/>
  <c r="A188" i="22" s="1"/>
  <c r="B188" i="21"/>
  <c r="A189" i="22" s="1"/>
  <c r="B189" i="21"/>
  <c r="A190" i="22" s="1"/>
  <c r="B190" i="21"/>
  <c r="A191" i="22" s="1"/>
  <c r="B191" i="21"/>
  <c r="A192" i="22" s="1"/>
  <c r="B192" i="21"/>
  <c r="A193" i="22" s="1"/>
  <c r="B193" i="21"/>
  <c r="A194" i="22" s="1"/>
  <c r="B194" i="21"/>
  <c r="A195" i="22" s="1"/>
  <c r="B195" i="21"/>
  <c r="A196" i="22" s="1"/>
  <c r="B196" i="21"/>
  <c r="A197" i="22" s="1"/>
  <c r="B197" i="21"/>
  <c r="A198" i="22" s="1"/>
  <c r="B198" i="21"/>
  <c r="A199" i="22" s="1"/>
  <c r="B199" i="21"/>
  <c r="A200" i="22" s="1"/>
  <c r="B200" i="21"/>
  <c r="A201" i="22" s="1"/>
  <c r="B201" i="21"/>
  <c r="A202" i="22" s="1"/>
  <c r="B202" i="21"/>
  <c r="A203" i="22" s="1"/>
  <c r="B203" i="21"/>
  <c r="A204" i="22" s="1"/>
  <c r="B204" i="21"/>
  <c r="A205" i="22" s="1"/>
  <c r="B205" i="21"/>
  <c r="A206" i="22" s="1"/>
  <c r="B206" i="21"/>
  <c r="A207" i="22" s="1"/>
  <c r="B207" i="21"/>
  <c r="A208" i="22" s="1"/>
  <c r="B208" i="21"/>
  <c r="A209" i="22" s="1"/>
  <c r="B209" i="21"/>
  <c r="A210" i="22" s="1"/>
  <c r="B210" i="21"/>
  <c r="A211" i="22" s="1"/>
  <c r="B211" i="21"/>
  <c r="A212" i="22" s="1"/>
  <c r="B212" i="21"/>
  <c r="A213" i="22" s="1"/>
  <c r="B213" i="21"/>
  <c r="A214" i="22" s="1"/>
  <c r="B214" i="21"/>
  <c r="A215" i="22" s="1"/>
  <c r="B215" i="21"/>
  <c r="A216" i="22" s="1"/>
  <c r="B216" i="21"/>
  <c r="A217" i="22" s="1"/>
  <c r="B217" i="21"/>
  <c r="A218" i="22" s="1"/>
  <c r="B218" i="21"/>
  <c r="A219" i="22" s="1"/>
  <c r="B219" i="21"/>
  <c r="A220" i="22" s="1"/>
  <c r="B220" i="21"/>
  <c r="A221" i="22" s="1"/>
  <c r="B221" i="21"/>
  <c r="A222" i="22" s="1"/>
  <c r="B222" i="21"/>
  <c r="A223" i="22" s="1"/>
  <c r="B223" i="21"/>
  <c r="A224" i="22" s="1"/>
  <c r="B224" i="21"/>
  <c r="A225" i="22" s="1"/>
  <c r="B225" i="21"/>
  <c r="A226" i="22" s="1"/>
  <c r="B226" i="21"/>
  <c r="A227" i="22" s="1"/>
  <c r="B227" i="21"/>
  <c r="A228" i="22" s="1"/>
  <c r="B228" i="21"/>
  <c r="A229" i="22" s="1"/>
  <c r="B229" i="21"/>
  <c r="A230" i="22" s="1"/>
  <c r="B230" i="21"/>
  <c r="A231" i="22" s="1"/>
  <c r="B231" i="21"/>
  <c r="A232" i="22" s="1"/>
  <c r="B232" i="21"/>
  <c r="A233" i="22" s="1"/>
  <c r="B233" i="21"/>
  <c r="A234" i="22" s="1"/>
  <c r="B234" i="21"/>
  <c r="A235" i="22" s="1"/>
  <c r="B235" i="21"/>
  <c r="A236" i="22" s="1"/>
  <c r="B236" i="21"/>
  <c r="A237" i="22" s="1"/>
  <c r="B237" i="21"/>
  <c r="A238" i="22" s="1"/>
  <c r="B238" i="21"/>
  <c r="A239" i="22" s="1"/>
  <c r="B239" i="21"/>
  <c r="A240" i="22" s="1"/>
  <c r="B240" i="21"/>
  <c r="A241" i="22" s="1"/>
  <c r="B241" i="21"/>
  <c r="A242" i="22" s="1"/>
  <c r="B242" i="21"/>
  <c r="A243" i="22" s="1"/>
  <c r="B243" i="21"/>
  <c r="A244" i="22" s="1"/>
  <c r="B244" i="21"/>
  <c r="A245" i="22" s="1"/>
  <c r="B245" i="21"/>
  <c r="A246" i="22" s="1"/>
  <c r="B246" i="21"/>
  <c r="A247" i="22" s="1"/>
  <c r="B247" i="21"/>
  <c r="A248" i="22" s="1"/>
  <c r="B248" i="21"/>
  <c r="A249" i="22" s="1"/>
  <c r="B249" i="21"/>
  <c r="A250" i="22" s="1"/>
  <c r="B250" i="21"/>
  <c r="A251" i="22" s="1"/>
  <c r="B251" i="21"/>
  <c r="A252" i="22" s="1"/>
  <c r="B252" i="21"/>
  <c r="A253" i="22" s="1"/>
  <c r="B253" i="21"/>
  <c r="A254" i="22" s="1"/>
  <c r="B254" i="21"/>
  <c r="A255" i="22" s="1"/>
  <c r="B255" i="21"/>
  <c r="A256" i="22" s="1"/>
  <c r="B256" i="21"/>
  <c r="A257" i="22" s="1"/>
  <c r="B257" i="21"/>
  <c r="A258" i="22" s="1"/>
  <c r="B258" i="21"/>
  <c r="A259" i="22" s="1"/>
  <c r="B259" i="21"/>
  <c r="A260" i="22" s="1"/>
  <c r="B260" i="21"/>
  <c r="A261" i="22" s="1"/>
  <c r="B261" i="21"/>
  <c r="A262" i="22" s="1"/>
  <c r="B262" i="21"/>
  <c r="A263" i="22" s="1"/>
  <c r="B263" i="21"/>
  <c r="A264" i="22" s="1"/>
  <c r="B264" i="21"/>
  <c r="A265" i="22" s="1"/>
  <c r="B265" i="21"/>
  <c r="A266" i="22" s="1"/>
  <c r="B266" i="21"/>
  <c r="A267" i="22" s="1"/>
  <c r="B267" i="21"/>
  <c r="A268" i="22" s="1"/>
  <c r="B268" i="21"/>
  <c r="A269" i="22" s="1"/>
  <c r="B269" i="21"/>
  <c r="A270" i="22" s="1"/>
  <c r="B270" i="21"/>
  <c r="A271" i="22" s="1"/>
  <c r="B271" i="21"/>
  <c r="A272" i="22" s="1"/>
  <c r="B272" i="21"/>
  <c r="A273" i="22" s="1"/>
  <c r="B273" i="21"/>
  <c r="A274" i="22" s="1"/>
  <c r="B274" i="21"/>
  <c r="A275" i="22" s="1"/>
  <c r="B275" i="21"/>
  <c r="A276" i="22" s="1"/>
  <c r="B276" i="21"/>
  <c r="A277" i="22" s="1"/>
  <c r="B277" i="21"/>
  <c r="A278" i="22" s="1"/>
  <c r="B278" i="21"/>
  <c r="A279" i="22" s="1"/>
  <c r="B279" i="21"/>
  <c r="A280" i="22"/>
  <c r="B280" i="21"/>
  <c r="A281" i="22" s="1"/>
  <c r="B281" i="21"/>
  <c r="A282" i="22" s="1"/>
  <c r="B282" i="21"/>
  <c r="A283" i="22" s="1"/>
  <c r="B283" i="21"/>
  <c r="A284" i="22" s="1"/>
  <c r="B284" i="21"/>
  <c r="A285" i="22" s="1"/>
  <c r="B285" i="21"/>
  <c r="A286" i="22" s="1"/>
  <c r="B286" i="21"/>
  <c r="A287" i="22" s="1"/>
  <c r="B287" i="21"/>
  <c r="A288" i="22" s="1"/>
  <c r="B288" i="21"/>
  <c r="A289" i="22"/>
  <c r="B289" i="21"/>
  <c r="A290" i="22"/>
  <c r="B290" i="21"/>
  <c r="A291" i="22" s="1"/>
  <c r="B291" i="21"/>
  <c r="A292" i="22" s="1"/>
  <c r="B292" i="21"/>
  <c r="A293" i="22" s="1"/>
  <c r="B293" i="21"/>
  <c r="A294" i="22" s="1"/>
  <c r="B294" i="21"/>
  <c r="A295" i="22" s="1"/>
  <c r="B295" i="21"/>
  <c r="A296" i="22" s="1"/>
  <c r="B296" i="21"/>
  <c r="A297" i="22" s="1"/>
  <c r="B297" i="21"/>
  <c r="A298" i="22" s="1"/>
  <c r="B298" i="21"/>
  <c r="A299" i="22" s="1"/>
  <c r="B299" i="21"/>
  <c r="A300" i="22" s="1"/>
  <c r="B300" i="21"/>
  <c r="A301" i="22" s="1"/>
  <c r="B301" i="21"/>
  <c r="A302" i="22" s="1"/>
  <c r="B302" i="21"/>
  <c r="A303" i="22" s="1"/>
  <c r="B303" i="21"/>
  <c r="A304" i="22" s="1"/>
  <c r="B304" i="21"/>
  <c r="A305" i="22" s="1"/>
  <c r="B305" i="21"/>
  <c r="A306" i="22" s="1"/>
  <c r="B306" i="21"/>
  <c r="A307" i="22" s="1"/>
  <c r="B307" i="21"/>
  <c r="A308" i="22" s="1"/>
  <c r="B308" i="21"/>
  <c r="A309" i="22" s="1"/>
  <c r="B309" i="21"/>
  <c r="A310" i="22" s="1"/>
  <c r="B310" i="21"/>
  <c r="A311" i="22" s="1"/>
  <c r="B311" i="21"/>
  <c r="A312" i="22" s="1"/>
  <c r="B312" i="21"/>
  <c r="A313" i="22" s="1"/>
  <c r="B313" i="21"/>
  <c r="A314" i="22" s="1"/>
  <c r="B314" i="21"/>
  <c r="A315" i="22" s="1"/>
  <c r="B315" i="21"/>
  <c r="A316" i="22" s="1"/>
  <c r="B316" i="21"/>
  <c r="A317" i="22" s="1"/>
  <c r="B317" i="21"/>
  <c r="A318" i="22" s="1"/>
  <c r="B318" i="21"/>
  <c r="A319" i="22" s="1"/>
  <c r="B319" i="21"/>
  <c r="A320" i="22" s="1"/>
  <c r="B320" i="21"/>
  <c r="A321" i="22" s="1"/>
  <c r="B321" i="21"/>
  <c r="A322" i="22" s="1"/>
  <c r="B322" i="21"/>
  <c r="A323" i="22" s="1"/>
  <c r="B323" i="21"/>
  <c r="A324" i="22" s="1"/>
  <c r="B324" i="21"/>
  <c r="A325" i="22" s="1"/>
  <c r="B325" i="21"/>
  <c r="A326" i="22" s="1"/>
  <c r="B326" i="21"/>
  <c r="A327" i="22" s="1"/>
  <c r="B327" i="21"/>
  <c r="A328" i="22" s="1"/>
  <c r="B328" i="21"/>
  <c r="A329" i="22" s="1"/>
  <c r="B329" i="21"/>
  <c r="A330" i="22" s="1"/>
  <c r="B330" i="21"/>
  <c r="A331" i="22" s="1"/>
  <c r="B331" i="21"/>
  <c r="A332" i="22" s="1"/>
  <c r="B332" i="21"/>
  <c r="A333" i="22" s="1"/>
  <c r="B333" i="21"/>
  <c r="A334" i="22" s="1"/>
  <c r="B334" i="21"/>
  <c r="A335" i="22" s="1"/>
  <c r="B335" i="21"/>
  <c r="A336" i="22" s="1"/>
  <c r="B336" i="21"/>
  <c r="A337" i="22" s="1"/>
  <c r="B337" i="21"/>
  <c r="A338" i="22"/>
  <c r="B338" i="21"/>
  <c r="A339" i="22" s="1"/>
  <c r="B339" i="21"/>
  <c r="A340" i="22" s="1"/>
  <c r="B340" i="21"/>
  <c r="A341" i="22" s="1"/>
  <c r="B341" i="21"/>
  <c r="A342" i="22" s="1"/>
  <c r="B342" i="21"/>
  <c r="A343" i="22" s="1"/>
  <c r="B343" i="21"/>
  <c r="A344" i="22" s="1"/>
  <c r="B344" i="21"/>
  <c r="A345" i="22"/>
  <c r="B345" i="21"/>
  <c r="A346" i="22" s="1"/>
  <c r="B346" i="21"/>
  <c r="A347" i="22" s="1"/>
  <c r="B347" i="21"/>
  <c r="A348" i="22" s="1"/>
  <c r="B348" i="21"/>
  <c r="A349" i="22" s="1"/>
  <c r="B349" i="21"/>
  <c r="A350" i="22" s="1"/>
  <c r="B350" i="21"/>
  <c r="A351" i="22" s="1"/>
  <c r="B351" i="21"/>
  <c r="A352" i="22" s="1"/>
  <c r="B352" i="21"/>
  <c r="A353" i="22" s="1"/>
  <c r="B353" i="21"/>
  <c r="A354" i="22" s="1"/>
  <c r="B354" i="21"/>
  <c r="A355" i="22" s="1"/>
  <c r="B355" i="21"/>
  <c r="A356" i="22" s="1"/>
  <c r="B356" i="21"/>
  <c r="A357" i="22" s="1"/>
  <c r="B357" i="21"/>
  <c r="A358" i="22" s="1"/>
  <c r="B358" i="21"/>
  <c r="A359" i="22" s="1"/>
  <c r="B359" i="21"/>
  <c r="A360" i="22" s="1"/>
  <c r="B360" i="21"/>
  <c r="A361" i="22" s="1"/>
  <c r="B361" i="21"/>
  <c r="A362" i="22" s="1"/>
  <c r="B362" i="21"/>
  <c r="A363" i="22" s="1"/>
  <c r="B363" i="21"/>
  <c r="A364" i="22" s="1"/>
  <c r="B364" i="21"/>
  <c r="A365" i="22" s="1"/>
  <c r="B365" i="21"/>
  <c r="A366" i="22" s="1"/>
  <c r="B366" i="21"/>
  <c r="A367" i="22" s="1"/>
  <c r="B367" i="21"/>
  <c r="A368" i="22" s="1"/>
  <c r="B368" i="21"/>
  <c r="A369" i="22" s="1"/>
  <c r="B369" i="21"/>
  <c r="A370" i="22" s="1"/>
  <c r="B370" i="21"/>
  <c r="A371" i="22" s="1"/>
  <c r="B371" i="21"/>
  <c r="A372" i="22" s="1"/>
  <c r="B372" i="21"/>
  <c r="A373" i="22" s="1"/>
  <c r="B373" i="21"/>
  <c r="A374" i="22" s="1"/>
  <c r="B374" i="21"/>
  <c r="A375" i="22" s="1"/>
  <c r="B375" i="21"/>
  <c r="A376" i="22" s="1"/>
  <c r="B376" i="21"/>
  <c r="A377" i="22" s="1"/>
  <c r="B377" i="21"/>
  <c r="A378" i="22" s="1"/>
  <c r="B378" i="21"/>
  <c r="A379" i="22" s="1"/>
  <c r="B379" i="21"/>
  <c r="A380" i="22" s="1"/>
  <c r="B380" i="21"/>
  <c r="A381" i="22" s="1"/>
  <c r="B381" i="21"/>
  <c r="A382" i="22" s="1"/>
  <c r="B382" i="21"/>
  <c r="A383" i="22" s="1"/>
  <c r="B383" i="21"/>
  <c r="A384" i="22" s="1"/>
  <c r="B384" i="21"/>
  <c r="A385" i="22" s="1"/>
  <c r="B385" i="21"/>
  <c r="A386" i="22"/>
  <c r="B386" i="21"/>
  <c r="A387" i="22" s="1"/>
  <c r="B387" i="21"/>
  <c r="A388" i="22" s="1"/>
  <c r="B388" i="21"/>
  <c r="A389" i="22" s="1"/>
  <c r="B389" i="21"/>
  <c r="A390" i="22" s="1"/>
  <c r="B390" i="21"/>
  <c r="A391" i="22" s="1"/>
  <c r="B391" i="21"/>
  <c r="A392" i="22" s="1"/>
  <c r="B392" i="21"/>
  <c r="A393" i="22" s="1"/>
  <c r="B393" i="21"/>
  <c r="A394" i="22" s="1"/>
  <c r="B394" i="21"/>
  <c r="A395" i="22" s="1"/>
  <c r="B395" i="21"/>
  <c r="A396" i="22" s="1"/>
  <c r="B396" i="21"/>
  <c r="A397" i="22" s="1"/>
  <c r="B397" i="21"/>
  <c r="A398" i="22" s="1"/>
  <c r="B398" i="21"/>
  <c r="A399" i="22" s="1"/>
  <c r="B399" i="21"/>
  <c r="A400" i="22"/>
  <c r="B400" i="21"/>
  <c r="A401" i="22" s="1"/>
  <c r="B401" i="21"/>
  <c r="A402" i="22" s="1"/>
  <c r="B402" i="21"/>
  <c r="A403" i="22" s="1"/>
  <c r="B403" i="21"/>
  <c r="A404" i="22" s="1"/>
  <c r="B404" i="21"/>
  <c r="A405" i="22" s="1"/>
  <c r="B405" i="21"/>
  <c r="A406" i="22" s="1"/>
  <c r="B406" i="21"/>
  <c r="A407" i="22" s="1"/>
  <c r="B407" i="21"/>
  <c r="A408" i="22" s="1"/>
  <c r="B408" i="21"/>
  <c r="A409" i="22" s="1"/>
  <c r="B409" i="21"/>
  <c r="A410" i="22" s="1"/>
  <c r="B410" i="21"/>
  <c r="A411" i="22" s="1"/>
  <c r="B411" i="21"/>
  <c r="A412" i="22" s="1"/>
  <c r="B412" i="21"/>
  <c r="A413" i="22"/>
  <c r="B413" i="21"/>
  <c r="A414" i="22" s="1"/>
  <c r="B414" i="21"/>
  <c r="A415" i="22" s="1"/>
  <c r="B415" i="21"/>
  <c r="A416" i="22" s="1"/>
  <c r="B416" i="21"/>
  <c r="A417" i="22" s="1"/>
  <c r="B417" i="21"/>
  <c r="A418" i="22" s="1"/>
  <c r="B418" i="21"/>
  <c r="A419" i="22" s="1"/>
  <c r="B419" i="21"/>
  <c r="A420" i="22" s="1"/>
  <c r="B420" i="21"/>
  <c r="A421" i="22" s="1"/>
  <c r="B421" i="21"/>
  <c r="A422" i="22" s="1"/>
  <c r="B422" i="21"/>
  <c r="A423" i="22" s="1"/>
  <c r="B423" i="21"/>
  <c r="A424" i="22" s="1"/>
  <c r="B424" i="21"/>
  <c r="A425" i="22" s="1"/>
  <c r="B425" i="21"/>
  <c r="A426" i="22" s="1"/>
  <c r="B426" i="21"/>
  <c r="A427" i="22" s="1"/>
  <c r="B427" i="21"/>
  <c r="A428" i="22" s="1"/>
  <c r="B428" i="21"/>
  <c r="A429" i="22" s="1"/>
  <c r="B429" i="21"/>
  <c r="A430" i="22" s="1"/>
  <c r="B430" i="21"/>
  <c r="A431" i="22" s="1"/>
  <c r="B431" i="21"/>
  <c r="A432" i="22" s="1"/>
  <c r="B432" i="21"/>
  <c r="A433" i="22" s="1"/>
  <c r="B433" i="21"/>
  <c r="A434" i="22" s="1"/>
  <c r="B434" i="21"/>
  <c r="A435" i="22" s="1"/>
  <c r="B435" i="21"/>
  <c r="A436" i="22" s="1"/>
  <c r="B436" i="21"/>
  <c r="A437" i="22" s="1"/>
  <c r="B437" i="21"/>
  <c r="A438" i="22" s="1"/>
  <c r="B438" i="21"/>
  <c r="A439" i="22" s="1"/>
  <c r="B439" i="21"/>
  <c r="A440" i="22" s="1"/>
  <c r="B440" i="21"/>
  <c r="A441" i="22" s="1"/>
  <c r="B441" i="21"/>
  <c r="A442" i="22" s="1"/>
  <c r="B442" i="21"/>
  <c r="A443" i="22" s="1"/>
  <c r="B443" i="21"/>
  <c r="A444" i="22" s="1"/>
  <c r="B444" i="21"/>
  <c r="A445" i="22"/>
  <c r="B445" i="21"/>
  <c r="A446" i="22" s="1"/>
  <c r="B446" i="21"/>
  <c r="A447" i="22" s="1"/>
  <c r="B447" i="21"/>
  <c r="A448" i="22" s="1"/>
  <c r="B448" i="21"/>
  <c r="A449" i="22" s="1"/>
  <c r="B449" i="21"/>
  <c r="A450" i="22" s="1"/>
  <c r="B450" i="21"/>
  <c r="A451" i="22" s="1"/>
  <c r="B451" i="21"/>
  <c r="A452" i="22" s="1"/>
  <c r="B452" i="21"/>
  <c r="A453" i="22" s="1"/>
  <c r="B453" i="21"/>
  <c r="A454" i="22" s="1"/>
  <c r="B454" i="21"/>
  <c r="A455" i="22" s="1"/>
  <c r="B455" i="21"/>
  <c r="A456" i="22" s="1"/>
  <c r="B456" i="21"/>
  <c r="A457" i="22" s="1"/>
  <c r="B457" i="21"/>
  <c r="A458" i="22" s="1"/>
  <c r="B458" i="21"/>
  <c r="A459" i="22" s="1"/>
  <c r="B459" i="21"/>
  <c r="A460" i="22" s="1"/>
  <c r="B460" i="21"/>
  <c r="A461" i="22" s="1"/>
  <c r="B461" i="21"/>
  <c r="A462" i="22" s="1"/>
  <c r="B462" i="21"/>
  <c r="A463" i="22" s="1"/>
  <c r="B463" i="21"/>
  <c r="A464" i="22"/>
  <c r="B464" i="21"/>
  <c r="A465" i="22" s="1"/>
  <c r="B465" i="21"/>
  <c r="A466" i="22" s="1"/>
  <c r="B466" i="21"/>
  <c r="A467" i="22" s="1"/>
  <c r="B467" i="21"/>
  <c r="A468" i="22" s="1"/>
  <c r="B468" i="21"/>
  <c r="A469" i="22" s="1"/>
  <c r="B469" i="21"/>
  <c r="A470" i="22" s="1"/>
  <c r="B470" i="21"/>
  <c r="A471" i="22" s="1"/>
  <c r="B471" i="21"/>
  <c r="A472" i="22" s="1"/>
  <c r="B472" i="21"/>
  <c r="A473" i="22" s="1"/>
  <c r="B473" i="21"/>
  <c r="A474" i="22" s="1"/>
  <c r="B474" i="21"/>
  <c r="A475" i="22" s="1"/>
  <c r="B475" i="21"/>
  <c r="A476" i="22" s="1"/>
  <c r="B476" i="21"/>
  <c r="A477" i="22" s="1"/>
  <c r="B477" i="21"/>
  <c r="A478" i="22" s="1"/>
  <c r="B478" i="21"/>
  <c r="A479" i="22" s="1"/>
  <c r="B479" i="21"/>
  <c r="A480" i="22" s="1"/>
  <c r="B480" i="21"/>
  <c r="A481" i="22" s="1"/>
  <c r="B481" i="21"/>
  <c r="A482" i="22" s="1"/>
  <c r="B482" i="21"/>
  <c r="A483" i="22" s="1"/>
  <c r="B483" i="21"/>
  <c r="A484" i="22" s="1"/>
  <c r="B484" i="21"/>
  <c r="A485" i="22"/>
  <c r="B485" i="21"/>
  <c r="A486" i="22" s="1"/>
  <c r="B486" i="21"/>
  <c r="A487" i="22" s="1"/>
  <c r="B487" i="21"/>
  <c r="A488" i="22" s="1"/>
  <c r="B488" i="21"/>
  <c r="A489" i="22" s="1"/>
  <c r="B489" i="21"/>
  <c r="A490" i="22" s="1"/>
  <c r="B490" i="21"/>
  <c r="A491" i="22" s="1"/>
  <c r="B491" i="21"/>
  <c r="A492" i="22" s="1"/>
  <c r="B492" i="21"/>
  <c r="A493" i="22" s="1"/>
  <c r="B493" i="21"/>
  <c r="A494" i="22" s="1"/>
  <c r="B494" i="21"/>
  <c r="A495" i="22" s="1"/>
  <c r="B495" i="21"/>
  <c r="A496" i="22" s="1"/>
  <c r="B496" i="21"/>
  <c r="A497" i="22" s="1"/>
  <c r="B497" i="21"/>
  <c r="A498" i="22" s="1"/>
  <c r="B498" i="21"/>
  <c r="A499" i="22" s="1"/>
  <c r="B499" i="21"/>
  <c r="A500" i="22" s="1"/>
  <c r="B500" i="21"/>
  <c r="A501" i="22" s="1"/>
  <c r="B501" i="21"/>
  <c r="A502" i="22" s="1"/>
  <c r="B502" i="21"/>
  <c r="A503" i="22" s="1"/>
  <c r="B12" i="24"/>
  <c r="T5" i="24" a="1"/>
  <c r="T27" i="24" s="1"/>
  <c r="U27" i="24" s="1"/>
  <c r="T26" i="24"/>
  <c r="U26" i="24"/>
  <c r="T22" i="24"/>
  <c r="U22" i="24" s="1"/>
  <c r="T18" i="24"/>
  <c r="U18" i="24"/>
  <c r="T14" i="24"/>
  <c r="U14" i="24" s="1"/>
  <c r="T10" i="24"/>
  <c r="U10" i="24"/>
  <c r="B9" i="24"/>
  <c r="D8" i="24"/>
  <c r="T7" i="24"/>
  <c r="U7" i="24"/>
  <c r="D7" i="24"/>
  <c r="D6" i="24"/>
  <c r="I5" i="24"/>
  <c r="D5" i="24"/>
  <c r="AG4" i="13"/>
  <c r="O4" i="21"/>
  <c r="O5" i="21"/>
  <c r="O6" i="21"/>
  <c r="O7" i="21"/>
  <c r="O8" i="21"/>
  <c r="O9" i="21"/>
  <c r="O10" i="21"/>
  <c r="O11" i="21"/>
  <c r="O12" i="21"/>
  <c r="O13" i="21"/>
  <c r="O14" i="21"/>
  <c r="O15" i="21"/>
  <c r="O16" i="21"/>
  <c r="O17" i="21"/>
  <c r="O18" i="21"/>
  <c r="O19" i="21"/>
  <c r="O20" i="21"/>
  <c r="O21" i="21"/>
  <c r="O22" i="21"/>
  <c r="O3" i="21"/>
  <c r="A2" i="23"/>
  <c r="E103" i="23" s="1"/>
  <c r="F103" i="23" s="1"/>
  <c r="E102" i="23"/>
  <c r="F102" i="23"/>
  <c r="C102" i="23"/>
  <c r="D102" i="23" s="1"/>
  <c r="E100" i="23"/>
  <c r="F100" i="23"/>
  <c r="C100" i="23"/>
  <c r="D100" i="23" s="1"/>
  <c r="E98" i="23"/>
  <c r="F98" i="23" s="1"/>
  <c r="C98" i="23"/>
  <c r="D98" i="23" s="1"/>
  <c r="E96" i="23"/>
  <c r="F96" i="23" s="1"/>
  <c r="C96" i="23"/>
  <c r="D96" i="23" s="1"/>
  <c r="E94" i="23"/>
  <c r="F94" i="23"/>
  <c r="C94" i="23"/>
  <c r="D94" i="23" s="1"/>
  <c r="E92" i="23"/>
  <c r="F92" i="23"/>
  <c r="C92" i="23"/>
  <c r="D92" i="23" s="1"/>
  <c r="E90" i="23"/>
  <c r="F90" i="23" s="1"/>
  <c r="C90" i="23"/>
  <c r="D90" i="23" s="1"/>
  <c r="E88" i="23"/>
  <c r="F88" i="23" s="1"/>
  <c r="C88" i="23"/>
  <c r="D88" i="23" s="1"/>
  <c r="E86" i="23"/>
  <c r="F86" i="23"/>
  <c r="C86" i="23"/>
  <c r="D86" i="23" s="1"/>
  <c r="E84" i="23"/>
  <c r="F84" i="23"/>
  <c r="C84" i="23"/>
  <c r="D84" i="23" s="1"/>
  <c r="E82" i="23"/>
  <c r="F82" i="23" s="1"/>
  <c r="C82" i="23"/>
  <c r="D82" i="23" s="1"/>
  <c r="E80" i="23"/>
  <c r="F80" i="23"/>
  <c r="C80" i="23"/>
  <c r="D80" i="23" s="1"/>
  <c r="E78" i="23"/>
  <c r="F78" i="23"/>
  <c r="C78" i="23"/>
  <c r="D78" i="23" s="1"/>
  <c r="E76" i="23"/>
  <c r="F76" i="23"/>
  <c r="C76" i="23"/>
  <c r="D76" i="23" s="1"/>
  <c r="E74" i="23"/>
  <c r="F74" i="23"/>
  <c r="C74" i="23"/>
  <c r="D74" i="23" s="1"/>
  <c r="E72" i="23"/>
  <c r="F72" i="23"/>
  <c r="C72" i="23"/>
  <c r="D72" i="23" s="1"/>
  <c r="E70" i="23"/>
  <c r="F70" i="23"/>
  <c r="C70" i="23"/>
  <c r="D70" i="23" s="1"/>
  <c r="E68" i="23"/>
  <c r="F68" i="23"/>
  <c r="C68" i="23"/>
  <c r="D68" i="23" s="1"/>
  <c r="E66" i="23"/>
  <c r="F66" i="23"/>
  <c r="C66" i="23"/>
  <c r="D66" i="23" s="1"/>
  <c r="E64" i="23"/>
  <c r="F64" i="23"/>
  <c r="C64" i="23"/>
  <c r="D64" i="23" s="1"/>
  <c r="E62" i="23"/>
  <c r="F62" i="23"/>
  <c r="C62" i="23"/>
  <c r="D62" i="23" s="1"/>
  <c r="E60" i="23"/>
  <c r="F60" i="23"/>
  <c r="C60" i="23"/>
  <c r="D60" i="23" s="1"/>
  <c r="E58" i="23"/>
  <c r="F58" i="23"/>
  <c r="C58" i="23"/>
  <c r="D58" i="23" s="1"/>
  <c r="E56" i="23"/>
  <c r="F56" i="23"/>
  <c r="C56" i="23"/>
  <c r="D56" i="23" s="1"/>
  <c r="E54" i="23"/>
  <c r="F54" i="23"/>
  <c r="C54" i="23"/>
  <c r="D54" i="23" s="1"/>
  <c r="E52" i="23"/>
  <c r="F52" i="23"/>
  <c r="C52" i="23"/>
  <c r="D52" i="23" s="1"/>
  <c r="E50" i="23"/>
  <c r="F50" i="23"/>
  <c r="C50" i="23"/>
  <c r="D50" i="23" s="1"/>
  <c r="E48" i="23"/>
  <c r="F48" i="23"/>
  <c r="C48" i="23"/>
  <c r="D48" i="23" s="1"/>
  <c r="E46" i="23"/>
  <c r="F46" i="23"/>
  <c r="C46" i="23"/>
  <c r="D46" i="23" s="1"/>
  <c r="E44" i="23"/>
  <c r="F44" i="23"/>
  <c r="C44" i="23"/>
  <c r="D44" i="23" s="1"/>
  <c r="E43" i="23"/>
  <c r="F43" i="23" s="1"/>
  <c r="E42" i="23"/>
  <c r="F42" i="23" s="1"/>
  <c r="C42" i="23"/>
  <c r="D42" i="23"/>
  <c r="E41" i="23"/>
  <c r="F41" i="23" s="1"/>
  <c r="E40" i="23"/>
  <c r="F40" i="23" s="1"/>
  <c r="C40" i="23"/>
  <c r="D40" i="23"/>
  <c r="E39" i="23"/>
  <c r="F39" i="23" s="1"/>
  <c r="E38" i="23"/>
  <c r="F38" i="23"/>
  <c r="C38" i="23"/>
  <c r="D38" i="23"/>
  <c r="E37" i="23"/>
  <c r="F37" i="23" s="1"/>
  <c r="E36" i="23"/>
  <c r="F36" i="23"/>
  <c r="C36" i="23"/>
  <c r="D36" i="23" s="1"/>
  <c r="E35" i="23"/>
  <c r="F35" i="23" s="1"/>
  <c r="E34" i="23"/>
  <c r="F34" i="23" s="1"/>
  <c r="C34" i="23"/>
  <c r="D34" i="23"/>
  <c r="E33" i="23"/>
  <c r="F33" i="23" s="1"/>
  <c r="E32" i="23"/>
  <c r="F32" i="23" s="1"/>
  <c r="C32" i="23"/>
  <c r="D32" i="23"/>
  <c r="E31" i="23"/>
  <c r="F31" i="23" s="1"/>
  <c r="E30" i="23"/>
  <c r="F30" i="23"/>
  <c r="C30" i="23"/>
  <c r="D30" i="23" s="1"/>
  <c r="E29" i="23"/>
  <c r="F29" i="23"/>
  <c r="E28" i="23"/>
  <c r="F28" i="23" s="1"/>
  <c r="C28" i="23"/>
  <c r="D28" i="23"/>
  <c r="E27" i="23"/>
  <c r="F27" i="23" s="1"/>
  <c r="E26" i="23"/>
  <c r="F26" i="23"/>
  <c r="C26" i="23"/>
  <c r="D26" i="23" s="1"/>
  <c r="E25" i="23"/>
  <c r="F25" i="23"/>
  <c r="E24" i="23"/>
  <c r="F24" i="23" s="1"/>
  <c r="C24" i="23"/>
  <c r="D24" i="23"/>
  <c r="E23" i="23"/>
  <c r="F23" i="23" s="1"/>
  <c r="E22" i="23"/>
  <c r="F22" i="23"/>
  <c r="C22" i="23"/>
  <c r="D22" i="23" s="1"/>
  <c r="E21" i="23"/>
  <c r="F21" i="23" s="1"/>
  <c r="E20" i="23"/>
  <c r="F20" i="23" s="1"/>
  <c r="C20" i="23"/>
  <c r="D20" i="23"/>
  <c r="E19" i="23"/>
  <c r="F19" i="23" s="1"/>
  <c r="E18" i="23"/>
  <c r="F18" i="23"/>
  <c r="C18" i="23"/>
  <c r="D18" i="23" s="1"/>
  <c r="E17" i="23"/>
  <c r="F17" i="23"/>
  <c r="E16" i="23"/>
  <c r="F16" i="23" s="1"/>
  <c r="C16" i="23"/>
  <c r="D16" i="23" s="1"/>
  <c r="E15" i="23"/>
  <c r="F15" i="23" s="1"/>
  <c r="E14" i="23"/>
  <c r="F14" i="23"/>
  <c r="C14" i="23"/>
  <c r="D14" i="23" s="1"/>
  <c r="S13" i="23"/>
  <c r="H2" i="23"/>
  <c r="Q13" i="23"/>
  <c r="E13" i="23"/>
  <c r="F13" i="23" s="1"/>
  <c r="C13" i="23"/>
  <c r="D13" i="23" s="1"/>
  <c r="S12" i="23"/>
  <c r="Q12" i="23"/>
  <c r="J12" i="23"/>
  <c r="K12" i="23"/>
  <c r="E12" i="23"/>
  <c r="F12" i="23" s="1"/>
  <c r="C12" i="23"/>
  <c r="D12" i="23"/>
  <c r="S11" i="23"/>
  <c r="Q11" i="23"/>
  <c r="P11" i="23"/>
  <c r="L11" i="23"/>
  <c r="M11" i="23"/>
  <c r="E11" i="23"/>
  <c r="F11" i="23" s="1"/>
  <c r="C11" i="23"/>
  <c r="D11" i="23" s="1"/>
  <c r="S10" i="23"/>
  <c r="R10" i="23"/>
  <c r="Q10" i="23"/>
  <c r="J10" i="23"/>
  <c r="K10" i="23" s="1"/>
  <c r="E10" i="23"/>
  <c r="F10" i="23"/>
  <c r="C10" i="23"/>
  <c r="D10" i="23" s="1"/>
  <c r="S9" i="23"/>
  <c r="Q9" i="23"/>
  <c r="J9" i="23"/>
  <c r="K9" i="23" s="1"/>
  <c r="E9" i="23"/>
  <c r="F9" i="23" s="1"/>
  <c r="C9" i="23"/>
  <c r="D9" i="23"/>
  <c r="S8" i="23"/>
  <c r="Q8" i="23"/>
  <c r="L8" i="23"/>
  <c r="M8" i="23" s="1"/>
  <c r="J8" i="23"/>
  <c r="K8" i="23" s="1"/>
  <c r="E8" i="23"/>
  <c r="F8" i="23"/>
  <c r="C8" i="23"/>
  <c r="D8" i="23" s="1"/>
  <c r="S7" i="23"/>
  <c r="Q7" i="23"/>
  <c r="J7" i="23"/>
  <c r="K7" i="23" s="1"/>
  <c r="E7" i="23"/>
  <c r="F7" i="23" s="1"/>
  <c r="C7" i="23"/>
  <c r="D7" i="23"/>
  <c r="S6" i="23"/>
  <c r="Q6" i="23"/>
  <c r="P6" i="23"/>
  <c r="E6" i="23"/>
  <c r="F6" i="23" s="1"/>
  <c r="C6" i="23"/>
  <c r="D6" i="23"/>
  <c r="S5" i="23"/>
  <c r="Q5" i="23"/>
  <c r="L5" i="23"/>
  <c r="M5" i="23" s="1"/>
  <c r="J5" i="23"/>
  <c r="K5" i="23" s="1"/>
  <c r="E5" i="23"/>
  <c r="F5" i="23" s="1"/>
  <c r="C5" i="23"/>
  <c r="D5" i="23" s="1"/>
  <c r="S4" i="23"/>
  <c r="Q4" i="23"/>
  <c r="P4" i="23"/>
  <c r="E4" i="23"/>
  <c r="F4" i="23" s="1"/>
  <c r="C4" i="23"/>
  <c r="D4" i="23"/>
  <c r="L12" i="21"/>
  <c r="L13" i="21"/>
  <c r="L14" i="21"/>
  <c r="L15" i="21"/>
  <c r="AB22" i="22"/>
  <c r="AB21" i="22"/>
  <c r="AB20" i="22"/>
  <c r="AB19" i="22"/>
  <c r="AB18" i="22"/>
  <c r="AB17" i="22"/>
  <c r="AB16" i="22"/>
  <c r="AB15" i="22"/>
  <c r="AB14" i="22"/>
  <c r="AB13" i="22"/>
  <c r="AB12" i="22"/>
  <c r="AB11" i="22"/>
  <c r="AB10" i="22"/>
  <c r="AB9" i="22"/>
  <c r="AB8" i="22"/>
  <c r="AB7" i="22"/>
  <c r="AB6" i="22"/>
  <c r="AB5" i="22"/>
  <c r="AB4" i="22"/>
  <c r="AB3" i="22"/>
  <c r="Y9" i="22"/>
  <c r="Y8" i="22"/>
  <c r="Y7" i="22"/>
  <c r="Y6" i="22"/>
  <c r="L38" i="21"/>
  <c r="L39" i="21"/>
  <c r="L40" i="21"/>
  <c r="L41" i="21"/>
  <c r="U6" i="20"/>
  <c r="U7" i="20"/>
  <c r="U8" i="20"/>
  <c r="U9" i="20"/>
  <c r="U10" i="20"/>
  <c r="U11" i="20"/>
  <c r="U12" i="20"/>
  <c r="U13" i="20"/>
  <c r="U14" i="20"/>
  <c r="U15" i="20"/>
  <c r="U16" i="20"/>
  <c r="U17" i="20"/>
  <c r="U18" i="20"/>
  <c r="U19" i="20"/>
  <c r="U20" i="20"/>
  <c r="U21" i="20"/>
  <c r="U22" i="20"/>
  <c r="U23" i="20"/>
  <c r="U24" i="20"/>
  <c r="U25" i="20"/>
  <c r="U26" i="20"/>
  <c r="U27" i="20"/>
  <c r="U28" i="20"/>
  <c r="U29" i="20"/>
  <c r="U30" i="20"/>
  <c r="U31" i="20"/>
  <c r="U32" i="20"/>
  <c r="U33" i="20"/>
  <c r="U34" i="20"/>
  <c r="U35" i="20"/>
  <c r="U36" i="20"/>
  <c r="U37" i="20"/>
  <c r="U38" i="20"/>
  <c r="U39" i="20"/>
  <c r="U40" i="20"/>
  <c r="U41" i="20"/>
  <c r="U42" i="20"/>
  <c r="U43" i="20"/>
  <c r="U44" i="20"/>
  <c r="U45" i="20"/>
  <c r="U46" i="20"/>
  <c r="U47" i="20"/>
  <c r="U48" i="20"/>
  <c r="U49" i="20"/>
  <c r="U50" i="20"/>
  <c r="U51" i="20"/>
  <c r="U52" i="20"/>
  <c r="U53" i="20"/>
  <c r="U54" i="20"/>
  <c r="U55" i="20"/>
  <c r="U56" i="20"/>
  <c r="U57" i="20"/>
  <c r="U58" i="20"/>
  <c r="U59" i="20"/>
  <c r="U60" i="20"/>
  <c r="U61" i="20"/>
  <c r="U62" i="20"/>
  <c r="U63" i="20"/>
  <c r="U64" i="20"/>
  <c r="U65" i="20"/>
  <c r="U66" i="20"/>
  <c r="U67" i="20"/>
  <c r="U68" i="20"/>
  <c r="U69" i="20"/>
  <c r="U70" i="20"/>
  <c r="U71" i="20"/>
  <c r="U72" i="20"/>
  <c r="U73" i="20"/>
  <c r="U74" i="20"/>
  <c r="U75" i="20"/>
  <c r="U76" i="20"/>
  <c r="U77" i="20"/>
  <c r="U78" i="20"/>
  <c r="U79" i="20"/>
  <c r="U80" i="20"/>
  <c r="U81" i="20"/>
  <c r="U82" i="20"/>
  <c r="U83" i="20"/>
  <c r="U84" i="20"/>
  <c r="U85" i="20"/>
  <c r="U86" i="20"/>
  <c r="U87" i="20"/>
  <c r="U88" i="20"/>
  <c r="U89" i="20"/>
  <c r="U90" i="20"/>
  <c r="U91" i="20"/>
  <c r="U92" i="20"/>
  <c r="U93" i="20"/>
  <c r="U94" i="20"/>
  <c r="U95" i="20"/>
  <c r="U96" i="20"/>
  <c r="U97" i="20"/>
  <c r="U98" i="20"/>
  <c r="U99" i="20"/>
  <c r="U100" i="20"/>
  <c r="U101" i="20"/>
  <c r="U102" i="20"/>
  <c r="U103" i="20"/>
  <c r="U104" i="20"/>
  <c r="U105" i="20"/>
  <c r="U106" i="20"/>
  <c r="U107" i="20"/>
  <c r="U108" i="20"/>
  <c r="U109" i="20"/>
  <c r="U110" i="20"/>
  <c r="U111" i="20"/>
  <c r="U112" i="20"/>
  <c r="U113" i="20"/>
  <c r="U114" i="20"/>
  <c r="U115" i="20"/>
  <c r="U116" i="20"/>
  <c r="U117" i="20"/>
  <c r="U118" i="20"/>
  <c r="U119" i="20"/>
  <c r="V413" i="20" s="1"/>
  <c r="U120" i="20"/>
  <c r="U121" i="20"/>
  <c r="U122" i="20"/>
  <c r="U123" i="20"/>
  <c r="U124" i="20"/>
  <c r="U125" i="20"/>
  <c r="U126" i="20"/>
  <c r="U127" i="20"/>
  <c r="V386" i="20" s="1"/>
  <c r="U128" i="20"/>
  <c r="U129" i="20"/>
  <c r="U130" i="20"/>
  <c r="U131" i="20"/>
  <c r="U132" i="20"/>
  <c r="U133" i="20"/>
  <c r="U134" i="20"/>
  <c r="U135" i="20"/>
  <c r="U136" i="20"/>
  <c r="U137" i="20"/>
  <c r="U138" i="20"/>
  <c r="U139" i="20"/>
  <c r="U140" i="20"/>
  <c r="U141" i="20"/>
  <c r="U142" i="20"/>
  <c r="U143" i="20"/>
  <c r="V360" i="20" s="1"/>
  <c r="U144" i="20"/>
  <c r="U145" i="20"/>
  <c r="U146" i="20"/>
  <c r="U147" i="20"/>
  <c r="U148" i="20"/>
  <c r="U149" i="20"/>
  <c r="U150" i="20"/>
  <c r="U151" i="20"/>
  <c r="U152" i="20"/>
  <c r="U153" i="20"/>
  <c r="U154" i="20"/>
  <c r="U155" i="20"/>
  <c r="U156" i="20"/>
  <c r="U157" i="20"/>
  <c r="U158" i="20"/>
  <c r="U159" i="20"/>
  <c r="V194" i="20" s="1"/>
  <c r="U160" i="20"/>
  <c r="U161" i="20"/>
  <c r="U162" i="20"/>
  <c r="U163" i="20"/>
  <c r="U164" i="20"/>
  <c r="U165" i="20"/>
  <c r="U166" i="20"/>
  <c r="U167" i="20"/>
  <c r="V258" i="20" s="1"/>
  <c r="U168" i="20"/>
  <c r="U169" i="20"/>
  <c r="U170" i="20"/>
  <c r="U171" i="20"/>
  <c r="U172" i="20"/>
  <c r="U173" i="20"/>
  <c r="U174" i="20"/>
  <c r="U175" i="20"/>
  <c r="V397" i="20" s="1"/>
  <c r="U176" i="20"/>
  <c r="U177" i="20"/>
  <c r="U178" i="20"/>
  <c r="U179" i="20"/>
  <c r="U180" i="20"/>
  <c r="U181" i="20"/>
  <c r="U182" i="20"/>
  <c r="U183" i="20"/>
  <c r="V230" i="20" s="1"/>
  <c r="U184" i="20"/>
  <c r="U185" i="20"/>
  <c r="U186" i="20"/>
  <c r="U187" i="20"/>
  <c r="U188" i="20"/>
  <c r="U189" i="20"/>
  <c r="U190" i="20"/>
  <c r="U191" i="20"/>
  <c r="V434" i="20" s="1"/>
  <c r="U192" i="20"/>
  <c r="U193" i="20"/>
  <c r="U194" i="20"/>
  <c r="U195" i="20"/>
  <c r="U196" i="20"/>
  <c r="U197" i="20"/>
  <c r="U198" i="20"/>
  <c r="U199" i="20"/>
  <c r="V294" i="20" s="1"/>
  <c r="U200" i="20"/>
  <c r="U201" i="20"/>
  <c r="U202" i="20"/>
  <c r="U203" i="20"/>
  <c r="U204" i="20"/>
  <c r="U205" i="20"/>
  <c r="U206" i="20"/>
  <c r="U207" i="20"/>
  <c r="V408" i="20" s="1"/>
  <c r="U208" i="20"/>
  <c r="U209" i="20"/>
  <c r="U210" i="20"/>
  <c r="U211" i="20"/>
  <c r="U212" i="20"/>
  <c r="U213" i="20"/>
  <c r="U214" i="20"/>
  <c r="U215" i="20"/>
  <c r="U216" i="20"/>
  <c r="U217" i="20"/>
  <c r="U218" i="20"/>
  <c r="U219" i="20"/>
  <c r="U220" i="20"/>
  <c r="U221" i="20"/>
  <c r="U222" i="20"/>
  <c r="U223" i="20"/>
  <c r="V488" i="20" s="1"/>
  <c r="U224" i="20"/>
  <c r="U225" i="20"/>
  <c r="U226" i="20"/>
  <c r="U227" i="20"/>
  <c r="U228" i="20"/>
  <c r="U229" i="20"/>
  <c r="U230" i="20"/>
  <c r="U231" i="20"/>
  <c r="V381" i="20" s="1"/>
  <c r="U232" i="20"/>
  <c r="U233" i="20"/>
  <c r="U234" i="20"/>
  <c r="U235" i="20"/>
  <c r="U236" i="20"/>
  <c r="U237" i="20"/>
  <c r="U238" i="20"/>
  <c r="U239" i="20"/>
  <c r="V379" i="20" s="1"/>
  <c r="U240" i="20"/>
  <c r="U241" i="20"/>
  <c r="U242" i="20"/>
  <c r="U243" i="20"/>
  <c r="U244" i="20"/>
  <c r="U245" i="20"/>
  <c r="U246" i="20"/>
  <c r="U247" i="20"/>
  <c r="V273" i="20" s="1"/>
  <c r="U248" i="20"/>
  <c r="U249" i="20"/>
  <c r="U250" i="20"/>
  <c r="U251" i="20"/>
  <c r="U252" i="20"/>
  <c r="U253" i="20"/>
  <c r="U254" i="20"/>
  <c r="U255" i="20"/>
  <c r="U256" i="20"/>
  <c r="U257" i="20"/>
  <c r="U258" i="20"/>
  <c r="U259" i="20"/>
  <c r="U260" i="20"/>
  <c r="U261" i="20"/>
  <c r="U262" i="20"/>
  <c r="U263" i="20"/>
  <c r="V443" i="20" s="1"/>
  <c r="U264" i="20"/>
  <c r="U265" i="20"/>
  <c r="U266" i="20"/>
  <c r="U267" i="20"/>
  <c r="U268" i="20"/>
  <c r="U269" i="20"/>
  <c r="U270" i="20"/>
  <c r="U271" i="20"/>
  <c r="V321" i="20" s="1"/>
  <c r="U272" i="20"/>
  <c r="U273" i="20"/>
  <c r="U274" i="20"/>
  <c r="U275" i="20"/>
  <c r="U276" i="20"/>
  <c r="U277" i="20"/>
  <c r="U278" i="20"/>
  <c r="U279" i="20"/>
  <c r="U280" i="20"/>
  <c r="U281" i="20"/>
  <c r="U282" i="20"/>
  <c r="U283" i="20"/>
  <c r="U284" i="20"/>
  <c r="U285" i="20"/>
  <c r="U286" i="20"/>
  <c r="U287" i="20"/>
  <c r="U288" i="20"/>
  <c r="U289" i="20"/>
  <c r="U290" i="20"/>
  <c r="U291" i="20"/>
  <c r="U292" i="20"/>
  <c r="U293" i="20"/>
  <c r="U294" i="20"/>
  <c r="U295" i="20"/>
  <c r="V391" i="20" s="1"/>
  <c r="U296" i="20"/>
  <c r="U297" i="20"/>
  <c r="U298" i="20"/>
  <c r="U299" i="20"/>
  <c r="U300" i="20"/>
  <c r="U301" i="20"/>
  <c r="U302" i="20"/>
  <c r="U303" i="20"/>
  <c r="U304" i="20"/>
  <c r="U305" i="20"/>
  <c r="U306" i="20"/>
  <c r="U307" i="20"/>
  <c r="U308" i="20"/>
  <c r="U309" i="20"/>
  <c r="U310" i="20"/>
  <c r="U311" i="20"/>
  <c r="V326" i="20" s="1"/>
  <c r="U312" i="20"/>
  <c r="U313" i="20"/>
  <c r="U314" i="20"/>
  <c r="U315" i="20"/>
  <c r="U316" i="20"/>
  <c r="U317" i="20"/>
  <c r="U318" i="20"/>
  <c r="U319" i="20"/>
  <c r="V455" i="20" s="1"/>
  <c r="U320" i="20"/>
  <c r="U321" i="20"/>
  <c r="U322" i="20"/>
  <c r="U323" i="20"/>
  <c r="U324" i="20"/>
  <c r="U325" i="20"/>
  <c r="U326" i="20"/>
  <c r="U327" i="20"/>
  <c r="V333" i="20" s="1"/>
  <c r="U328" i="20"/>
  <c r="U329" i="20"/>
  <c r="U330" i="20"/>
  <c r="U331" i="20"/>
  <c r="U332" i="20"/>
  <c r="U333" i="20"/>
  <c r="U334" i="20"/>
  <c r="U335" i="20"/>
  <c r="U336" i="20"/>
  <c r="U337" i="20"/>
  <c r="U338" i="20"/>
  <c r="U339" i="20"/>
  <c r="U340" i="20"/>
  <c r="U341" i="20"/>
  <c r="U342" i="20"/>
  <c r="U343" i="20"/>
  <c r="U344" i="20"/>
  <c r="U345" i="20"/>
  <c r="U346" i="20"/>
  <c r="U347" i="20"/>
  <c r="U348" i="20"/>
  <c r="U349" i="20"/>
  <c r="U350" i="20"/>
  <c r="U351" i="20"/>
  <c r="V444" i="20" s="1"/>
  <c r="U352" i="20"/>
  <c r="U353" i="20"/>
  <c r="U354" i="20"/>
  <c r="U355" i="20"/>
  <c r="U356" i="20"/>
  <c r="U357" i="20"/>
  <c r="U358" i="20"/>
  <c r="U359" i="20"/>
  <c r="U360" i="20"/>
  <c r="U361" i="20"/>
  <c r="U362" i="20"/>
  <c r="U363" i="20"/>
  <c r="U364" i="20"/>
  <c r="U365" i="20"/>
  <c r="U366" i="20"/>
  <c r="U367" i="20"/>
  <c r="V367" i="20" s="1"/>
  <c r="U368" i="20"/>
  <c r="U369" i="20"/>
  <c r="U370" i="20"/>
  <c r="U371" i="20"/>
  <c r="U372" i="20"/>
  <c r="U373" i="20"/>
  <c r="U374" i="20"/>
  <c r="U375" i="20"/>
  <c r="U376" i="20"/>
  <c r="U377" i="20"/>
  <c r="U378" i="20"/>
  <c r="U379" i="20"/>
  <c r="U380" i="20"/>
  <c r="U381" i="20"/>
  <c r="U382" i="20"/>
  <c r="U383" i="20"/>
  <c r="U384" i="20"/>
  <c r="U385" i="20"/>
  <c r="U386" i="20"/>
  <c r="U387" i="20"/>
  <c r="U388" i="20"/>
  <c r="U389" i="20"/>
  <c r="U390" i="20"/>
  <c r="U391" i="20"/>
  <c r="U392" i="20"/>
  <c r="U393" i="20"/>
  <c r="U394" i="20"/>
  <c r="U395" i="20"/>
  <c r="U396" i="20"/>
  <c r="U397" i="20"/>
  <c r="U398" i="20"/>
  <c r="U399" i="20"/>
  <c r="U400" i="20"/>
  <c r="U401" i="20"/>
  <c r="U402" i="20"/>
  <c r="U403" i="20"/>
  <c r="U404" i="20"/>
  <c r="U405" i="20"/>
  <c r="U406" i="20"/>
  <c r="U407" i="20"/>
  <c r="U408" i="20"/>
  <c r="U409" i="20"/>
  <c r="U410" i="20"/>
  <c r="U411" i="20"/>
  <c r="U412" i="20"/>
  <c r="U413" i="20"/>
  <c r="U414" i="20"/>
  <c r="U415" i="20"/>
  <c r="U416" i="20"/>
  <c r="U417" i="20"/>
  <c r="U418" i="20"/>
  <c r="U419" i="20"/>
  <c r="U420" i="20"/>
  <c r="U421" i="20"/>
  <c r="U422" i="20"/>
  <c r="U423" i="20"/>
  <c r="U424" i="20"/>
  <c r="U425" i="20"/>
  <c r="U426" i="20"/>
  <c r="U427" i="20"/>
  <c r="U428" i="20"/>
  <c r="U429" i="20"/>
  <c r="U430" i="20"/>
  <c r="U431" i="20"/>
  <c r="U432" i="20"/>
  <c r="U433" i="20"/>
  <c r="U434" i="20"/>
  <c r="U435" i="20"/>
  <c r="U436" i="20"/>
  <c r="U437" i="20"/>
  <c r="U438" i="20"/>
  <c r="U439" i="20"/>
  <c r="U440" i="20"/>
  <c r="U441" i="20"/>
  <c r="U442" i="20"/>
  <c r="U443" i="20"/>
  <c r="U444" i="20"/>
  <c r="U445" i="20"/>
  <c r="U446" i="20"/>
  <c r="U447" i="20"/>
  <c r="U448" i="20"/>
  <c r="U449" i="20"/>
  <c r="U450" i="20"/>
  <c r="U451" i="20"/>
  <c r="U452" i="20"/>
  <c r="U453" i="20"/>
  <c r="U454" i="20"/>
  <c r="U455" i="20"/>
  <c r="U456" i="20"/>
  <c r="U457" i="20"/>
  <c r="U458" i="20"/>
  <c r="U459" i="20"/>
  <c r="U460" i="20"/>
  <c r="U461" i="20"/>
  <c r="U462" i="20"/>
  <c r="U463" i="20"/>
  <c r="U464" i="20"/>
  <c r="U465" i="20"/>
  <c r="U466" i="20"/>
  <c r="U467" i="20"/>
  <c r="U468" i="20"/>
  <c r="U469" i="20"/>
  <c r="U470" i="20"/>
  <c r="U471" i="20"/>
  <c r="U472" i="20"/>
  <c r="U473" i="20"/>
  <c r="U474" i="20"/>
  <c r="U475" i="20"/>
  <c r="U476" i="20"/>
  <c r="U477" i="20"/>
  <c r="U478" i="20"/>
  <c r="U479" i="20"/>
  <c r="U480" i="20"/>
  <c r="U481" i="20"/>
  <c r="U482" i="20"/>
  <c r="U483" i="20"/>
  <c r="U484" i="20"/>
  <c r="U485" i="20"/>
  <c r="U486" i="20"/>
  <c r="U487" i="20"/>
  <c r="U488" i="20"/>
  <c r="U489" i="20"/>
  <c r="U490" i="20"/>
  <c r="U491" i="20"/>
  <c r="U492" i="20"/>
  <c r="U493" i="20"/>
  <c r="U494" i="20"/>
  <c r="U495" i="20"/>
  <c r="U496" i="20"/>
  <c r="U497" i="20"/>
  <c r="U498" i="20"/>
  <c r="U499" i="20"/>
  <c r="U500" i="20"/>
  <c r="U501" i="20"/>
  <c r="U502" i="20"/>
  <c r="U503" i="20"/>
  <c r="U504" i="20"/>
  <c r="U5" i="20"/>
  <c r="AB5" i="20"/>
  <c r="AB6" i="20"/>
  <c r="AB7" i="20"/>
  <c r="AB8" i="20"/>
  <c r="AB9" i="20"/>
  <c r="AB10" i="20"/>
  <c r="AB11" i="20"/>
  <c r="AB12" i="20"/>
  <c r="AB13" i="20"/>
  <c r="AB14" i="20"/>
  <c r="AB15" i="20"/>
  <c r="AB16" i="20"/>
  <c r="AB17" i="20"/>
  <c r="AB18" i="20"/>
  <c r="AB19" i="20"/>
  <c r="AB20" i="20"/>
  <c r="AB21" i="20"/>
  <c r="AB22" i="20"/>
  <c r="AB23" i="20"/>
  <c r="AB24" i="20"/>
  <c r="AB25" i="20"/>
  <c r="AB26" i="20"/>
  <c r="AB27" i="20"/>
  <c r="Q6" i="20"/>
  <c r="Q7" i="20"/>
  <c r="Q8" i="20"/>
  <c r="Q9" i="20"/>
  <c r="Q10" i="20"/>
  <c r="Q11" i="20"/>
  <c r="Q12" i="20"/>
  <c r="Q13" i="20"/>
  <c r="Q14" i="20"/>
  <c r="Q15" i="20"/>
  <c r="Q16" i="20"/>
  <c r="Q17" i="20"/>
  <c r="Q18" i="20"/>
  <c r="Q19" i="20"/>
  <c r="Q20" i="20"/>
  <c r="Q21" i="20"/>
  <c r="Q22" i="20"/>
  <c r="Q23" i="20"/>
  <c r="Q24" i="20"/>
  <c r="Q25" i="20"/>
  <c r="Q26" i="20"/>
  <c r="Q27" i="20"/>
  <c r="Q28" i="20"/>
  <c r="Q29" i="20"/>
  <c r="Q30" i="20"/>
  <c r="Q31" i="20"/>
  <c r="Q32" i="20"/>
  <c r="Q33" i="20"/>
  <c r="Q34" i="20"/>
  <c r="Q35" i="20"/>
  <c r="Q36" i="20"/>
  <c r="Q37" i="20"/>
  <c r="Q38" i="20"/>
  <c r="Q39" i="20"/>
  <c r="Q40" i="20"/>
  <c r="Q41" i="20"/>
  <c r="Q42" i="20"/>
  <c r="Q43" i="20"/>
  <c r="Q44" i="20"/>
  <c r="Q45" i="20"/>
  <c r="Q46" i="20"/>
  <c r="Q47" i="20"/>
  <c r="Q48" i="20"/>
  <c r="Q49" i="20"/>
  <c r="Q50" i="20"/>
  <c r="Q51" i="20"/>
  <c r="Q52" i="20"/>
  <c r="Q53" i="20"/>
  <c r="Q54" i="20"/>
  <c r="Q55" i="20"/>
  <c r="Q56" i="20"/>
  <c r="Q57" i="20"/>
  <c r="Q58" i="20"/>
  <c r="Q59" i="20"/>
  <c r="Q60" i="20"/>
  <c r="Q61" i="20"/>
  <c r="Q62" i="20"/>
  <c r="Q63" i="20"/>
  <c r="Q64" i="20"/>
  <c r="Q65" i="20"/>
  <c r="Q66" i="20"/>
  <c r="Q67" i="20"/>
  <c r="Q68" i="20"/>
  <c r="Q69" i="20"/>
  <c r="Q70" i="20"/>
  <c r="Q71" i="20"/>
  <c r="Q72" i="20"/>
  <c r="Q73" i="20"/>
  <c r="Q74" i="20"/>
  <c r="Q75" i="20"/>
  <c r="Q76" i="20"/>
  <c r="Q77" i="20"/>
  <c r="Q78" i="20"/>
  <c r="Q79" i="20"/>
  <c r="Q80" i="20"/>
  <c r="Q81" i="20"/>
  <c r="Q82" i="20"/>
  <c r="Q83" i="20"/>
  <c r="Q84" i="20"/>
  <c r="Q85" i="20"/>
  <c r="Q86" i="20"/>
  <c r="Q87" i="20"/>
  <c r="Q88" i="20"/>
  <c r="Q89" i="20"/>
  <c r="Q90" i="20"/>
  <c r="Q91" i="20"/>
  <c r="Q92" i="20"/>
  <c r="Q93" i="20"/>
  <c r="Q94" i="20"/>
  <c r="Q95" i="20"/>
  <c r="Q96" i="20"/>
  <c r="Q97" i="20"/>
  <c r="Q98" i="20"/>
  <c r="Q99" i="20"/>
  <c r="Q100" i="20"/>
  <c r="Q101" i="20"/>
  <c r="Q102" i="20"/>
  <c r="Q103" i="20"/>
  <c r="Q104" i="20"/>
  <c r="Q105" i="20"/>
  <c r="Q106" i="20"/>
  <c r="Q107" i="20"/>
  <c r="Q108" i="20"/>
  <c r="Q109" i="20"/>
  <c r="Q110" i="20"/>
  <c r="Q111" i="20"/>
  <c r="Q112" i="20"/>
  <c r="Q113" i="20"/>
  <c r="Q114" i="20"/>
  <c r="Q115" i="20"/>
  <c r="Q116" i="20"/>
  <c r="Q117" i="20"/>
  <c r="Q118" i="20"/>
  <c r="Q119" i="20"/>
  <c r="Q120" i="20"/>
  <c r="Q121" i="20"/>
  <c r="Q122" i="20"/>
  <c r="Q123" i="20"/>
  <c r="Q124" i="20"/>
  <c r="Q125" i="20"/>
  <c r="Q126" i="20"/>
  <c r="Q127" i="20"/>
  <c r="Q128" i="20"/>
  <c r="Q129" i="20"/>
  <c r="Q130" i="20"/>
  <c r="Q131" i="20"/>
  <c r="Q132" i="20"/>
  <c r="Q133" i="20"/>
  <c r="Q134" i="20"/>
  <c r="Q135" i="20"/>
  <c r="Q136" i="20"/>
  <c r="Q137" i="20"/>
  <c r="Q138" i="20"/>
  <c r="Q139" i="20"/>
  <c r="Q140" i="20"/>
  <c r="Q141" i="20"/>
  <c r="Q142" i="20"/>
  <c r="Q143" i="20"/>
  <c r="Q144" i="20"/>
  <c r="Q145" i="20"/>
  <c r="Q146" i="20"/>
  <c r="Q147" i="20"/>
  <c r="Q148" i="20"/>
  <c r="Q149" i="20"/>
  <c r="Q150" i="20"/>
  <c r="Q151" i="20"/>
  <c r="Q152" i="20"/>
  <c r="Q153" i="20"/>
  <c r="Q154" i="20"/>
  <c r="Q155" i="20"/>
  <c r="Q156" i="20"/>
  <c r="Q157" i="20"/>
  <c r="Q158" i="20"/>
  <c r="Q159" i="20"/>
  <c r="Q160" i="20"/>
  <c r="Q161" i="20"/>
  <c r="Q162" i="20"/>
  <c r="Q163" i="20"/>
  <c r="Q164" i="20"/>
  <c r="Q165" i="20"/>
  <c r="Q166" i="20"/>
  <c r="Q167" i="20"/>
  <c r="Q168" i="20"/>
  <c r="Q169" i="20"/>
  <c r="Q170" i="20"/>
  <c r="Q171" i="20"/>
  <c r="Q172" i="20"/>
  <c r="Q173" i="20"/>
  <c r="Q174" i="20"/>
  <c r="Q175" i="20"/>
  <c r="Q176" i="20"/>
  <c r="Q177" i="20"/>
  <c r="Q178" i="20"/>
  <c r="Q179" i="20"/>
  <c r="Q180" i="20"/>
  <c r="Q181" i="20"/>
  <c r="Q182" i="20"/>
  <c r="Q183" i="20"/>
  <c r="Q184" i="20"/>
  <c r="Q185" i="20"/>
  <c r="Q186" i="20"/>
  <c r="Q187" i="20"/>
  <c r="Q188" i="20"/>
  <c r="Q189" i="20"/>
  <c r="Q190" i="20"/>
  <c r="Q191" i="20"/>
  <c r="Q192" i="20"/>
  <c r="Q193" i="20"/>
  <c r="Q194" i="20"/>
  <c r="Q195" i="20"/>
  <c r="Q196" i="20"/>
  <c r="Q197" i="20"/>
  <c r="Q198" i="20"/>
  <c r="Q199" i="20"/>
  <c r="Q200" i="20"/>
  <c r="Q201" i="20"/>
  <c r="Q202" i="20"/>
  <c r="Q203" i="20"/>
  <c r="Q204" i="20"/>
  <c r="Q205" i="20"/>
  <c r="Q206" i="20"/>
  <c r="Q207" i="20"/>
  <c r="Q208" i="20"/>
  <c r="Q209" i="20"/>
  <c r="Q210" i="20"/>
  <c r="Q211" i="20"/>
  <c r="Q212" i="20"/>
  <c r="Q213" i="20"/>
  <c r="Q214" i="20"/>
  <c r="Q215" i="20"/>
  <c r="Q216" i="20"/>
  <c r="Q217" i="20"/>
  <c r="Q218" i="20"/>
  <c r="Q219" i="20"/>
  <c r="Q220" i="20"/>
  <c r="Q221" i="20"/>
  <c r="Q222" i="20"/>
  <c r="Q223" i="20"/>
  <c r="Q224" i="20"/>
  <c r="Q225" i="20"/>
  <c r="Q226" i="20"/>
  <c r="Q227" i="20"/>
  <c r="Q228" i="20"/>
  <c r="Q229" i="20"/>
  <c r="Q230" i="20"/>
  <c r="Q231" i="20"/>
  <c r="Q232" i="20"/>
  <c r="Q233" i="20"/>
  <c r="Q234" i="20"/>
  <c r="Q235" i="20"/>
  <c r="Q236" i="20"/>
  <c r="Q237" i="20"/>
  <c r="Q238" i="20"/>
  <c r="Q239" i="20"/>
  <c r="Q240" i="20"/>
  <c r="Q241" i="20"/>
  <c r="Q242" i="20"/>
  <c r="Q243" i="20"/>
  <c r="Q244" i="20"/>
  <c r="Q245" i="20"/>
  <c r="Q246" i="20"/>
  <c r="Q247" i="20"/>
  <c r="Q248" i="20"/>
  <c r="Q249" i="20"/>
  <c r="Q250" i="20"/>
  <c r="Q251" i="20"/>
  <c r="Q252" i="20"/>
  <c r="Q253" i="20"/>
  <c r="Q254" i="20"/>
  <c r="Q255" i="20"/>
  <c r="Q256" i="20"/>
  <c r="Q257" i="20"/>
  <c r="Q258" i="20"/>
  <c r="Q259" i="20"/>
  <c r="Q260" i="20"/>
  <c r="Q261" i="20"/>
  <c r="Q262" i="20"/>
  <c r="Q263" i="20"/>
  <c r="Q264" i="20"/>
  <c r="Q265" i="20"/>
  <c r="Q266" i="20"/>
  <c r="Q267" i="20"/>
  <c r="Q268" i="20"/>
  <c r="Q269" i="20"/>
  <c r="Q270" i="20"/>
  <c r="Q271" i="20"/>
  <c r="Q272" i="20"/>
  <c r="Q273" i="20"/>
  <c r="Q274" i="20"/>
  <c r="Q275" i="20"/>
  <c r="Q276" i="20"/>
  <c r="Q277" i="20"/>
  <c r="Q278" i="20"/>
  <c r="Q279" i="20"/>
  <c r="Q280" i="20"/>
  <c r="Q281" i="20"/>
  <c r="Q282" i="20"/>
  <c r="Q283" i="20"/>
  <c r="Q284" i="20"/>
  <c r="Q285" i="20"/>
  <c r="Q286" i="20"/>
  <c r="Q287" i="20"/>
  <c r="Q288" i="20"/>
  <c r="Q289" i="20"/>
  <c r="Q290" i="20"/>
  <c r="Q291" i="20"/>
  <c r="Q292" i="20"/>
  <c r="Q293" i="20"/>
  <c r="Q294" i="20"/>
  <c r="Q295" i="20"/>
  <c r="Q296" i="20"/>
  <c r="Q297" i="20"/>
  <c r="Q298" i="20"/>
  <c r="Q299" i="20"/>
  <c r="Q300" i="20"/>
  <c r="Q301" i="20"/>
  <c r="Q302" i="20"/>
  <c r="Q303" i="20"/>
  <c r="Q304" i="20"/>
  <c r="Q305" i="20"/>
  <c r="Q306" i="20"/>
  <c r="Q307" i="20"/>
  <c r="Q308" i="20"/>
  <c r="Q309" i="20"/>
  <c r="Q310" i="20"/>
  <c r="Q311" i="20"/>
  <c r="Q312" i="20"/>
  <c r="Q313" i="20"/>
  <c r="Q314" i="20"/>
  <c r="Q315" i="20"/>
  <c r="Q316" i="20"/>
  <c r="Q317" i="20"/>
  <c r="Q318" i="20"/>
  <c r="Q319" i="20"/>
  <c r="Q320" i="20"/>
  <c r="Q321" i="20"/>
  <c r="Q322" i="20"/>
  <c r="Q323" i="20"/>
  <c r="Q324" i="20"/>
  <c r="Q325" i="20"/>
  <c r="Q326" i="20"/>
  <c r="Q327" i="20"/>
  <c r="Q328" i="20"/>
  <c r="Q329" i="20"/>
  <c r="Q330" i="20"/>
  <c r="Q331" i="20"/>
  <c r="Q332" i="20"/>
  <c r="Q333" i="20"/>
  <c r="Q334" i="20"/>
  <c r="Q335" i="20"/>
  <c r="Q336" i="20"/>
  <c r="Q337" i="20"/>
  <c r="Q338" i="20"/>
  <c r="Q339" i="20"/>
  <c r="Q340" i="20"/>
  <c r="Q341" i="20"/>
  <c r="Q342" i="20"/>
  <c r="Q343" i="20"/>
  <c r="Q344" i="20"/>
  <c r="Q345" i="20"/>
  <c r="Q346" i="20"/>
  <c r="Q347" i="20"/>
  <c r="Q348" i="20"/>
  <c r="Q349" i="20"/>
  <c r="Q350" i="20"/>
  <c r="Q351" i="20"/>
  <c r="Q352" i="20"/>
  <c r="Q353" i="20"/>
  <c r="Q354" i="20"/>
  <c r="Q355" i="20"/>
  <c r="Q356" i="20"/>
  <c r="Q357" i="20"/>
  <c r="Q358" i="20"/>
  <c r="Q359" i="20"/>
  <c r="Q360" i="20"/>
  <c r="Q361" i="20"/>
  <c r="Q362" i="20"/>
  <c r="Q363" i="20"/>
  <c r="Q364" i="20"/>
  <c r="Q365" i="20"/>
  <c r="Q366" i="20"/>
  <c r="Q367" i="20"/>
  <c r="Q368" i="20"/>
  <c r="Q369" i="20"/>
  <c r="Q370" i="20"/>
  <c r="Q371" i="20"/>
  <c r="Q372" i="20"/>
  <c r="Q373" i="20"/>
  <c r="Q374" i="20"/>
  <c r="Q375" i="20"/>
  <c r="Q376" i="20"/>
  <c r="Q377" i="20"/>
  <c r="Q378" i="20"/>
  <c r="Q379" i="20"/>
  <c r="Q380" i="20"/>
  <c r="Q381" i="20"/>
  <c r="Q382" i="20"/>
  <c r="Q383" i="20"/>
  <c r="Q384" i="20"/>
  <c r="Q385" i="20"/>
  <c r="Q386" i="20"/>
  <c r="Q387" i="20"/>
  <c r="Q388" i="20"/>
  <c r="Q389" i="20"/>
  <c r="Q390" i="20"/>
  <c r="Q391" i="20"/>
  <c r="Q392" i="20"/>
  <c r="Q393" i="20"/>
  <c r="Q394" i="20"/>
  <c r="Q395" i="20"/>
  <c r="Q396" i="20"/>
  <c r="Q397" i="20"/>
  <c r="Q398" i="20"/>
  <c r="Q399" i="20"/>
  <c r="Q400" i="20"/>
  <c r="Q401" i="20"/>
  <c r="Q402" i="20"/>
  <c r="Q403" i="20"/>
  <c r="Q404" i="20"/>
  <c r="Q405" i="20"/>
  <c r="Q406" i="20"/>
  <c r="Q407" i="20"/>
  <c r="Q408" i="20"/>
  <c r="Q409" i="20"/>
  <c r="Q410" i="20"/>
  <c r="Q411" i="20"/>
  <c r="Q412" i="20"/>
  <c r="Q413" i="20"/>
  <c r="Q414" i="20"/>
  <c r="Q415" i="20"/>
  <c r="Q416" i="20"/>
  <c r="Q417" i="20"/>
  <c r="Q418" i="20"/>
  <c r="Q419" i="20"/>
  <c r="Q420" i="20"/>
  <c r="Q421" i="20"/>
  <c r="Q422" i="20"/>
  <c r="Q423" i="20"/>
  <c r="Q424" i="20"/>
  <c r="Q425" i="20"/>
  <c r="Q426" i="20"/>
  <c r="Q427" i="20"/>
  <c r="Q428" i="20"/>
  <c r="Q429" i="20"/>
  <c r="Q430" i="20"/>
  <c r="Q431" i="20"/>
  <c r="Q432" i="20"/>
  <c r="Q433" i="20"/>
  <c r="Q434" i="20"/>
  <c r="Q435" i="20"/>
  <c r="Q436" i="20"/>
  <c r="Q437" i="20"/>
  <c r="Q438" i="20"/>
  <c r="Q439" i="20"/>
  <c r="Q440" i="20"/>
  <c r="Q441" i="20"/>
  <c r="Q442" i="20"/>
  <c r="Q443" i="20"/>
  <c r="Q444" i="20"/>
  <c r="Q445" i="20"/>
  <c r="Q446" i="20"/>
  <c r="Q447" i="20"/>
  <c r="Q448" i="20"/>
  <c r="Q449" i="20"/>
  <c r="Q450" i="20"/>
  <c r="Q451" i="20"/>
  <c r="Q452" i="20"/>
  <c r="Q453" i="20"/>
  <c r="Q454" i="20"/>
  <c r="Q455" i="20"/>
  <c r="Q456" i="20"/>
  <c r="Q457" i="20"/>
  <c r="Q458" i="20"/>
  <c r="Q459" i="20"/>
  <c r="Q460" i="20"/>
  <c r="Q461" i="20"/>
  <c r="Q462" i="20"/>
  <c r="Q463" i="20"/>
  <c r="Q464" i="20"/>
  <c r="Q465" i="20"/>
  <c r="Q466" i="20"/>
  <c r="Q467" i="20"/>
  <c r="Q468" i="20"/>
  <c r="Q469" i="20"/>
  <c r="Q470" i="20"/>
  <c r="Q471" i="20"/>
  <c r="Q472" i="20"/>
  <c r="Q473" i="20"/>
  <c r="Q474" i="20"/>
  <c r="Q475" i="20"/>
  <c r="Q476" i="20"/>
  <c r="Q477" i="20"/>
  <c r="Q478" i="20"/>
  <c r="Q479" i="20"/>
  <c r="Q480" i="20"/>
  <c r="Q481" i="20"/>
  <c r="Q482" i="20"/>
  <c r="Q483" i="20"/>
  <c r="Q484" i="20"/>
  <c r="Q485" i="20"/>
  <c r="Q486" i="20"/>
  <c r="Q487" i="20"/>
  <c r="Q488" i="20"/>
  <c r="Q489" i="20"/>
  <c r="Q490" i="20"/>
  <c r="Q491" i="20"/>
  <c r="Q492" i="20"/>
  <c r="Q493" i="20"/>
  <c r="Q494" i="20"/>
  <c r="Q495" i="20"/>
  <c r="Q496" i="20"/>
  <c r="Q497" i="20"/>
  <c r="Q498" i="20"/>
  <c r="Q499" i="20"/>
  <c r="Q500" i="20"/>
  <c r="Q501" i="20"/>
  <c r="Q502" i="20"/>
  <c r="Q503" i="20"/>
  <c r="Q504" i="20"/>
  <c r="L504" i="20"/>
  <c r="K504" i="20"/>
  <c r="J504" i="20"/>
  <c r="L503" i="20"/>
  <c r="K503" i="20"/>
  <c r="J503" i="20"/>
  <c r="K502" i="20"/>
  <c r="J502" i="20"/>
  <c r="K501" i="20"/>
  <c r="J501" i="20"/>
  <c r="K500" i="20"/>
  <c r="J500" i="20"/>
  <c r="K499" i="20"/>
  <c r="J499" i="20"/>
  <c r="K498" i="20"/>
  <c r="J498" i="20"/>
  <c r="L497" i="20"/>
  <c r="K497" i="20"/>
  <c r="J497" i="20"/>
  <c r="K496" i="20"/>
  <c r="J496" i="20"/>
  <c r="L495" i="20"/>
  <c r="K495" i="20"/>
  <c r="J495" i="20"/>
  <c r="K494" i="20"/>
  <c r="J494" i="20"/>
  <c r="K493" i="20"/>
  <c r="J493" i="20"/>
  <c r="L492" i="20"/>
  <c r="K492" i="20"/>
  <c r="J492" i="20"/>
  <c r="L491" i="20"/>
  <c r="K491" i="20"/>
  <c r="J491" i="20"/>
  <c r="L490" i="20"/>
  <c r="K490" i="20"/>
  <c r="J490" i="20"/>
  <c r="L489" i="20"/>
  <c r="K489" i="20"/>
  <c r="J489" i="20"/>
  <c r="K488" i="20"/>
  <c r="J488" i="20"/>
  <c r="L487" i="20"/>
  <c r="J487" i="20"/>
  <c r="M486" i="20"/>
  <c r="K486" i="20"/>
  <c r="J486" i="20"/>
  <c r="M485" i="20"/>
  <c r="L485" i="20"/>
  <c r="K485" i="20"/>
  <c r="J485" i="20"/>
  <c r="M484" i="20"/>
  <c r="L484" i="20"/>
  <c r="K484" i="20"/>
  <c r="J484" i="20"/>
  <c r="M483" i="20"/>
  <c r="L483" i="20"/>
  <c r="K483" i="20"/>
  <c r="J483" i="20"/>
  <c r="M482" i="20"/>
  <c r="J482" i="20"/>
  <c r="M481" i="20"/>
  <c r="L481" i="20"/>
  <c r="K481" i="20"/>
  <c r="J481" i="20"/>
  <c r="M480" i="20"/>
  <c r="L480" i="20"/>
  <c r="J480" i="20"/>
  <c r="M479" i="20"/>
  <c r="K479" i="20"/>
  <c r="J479" i="20"/>
  <c r="M478" i="20"/>
  <c r="J478" i="20"/>
  <c r="M477" i="20"/>
  <c r="L477" i="20"/>
  <c r="K477" i="20"/>
  <c r="J477" i="20"/>
  <c r="M476" i="20"/>
  <c r="L476" i="20"/>
  <c r="K476" i="20"/>
  <c r="J476" i="20"/>
  <c r="M475" i="20"/>
  <c r="L475" i="20"/>
  <c r="K475" i="20"/>
  <c r="J475" i="20"/>
  <c r="M474" i="20"/>
  <c r="L474" i="20"/>
  <c r="K474" i="20"/>
  <c r="J474" i="20"/>
  <c r="M473" i="20"/>
  <c r="K473" i="20"/>
  <c r="J473" i="20"/>
  <c r="K472" i="20"/>
  <c r="J472" i="20"/>
  <c r="M471" i="20"/>
  <c r="J471" i="20"/>
  <c r="M470" i="20"/>
  <c r="L470" i="20"/>
  <c r="J470" i="20"/>
  <c r="M469" i="20"/>
  <c r="L469" i="20"/>
  <c r="K469" i="20"/>
  <c r="J469" i="20"/>
  <c r="M468" i="20"/>
  <c r="L468" i="20"/>
  <c r="K468" i="20"/>
  <c r="J468" i="20"/>
  <c r="M467" i="20"/>
  <c r="L467" i="20"/>
  <c r="K467" i="20"/>
  <c r="J467" i="20"/>
  <c r="M466" i="20"/>
  <c r="L466" i="20"/>
  <c r="K466" i="20"/>
  <c r="J466" i="20"/>
  <c r="M465" i="20"/>
  <c r="K465" i="20"/>
  <c r="J465" i="20"/>
  <c r="M464" i="20"/>
  <c r="K464" i="20"/>
  <c r="J464" i="20"/>
  <c r="M463" i="20"/>
  <c r="L463" i="20"/>
  <c r="J463" i="20"/>
  <c r="M462" i="20"/>
  <c r="J462" i="20"/>
  <c r="M461" i="20"/>
  <c r="K461" i="20"/>
  <c r="J461" i="20"/>
  <c r="M460" i="20"/>
  <c r="K460" i="20"/>
  <c r="J460" i="20"/>
  <c r="M459" i="20"/>
  <c r="K459" i="20"/>
  <c r="J459" i="20"/>
  <c r="M458" i="20"/>
  <c r="J458" i="20"/>
  <c r="M457" i="20"/>
  <c r="K457" i="20"/>
  <c r="J457" i="20"/>
  <c r="M456" i="20"/>
  <c r="K456" i="20"/>
  <c r="J456" i="20"/>
  <c r="M455" i="20"/>
  <c r="K455" i="20"/>
  <c r="J455" i="20"/>
  <c r="M454" i="20"/>
  <c r="K454" i="20"/>
  <c r="J454" i="20"/>
  <c r="M453" i="20"/>
  <c r="L453" i="20"/>
  <c r="K453" i="20"/>
  <c r="J453" i="20"/>
  <c r="M452" i="20"/>
  <c r="L452" i="20"/>
  <c r="K452" i="20"/>
  <c r="J452" i="20"/>
  <c r="M451" i="20"/>
  <c r="K451" i="20"/>
  <c r="J451" i="20"/>
  <c r="M450" i="20"/>
  <c r="K450" i="20"/>
  <c r="J450" i="20"/>
  <c r="M449" i="20"/>
  <c r="L449" i="20"/>
  <c r="K449" i="20"/>
  <c r="J449" i="20"/>
  <c r="M448" i="20"/>
  <c r="L448" i="20"/>
  <c r="K448" i="20"/>
  <c r="J448" i="20"/>
  <c r="M447" i="20"/>
  <c r="K447" i="20"/>
  <c r="J447" i="20"/>
  <c r="M446" i="20"/>
  <c r="L446" i="20"/>
  <c r="K446" i="20"/>
  <c r="J446" i="20"/>
  <c r="M445" i="20"/>
  <c r="J445" i="20"/>
  <c r="M444" i="20"/>
  <c r="L444" i="20"/>
  <c r="J444" i="20"/>
  <c r="M443" i="20"/>
  <c r="L443" i="20"/>
  <c r="J443" i="20"/>
  <c r="M442" i="20"/>
  <c r="L442" i="20"/>
  <c r="J442" i="20"/>
  <c r="M441" i="20"/>
  <c r="L441" i="20"/>
  <c r="K441" i="20"/>
  <c r="J441" i="20"/>
  <c r="M440" i="20"/>
  <c r="L440" i="20"/>
  <c r="K440" i="20"/>
  <c r="J440" i="20"/>
  <c r="M439" i="20"/>
  <c r="L439" i="20"/>
  <c r="K439" i="20"/>
  <c r="J439" i="20"/>
  <c r="M438" i="20"/>
  <c r="K438" i="20"/>
  <c r="J438" i="20"/>
  <c r="M437" i="20"/>
  <c r="L437" i="20"/>
  <c r="K437" i="20"/>
  <c r="J437" i="20"/>
  <c r="M436" i="20"/>
  <c r="L436" i="20"/>
  <c r="K436" i="20"/>
  <c r="J436" i="20"/>
  <c r="M435" i="20"/>
  <c r="L435" i="20"/>
  <c r="K435" i="20"/>
  <c r="J435" i="20"/>
  <c r="M434" i="20"/>
  <c r="L434" i="20"/>
  <c r="J434" i="20"/>
  <c r="M433" i="20"/>
  <c r="L433" i="20"/>
  <c r="J433" i="20"/>
  <c r="M432" i="20"/>
  <c r="K432" i="20"/>
  <c r="J432" i="20"/>
  <c r="M431" i="20"/>
  <c r="L431" i="20"/>
  <c r="J431" i="20"/>
  <c r="M430" i="20"/>
  <c r="L430" i="20"/>
  <c r="J430" i="20"/>
  <c r="M429" i="20"/>
  <c r="L429" i="20"/>
  <c r="K429" i="20"/>
  <c r="J429" i="20"/>
  <c r="M428" i="20"/>
  <c r="L428" i="20"/>
  <c r="J428" i="20"/>
  <c r="M427" i="20"/>
  <c r="L427" i="20"/>
  <c r="J427" i="20"/>
  <c r="M426" i="20"/>
  <c r="L426" i="20"/>
  <c r="K426" i="20"/>
  <c r="J426" i="20"/>
  <c r="M425" i="20"/>
  <c r="J425" i="20"/>
  <c r="M424" i="20"/>
  <c r="L424" i="20"/>
  <c r="J424" i="20"/>
  <c r="M423" i="20"/>
  <c r="L423" i="20"/>
  <c r="J423" i="20"/>
  <c r="M422" i="20"/>
  <c r="L422" i="20"/>
  <c r="J422" i="20"/>
  <c r="M421" i="20"/>
  <c r="L421" i="20"/>
  <c r="K421" i="20"/>
  <c r="J421" i="20"/>
  <c r="L420" i="20"/>
  <c r="K420" i="20"/>
  <c r="J420" i="20"/>
  <c r="M419" i="20"/>
  <c r="L419" i="20"/>
  <c r="K419" i="20"/>
  <c r="J419" i="20"/>
  <c r="M418" i="20"/>
  <c r="L418" i="20"/>
  <c r="K418" i="20"/>
  <c r="J418" i="20"/>
  <c r="M417" i="20"/>
  <c r="L417" i="20"/>
  <c r="K417" i="20"/>
  <c r="J417" i="20"/>
  <c r="M416" i="20"/>
  <c r="L416" i="20"/>
  <c r="K416" i="20"/>
  <c r="J416" i="20"/>
  <c r="M415" i="20"/>
  <c r="L415" i="20"/>
  <c r="J415" i="20"/>
  <c r="M414" i="20"/>
  <c r="L414" i="20"/>
  <c r="J414" i="20"/>
  <c r="M413" i="20"/>
  <c r="L413" i="20"/>
  <c r="K413" i="20"/>
  <c r="J413" i="20"/>
  <c r="M412" i="20"/>
  <c r="L412" i="20"/>
  <c r="K412" i="20"/>
  <c r="J412" i="20"/>
  <c r="M411" i="20"/>
  <c r="K411" i="20"/>
  <c r="J411" i="20"/>
  <c r="M410" i="20"/>
  <c r="L410" i="20"/>
  <c r="K410" i="20"/>
  <c r="J410" i="20"/>
  <c r="M409" i="20"/>
  <c r="L409" i="20"/>
  <c r="K409" i="20"/>
  <c r="J409" i="20"/>
  <c r="M408" i="20"/>
  <c r="L408" i="20"/>
  <c r="K408" i="20"/>
  <c r="J408" i="20"/>
  <c r="M407" i="20"/>
  <c r="K407" i="20"/>
  <c r="J407" i="20"/>
  <c r="M406" i="20"/>
  <c r="K406" i="20"/>
  <c r="J406" i="20"/>
  <c r="M405" i="20"/>
  <c r="K405" i="20"/>
  <c r="J405" i="20"/>
  <c r="M404" i="20"/>
  <c r="K404" i="20"/>
  <c r="J404" i="20"/>
  <c r="M403" i="20"/>
  <c r="K403" i="20"/>
  <c r="J403" i="20"/>
  <c r="M402" i="20"/>
  <c r="L402" i="20"/>
  <c r="K402" i="20"/>
  <c r="J402" i="20"/>
  <c r="M401" i="20"/>
  <c r="K401" i="20"/>
  <c r="J401" i="20"/>
  <c r="M400" i="20"/>
  <c r="L400" i="20"/>
  <c r="J400" i="20"/>
  <c r="M399" i="20"/>
  <c r="L399" i="20"/>
  <c r="J399" i="20"/>
  <c r="M398" i="20"/>
  <c r="L398" i="20"/>
  <c r="K398" i="20"/>
  <c r="J398" i="20"/>
  <c r="M397" i="20"/>
  <c r="L397" i="20"/>
  <c r="K397" i="20"/>
  <c r="J397" i="20"/>
  <c r="K396" i="20"/>
  <c r="J396" i="20"/>
  <c r="M395" i="20"/>
  <c r="L395" i="20"/>
  <c r="K395" i="20"/>
  <c r="J395" i="20"/>
  <c r="M394" i="20"/>
  <c r="L394" i="20"/>
  <c r="K394" i="20"/>
  <c r="J394" i="20"/>
  <c r="M393" i="20"/>
  <c r="L393" i="20"/>
  <c r="K393" i="20"/>
  <c r="J393" i="20"/>
  <c r="L392" i="20"/>
  <c r="K392" i="20"/>
  <c r="J392" i="20"/>
  <c r="M391" i="20"/>
  <c r="L391" i="20"/>
  <c r="K391" i="20"/>
  <c r="J391" i="20"/>
  <c r="M390" i="20"/>
  <c r="K390" i="20"/>
  <c r="J390" i="20"/>
  <c r="N390" i="20" s="1"/>
  <c r="O390" i="20" s="1"/>
  <c r="P390" i="20" s="1"/>
  <c r="M389" i="20"/>
  <c r="L389" i="20"/>
  <c r="K389" i="20"/>
  <c r="J389" i="20"/>
  <c r="M388" i="20"/>
  <c r="J388" i="20"/>
  <c r="M387" i="20"/>
  <c r="L387" i="20"/>
  <c r="K387" i="20"/>
  <c r="J387" i="20"/>
  <c r="M386" i="20"/>
  <c r="J386" i="20"/>
  <c r="M385" i="20"/>
  <c r="L385" i="20"/>
  <c r="K385" i="20"/>
  <c r="J385" i="20"/>
  <c r="M384" i="20"/>
  <c r="L384" i="20"/>
  <c r="K384" i="20"/>
  <c r="J384" i="20"/>
  <c r="M383" i="20"/>
  <c r="L383" i="20"/>
  <c r="K383" i="20"/>
  <c r="J383" i="20"/>
  <c r="M382" i="20"/>
  <c r="L382" i="20"/>
  <c r="J382" i="20"/>
  <c r="M381" i="20"/>
  <c r="J381" i="20"/>
  <c r="M380" i="20"/>
  <c r="L380" i="20"/>
  <c r="K380" i="20"/>
  <c r="J380" i="20"/>
  <c r="M379" i="20"/>
  <c r="L379" i="20"/>
  <c r="K379" i="20"/>
  <c r="J379" i="20"/>
  <c r="M378" i="20"/>
  <c r="L378" i="20"/>
  <c r="K378" i="20"/>
  <c r="J378" i="20"/>
  <c r="M377" i="20"/>
  <c r="L377" i="20"/>
  <c r="K377" i="20"/>
  <c r="J377" i="20"/>
  <c r="M376" i="20"/>
  <c r="L376" i="20"/>
  <c r="K376" i="20"/>
  <c r="J376" i="20"/>
  <c r="M375" i="20"/>
  <c r="L375" i="20"/>
  <c r="K375" i="20"/>
  <c r="J375" i="20"/>
  <c r="M374" i="20"/>
  <c r="L374" i="20"/>
  <c r="K374" i="20"/>
  <c r="J374" i="20"/>
  <c r="M373" i="20"/>
  <c r="L373" i="20"/>
  <c r="K373" i="20"/>
  <c r="J373" i="20"/>
  <c r="M372" i="20"/>
  <c r="L372" i="20"/>
  <c r="K372" i="20"/>
  <c r="J372" i="20"/>
  <c r="M371" i="20"/>
  <c r="L371" i="20"/>
  <c r="K371" i="20"/>
  <c r="J371" i="20"/>
  <c r="M370" i="20"/>
  <c r="L370" i="20"/>
  <c r="K370" i="20"/>
  <c r="J370" i="20"/>
  <c r="M369" i="20"/>
  <c r="L369" i="20"/>
  <c r="K369" i="20"/>
  <c r="J369" i="20"/>
  <c r="M368" i="20"/>
  <c r="L368" i="20"/>
  <c r="K368" i="20"/>
  <c r="J368" i="20"/>
  <c r="M367" i="20"/>
  <c r="L367" i="20"/>
  <c r="K367" i="20"/>
  <c r="J367" i="20"/>
  <c r="M366" i="20"/>
  <c r="L366" i="20"/>
  <c r="K366" i="20"/>
  <c r="J366" i="20"/>
  <c r="M365" i="20"/>
  <c r="L365" i="20"/>
  <c r="K365" i="20"/>
  <c r="J365" i="20"/>
  <c r="M364" i="20"/>
  <c r="L364" i="20"/>
  <c r="K364" i="20"/>
  <c r="J364" i="20"/>
  <c r="M363" i="20"/>
  <c r="L363" i="20"/>
  <c r="J363" i="20"/>
  <c r="M362" i="20"/>
  <c r="L362" i="20"/>
  <c r="J362" i="20"/>
  <c r="M361" i="20"/>
  <c r="L361" i="20"/>
  <c r="K361" i="20"/>
  <c r="J361" i="20"/>
  <c r="M360" i="20"/>
  <c r="L360" i="20"/>
  <c r="K360" i="20"/>
  <c r="J360" i="20"/>
  <c r="M359" i="20"/>
  <c r="L359" i="20"/>
  <c r="K359" i="20"/>
  <c r="J359" i="20"/>
  <c r="M358" i="20"/>
  <c r="L358" i="20"/>
  <c r="K358" i="20"/>
  <c r="J358" i="20"/>
  <c r="M357" i="20"/>
  <c r="L357" i="20"/>
  <c r="K357" i="20"/>
  <c r="J357" i="20"/>
  <c r="M356" i="20"/>
  <c r="L356" i="20"/>
  <c r="K356" i="20"/>
  <c r="J356" i="20"/>
  <c r="M355" i="20"/>
  <c r="L355" i="20"/>
  <c r="K355" i="20"/>
  <c r="J355" i="20"/>
  <c r="M354" i="20"/>
  <c r="L354" i="20"/>
  <c r="K354" i="20"/>
  <c r="J354" i="20"/>
  <c r="M353" i="20"/>
  <c r="L353" i="20"/>
  <c r="J353" i="20"/>
  <c r="M352" i="20"/>
  <c r="L352" i="20"/>
  <c r="J352" i="20"/>
  <c r="M351" i="20"/>
  <c r="L351" i="20"/>
  <c r="K351" i="20"/>
  <c r="J351" i="20"/>
  <c r="M350" i="20"/>
  <c r="L350" i="20"/>
  <c r="K350" i="20"/>
  <c r="J350" i="20"/>
  <c r="M349" i="20"/>
  <c r="L349" i="20"/>
  <c r="K349" i="20"/>
  <c r="J349" i="20"/>
  <c r="M348" i="20"/>
  <c r="L348" i="20"/>
  <c r="K348" i="20"/>
  <c r="J348" i="20"/>
  <c r="M347" i="20"/>
  <c r="L347" i="20"/>
  <c r="K347" i="20"/>
  <c r="J347" i="20"/>
  <c r="M346" i="20"/>
  <c r="L346" i="20"/>
  <c r="K346" i="20"/>
  <c r="J346" i="20"/>
  <c r="M345" i="20"/>
  <c r="L345" i="20"/>
  <c r="K345" i="20"/>
  <c r="J345" i="20"/>
  <c r="M344" i="20"/>
  <c r="L344" i="20"/>
  <c r="K344" i="20"/>
  <c r="J344" i="20"/>
  <c r="M343" i="20"/>
  <c r="L343" i="20"/>
  <c r="K343" i="20"/>
  <c r="J343" i="20"/>
  <c r="M342" i="20"/>
  <c r="L342" i="20"/>
  <c r="K342" i="20"/>
  <c r="J342" i="20"/>
  <c r="M341" i="20"/>
  <c r="L341" i="20"/>
  <c r="K341" i="20"/>
  <c r="J341" i="20"/>
  <c r="M340" i="20"/>
  <c r="L340" i="20"/>
  <c r="K340" i="20"/>
  <c r="J340" i="20"/>
  <c r="M339" i="20"/>
  <c r="L339" i="20"/>
  <c r="K339" i="20"/>
  <c r="J339" i="20"/>
  <c r="M338" i="20"/>
  <c r="L338" i="20"/>
  <c r="K338" i="20"/>
  <c r="J338" i="20"/>
  <c r="M337" i="20"/>
  <c r="L337" i="20"/>
  <c r="K337" i="20"/>
  <c r="J337" i="20"/>
  <c r="M336" i="20"/>
  <c r="L336" i="20"/>
  <c r="K336" i="20"/>
  <c r="J336" i="20"/>
  <c r="M335" i="20"/>
  <c r="K335" i="20"/>
  <c r="J335" i="20"/>
  <c r="M334" i="20"/>
  <c r="K334" i="20"/>
  <c r="J334" i="20"/>
  <c r="M333" i="20"/>
  <c r="K333" i="20"/>
  <c r="J333" i="20"/>
  <c r="M332" i="20"/>
  <c r="J332" i="20"/>
  <c r="M331" i="20"/>
  <c r="K331" i="20"/>
  <c r="J331" i="20"/>
  <c r="M330" i="20"/>
  <c r="K330" i="20"/>
  <c r="J330" i="20"/>
  <c r="M329" i="20"/>
  <c r="L329" i="20"/>
  <c r="K329" i="20"/>
  <c r="J329" i="20"/>
  <c r="M328" i="20"/>
  <c r="L328" i="20"/>
  <c r="K328" i="20"/>
  <c r="J328" i="20"/>
  <c r="M327" i="20"/>
  <c r="L327" i="20"/>
  <c r="K327" i="20"/>
  <c r="J327" i="20"/>
  <c r="M326" i="20"/>
  <c r="K326" i="20"/>
  <c r="J326" i="20"/>
  <c r="M325" i="20"/>
  <c r="K325" i="20"/>
  <c r="J325" i="20"/>
  <c r="M324" i="20"/>
  <c r="L324" i="20"/>
  <c r="K324" i="20"/>
  <c r="J324" i="20"/>
  <c r="M323" i="20"/>
  <c r="L323" i="20"/>
  <c r="K323" i="20"/>
  <c r="J323" i="20"/>
  <c r="M322" i="20"/>
  <c r="K322" i="20"/>
  <c r="J322" i="20"/>
  <c r="M321" i="20"/>
  <c r="K321" i="20"/>
  <c r="J321" i="20"/>
  <c r="M320" i="20"/>
  <c r="L320" i="20"/>
  <c r="K320" i="20"/>
  <c r="J320" i="20"/>
  <c r="M319" i="20"/>
  <c r="L319" i="20"/>
  <c r="K319" i="20"/>
  <c r="J319" i="20"/>
  <c r="M318" i="20"/>
  <c r="L318" i="20"/>
  <c r="K318" i="20"/>
  <c r="J318" i="20"/>
  <c r="M317" i="20"/>
  <c r="L317" i="20"/>
  <c r="K317" i="20"/>
  <c r="J317" i="20"/>
  <c r="M316" i="20"/>
  <c r="L316" i="20"/>
  <c r="K316" i="20"/>
  <c r="J316" i="20"/>
  <c r="M315" i="20"/>
  <c r="L315" i="20"/>
  <c r="K315" i="20"/>
  <c r="J315" i="20"/>
  <c r="M314" i="20"/>
  <c r="L314" i="20"/>
  <c r="K314" i="20"/>
  <c r="J314" i="20"/>
  <c r="M313" i="20"/>
  <c r="K313" i="20"/>
  <c r="J313" i="20"/>
  <c r="M312" i="20"/>
  <c r="K312" i="20"/>
  <c r="J312" i="20"/>
  <c r="M311" i="20"/>
  <c r="L311" i="20"/>
  <c r="K311" i="20"/>
  <c r="J311" i="20"/>
  <c r="L310" i="20"/>
  <c r="K310" i="20"/>
  <c r="J310" i="20"/>
  <c r="M309" i="20"/>
  <c r="L309" i="20"/>
  <c r="K309" i="20"/>
  <c r="J309" i="20"/>
  <c r="M308" i="20"/>
  <c r="L308" i="20"/>
  <c r="K308" i="20"/>
  <c r="J308" i="20"/>
  <c r="M307" i="20"/>
  <c r="L307" i="20"/>
  <c r="K307" i="20"/>
  <c r="J307" i="20"/>
  <c r="M306" i="20"/>
  <c r="L306" i="20"/>
  <c r="K306" i="20"/>
  <c r="J306" i="20"/>
  <c r="M305" i="20"/>
  <c r="L305" i="20"/>
  <c r="J305" i="20"/>
  <c r="M304" i="20"/>
  <c r="L304" i="20"/>
  <c r="K304" i="20"/>
  <c r="J304" i="20"/>
  <c r="M303" i="20"/>
  <c r="L303" i="20"/>
  <c r="K303" i="20"/>
  <c r="J303" i="20"/>
  <c r="M302" i="20"/>
  <c r="L302" i="20"/>
  <c r="K302" i="20"/>
  <c r="J302" i="20"/>
  <c r="M301" i="20"/>
  <c r="L301" i="20"/>
  <c r="J301" i="20"/>
  <c r="M300" i="20"/>
  <c r="L300" i="20"/>
  <c r="J300" i="20"/>
  <c r="M299" i="20"/>
  <c r="L299" i="20"/>
  <c r="J299" i="20"/>
  <c r="M298" i="20"/>
  <c r="L298" i="20"/>
  <c r="J298" i="20"/>
  <c r="M297" i="20"/>
  <c r="L297" i="20"/>
  <c r="K297" i="20"/>
  <c r="J297" i="20"/>
  <c r="M296" i="20"/>
  <c r="L296" i="20"/>
  <c r="K296" i="20"/>
  <c r="J296" i="20"/>
  <c r="M295" i="20"/>
  <c r="L295" i="20"/>
  <c r="K295" i="20"/>
  <c r="J295" i="20"/>
  <c r="M294" i="20"/>
  <c r="L294" i="20"/>
  <c r="J294" i="20"/>
  <c r="M293" i="20"/>
  <c r="L293" i="20"/>
  <c r="J293" i="20"/>
  <c r="M292" i="20"/>
  <c r="L292" i="20"/>
  <c r="K292" i="20"/>
  <c r="J292" i="20"/>
  <c r="M291" i="20"/>
  <c r="L291" i="20"/>
  <c r="J291" i="20"/>
  <c r="M290" i="20"/>
  <c r="L290" i="20"/>
  <c r="J290" i="20"/>
  <c r="M289" i="20"/>
  <c r="L289" i="20"/>
  <c r="K289" i="20"/>
  <c r="J289" i="20"/>
  <c r="M288" i="20"/>
  <c r="L288" i="20"/>
  <c r="K288" i="20"/>
  <c r="J288" i="20"/>
  <c r="M287" i="20"/>
  <c r="L287" i="20"/>
  <c r="K287" i="20"/>
  <c r="J287" i="20"/>
  <c r="M286" i="20"/>
  <c r="L286" i="20"/>
  <c r="J286" i="20"/>
  <c r="M285" i="20"/>
  <c r="L285" i="20"/>
  <c r="J285" i="20"/>
  <c r="M284" i="20"/>
  <c r="L284" i="20"/>
  <c r="K284" i="20"/>
  <c r="J284" i="20"/>
  <c r="M283" i="20"/>
  <c r="L283" i="20"/>
  <c r="J283" i="20"/>
  <c r="M282" i="20"/>
  <c r="L282" i="20"/>
  <c r="J282" i="20"/>
  <c r="M281" i="20"/>
  <c r="L281" i="20"/>
  <c r="J281" i="20"/>
  <c r="M280" i="20"/>
  <c r="L280" i="20"/>
  <c r="J280" i="20"/>
  <c r="M279" i="20"/>
  <c r="L279" i="20"/>
  <c r="J279" i="20"/>
  <c r="M278" i="20"/>
  <c r="L278" i="20"/>
  <c r="J278" i="20"/>
  <c r="M277" i="20"/>
  <c r="L277" i="20"/>
  <c r="K277" i="20"/>
  <c r="J277" i="20"/>
  <c r="M276" i="20"/>
  <c r="L276" i="20"/>
  <c r="J276" i="20"/>
  <c r="M275" i="20"/>
  <c r="L275" i="20"/>
  <c r="J275" i="20"/>
  <c r="M274" i="20"/>
  <c r="L274" i="20"/>
  <c r="K274" i="20"/>
  <c r="J274" i="20"/>
  <c r="M273" i="20"/>
  <c r="L273" i="20"/>
  <c r="K273" i="20"/>
  <c r="J273" i="20"/>
  <c r="L272" i="20"/>
  <c r="K272" i="20"/>
  <c r="J272" i="20"/>
  <c r="M271" i="20"/>
  <c r="L271" i="20"/>
  <c r="K271" i="20"/>
  <c r="J271" i="20"/>
  <c r="M270" i="20"/>
  <c r="L270" i="20"/>
  <c r="K270" i="20"/>
  <c r="J270" i="20"/>
  <c r="M269" i="20"/>
  <c r="L269" i="20"/>
  <c r="J269" i="20"/>
  <c r="M268" i="20"/>
  <c r="L268" i="20"/>
  <c r="J268" i="20"/>
  <c r="M267" i="20"/>
  <c r="L267" i="20"/>
  <c r="K267" i="20"/>
  <c r="J267" i="20"/>
  <c r="M266" i="20"/>
  <c r="L266" i="20"/>
  <c r="K266" i="20"/>
  <c r="J266" i="20"/>
  <c r="M265" i="20"/>
  <c r="L265" i="20"/>
  <c r="K265" i="20"/>
  <c r="J265" i="20"/>
  <c r="M264" i="20"/>
  <c r="L264" i="20"/>
  <c r="J264" i="20"/>
  <c r="M263" i="20"/>
  <c r="L263" i="20"/>
  <c r="J263" i="20"/>
  <c r="M262" i="20"/>
  <c r="L262" i="20"/>
  <c r="J262" i="20"/>
  <c r="M261" i="20"/>
  <c r="L261" i="20"/>
  <c r="J261" i="20"/>
  <c r="M260" i="20"/>
  <c r="L260" i="20"/>
  <c r="K260" i="20"/>
  <c r="J260" i="20"/>
  <c r="M259" i="20"/>
  <c r="L259" i="20"/>
  <c r="K259" i="20"/>
  <c r="J259" i="20"/>
  <c r="M258" i="20"/>
  <c r="L258" i="20"/>
  <c r="K258" i="20"/>
  <c r="J258" i="20"/>
  <c r="M257" i="20"/>
  <c r="L257" i="20"/>
  <c r="J257" i="20"/>
  <c r="L256" i="20"/>
  <c r="J256" i="20"/>
  <c r="M255" i="20"/>
  <c r="L255" i="20"/>
  <c r="K255" i="20"/>
  <c r="J255" i="20"/>
  <c r="M254" i="20"/>
  <c r="L254" i="20"/>
  <c r="J254" i="20"/>
  <c r="M253" i="20"/>
  <c r="L253" i="20"/>
  <c r="K253" i="20"/>
  <c r="J253" i="20"/>
  <c r="M252" i="20"/>
  <c r="L252" i="20"/>
  <c r="K252" i="20"/>
  <c r="J252" i="20"/>
  <c r="M251" i="20"/>
  <c r="L251" i="20"/>
  <c r="K251" i="20"/>
  <c r="J251" i="20"/>
  <c r="M250" i="20"/>
  <c r="K250" i="20"/>
  <c r="J250" i="20"/>
  <c r="M249" i="20"/>
  <c r="K249" i="20"/>
  <c r="J249" i="20"/>
  <c r="M248" i="20"/>
  <c r="L248" i="20"/>
  <c r="K248" i="20"/>
  <c r="J248" i="20"/>
  <c r="M247" i="20"/>
  <c r="L247" i="20"/>
  <c r="K247" i="20"/>
  <c r="J247" i="20"/>
  <c r="M246" i="20"/>
  <c r="L246" i="20"/>
  <c r="K246" i="20"/>
  <c r="J246" i="20"/>
  <c r="M245" i="20"/>
  <c r="L245" i="20"/>
  <c r="K245" i="20"/>
  <c r="J245" i="20"/>
  <c r="M244" i="20"/>
  <c r="L244" i="20"/>
  <c r="K244" i="20"/>
  <c r="J244" i="20"/>
  <c r="M243" i="20"/>
  <c r="L243" i="20"/>
  <c r="K243" i="20"/>
  <c r="J243" i="20"/>
  <c r="M242" i="20"/>
  <c r="L242" i="20"/>
  <c r="K242" i="20"/>
  <c r="J242" i="20"/>
  <c r="M241" i="20"/>
  <c r="K241" i="20"/>
  <c r="J241" i="20"/>
  <c r="M240" i="20"/>
  <c r="K240" i="20"/>
  <c r="J240" i="20"/>
  <c r="M239" i="20"/>
  <c r="K239" i="20"/>
  <c r="J239" i="20"/>
  <c r="M238" i="20"/>
  <c r="K238" i="20"/>
  <c r="J238" i="20"/>
  <c r="M237" i="20"/>
  <c r="K237" i="20"/>
  <c r="J237" i="20"/>
  <c r="M236" i="20"/>
  <c r="K236" i="20"/>
  <c r="J236" i="20"/>
  <c r="M235" i="20"/>
  <c r="L235" i="20"/>
  <c r="K235" i="20"/>
  <c r="J235" i="20"/>
  <c r="M234" i="20"/>
  <c r="L234" i="20"/>
  <c r="K234" i="20"/>
  <c r="J234" i="20"/>
  <c r="M233" i="20"/>
  <c r="L233" i="20"/>
  <c r="K233" i="20"/>
  <c r="J233" i="20"/>
  <c r="M232" i="20"/>
  <c r="L232" i="20"/>
  <c r="K232" i="20"/>
  <c r="J232" i="20"/>
  <c r="M231" i="20"/>
  <c r="L231" i="20"/>
  <c r="K231" i="20"/>
  <c r="J231" i="20"/>
  <c r="M230" i="20"/>
  <c r="L230" i="20"/>
  <c r="K230" i="20"/>
  <c r="J230" i="20"/>
  <c r="M229" i="20"/>
  <c r="K229" i="20"/>
  <c r="J229" i="20"/>
  <c r="M228" i="20"/>
  <c r="J228" i="20"/>
  <c r="M227" i="20"/>
  <c r="L227" i="20"/>
  <c r="K227" i="20"/>
  <c r="J227" i="20"/>
  <c r="M226" i="20"/>
  <c r="L226" i="20"/>
  <c r="J226" i="20"/>
  <c r="M225" i="20"/>
  <c r="L225" i="20"/>
  <c r="K225" i="20"/>
  <c r="J225" i="20"/>
  <c r="M224" i="20"/>
  <c r="L224" i="20"/>
  <c r="K224" i="20"/>
  <c r="J224" i="20"/>
  <c r="M223" i="20"/>
  <c r="L223" i="20"/>
  <c r="K223" i="20"/>
  <c r="J223" i="20"/>
  <c r="M222" i="20"/>
  <c r="L222" i="20"/>
  <c r="K222" i="20"/>
  <c r="J222" i="20"/>
  <c r="M221" i="20"/>
  <c r="L221" i="20"/>
  <c r="K221" i="20"/>
  <c r="J221" i="20"/>
  <c r="M220" i="20"/>
  <c r="L220" i="20"/>
  <c r="J220" i="20"/>
  <c r="M219" i="20"/>
  <c r="L219" i="20"/>
  <c r="J219" i="20"/>
  <c r="M218" i="20"/>
  <c r="L218" i="20"/>
  <c r="J218" i="20"/>
  <c r="M217" i="20"/>
  <c r="L217" i="20"/>
  <c r="J217" i="20"/>
  <c r="M216" i="20"/>
  <c r="L216" i="20"/>
  <c r="K216" i="20"/>
  <c r="J216" i="20"/>
  <c r="M215" i="20"/>
  <c r="L215" i="20"/>
  <c r="K215" i="20"/>
  <c r="J215" i="20"/>
  <c r="M214" i="20"/>
  <c r="L214" i="20"/>
  <c r="K214" i="20"/>
  <c r="J214" i="20"/>
  <c r="M213" i="20"/>
  <c r="L213" i="20"/>
  <c r="J213" i="20"/>
  <c r="M212" i="20"/>
  <c r="L212" i="20"/>
  <c r="J212" i="20"/>
  <c r="M211" i="20"/>
  <c r="L211" i="20"/>
  <c r="K211" i="20"/>
  <c r="J211" i="20"/>
  <c r="M210" i="20"/>
  <c r="L210" i="20"/>
  <c r="K210" i="20"/>
  <c r="J210" i="20"/>
  <c r="M209" i="20"/>
  <c r="L209" i="20"/>
  <c r="K209" i="20"/>
  <c r="J209" i="20"/>
  <c r="M208" i="20"/>
  <c r="L208" i="20"/>
  <c r="K208" i="20"/>
  <c r="J208" i="20"/>
  <c r="M207" i="20"/>
  <c r="L207" i="20"/>
  <c r="K207" i="20"/>
  <c r="J207" i="20"/>
  <c r="M206" i="20"/>
  <c r="L206" i="20"/>
  <c r="K206" i="20"/>
  <c r="J206" i="20"/>
  <c r="M205" i="20"/>
  <c r="L205" i="20"/>
  <c r="K205" i="20"/>
  <c r="J205" i="20"/>
  <c r="M204" i="20"/>
  <c r="L204" i="20"/>
  <c r="K204" i="20"/>
  <c r="J204" i="20"/>
  <c r="M203" i="20"/>
  <c r="L203" i="20"/>
  <c r="K203" i="20"/>
  <c r="J203" i="20"/>
  <c r="M202" i="20"/>
  <c r="L202" i="20"/>
  <c r="K202" i="20"/>
  <c r="J202" i="20"/>
  <c r="M201" i="20"/>
  <c r="L201" i="20"/>
  <c r="J201" i="20"/>
  <c r="M200" i="20"/>
  <c r="L200" i="20"/>
  <c r="J200" i="20"/>
  <c r="M199" i="20"/>
  <c r="L199" i="20"/>
  <c r="J199" i="20"/>
  <c r="M198" i="20"/>
  <c r="L198" i="20"/>
  <c r="J198" i="20"/>
  <c r="M197" i="20"/>
  <c r="L197" i="20"/>
  <c r="K197" i="20"/>
  <c r="J197" i="20"/>
  <c r="M196" i="20"/>
  <c r="L196" i="20"/>
  <c r="K196" i="20"/>
  <c r="J196" i="20"/>
  <c r="M195" i="20"/>
  <c r="L195" i="20"/>
  <c r="K195" i="20"/>
  <c r="J195" i="20"/>
  <c r="M194" i="20"/>
  <c r="L194" i="20"/>
  <c r="K194" i="20"/>
  <c r="J194" i="20"/>
  <c r="M193" i="20"/>
  <c r="L193" i="20"/>
  <c r="K193" i="20"/>
  <c r="J193" i="20"/>
  <c r="M192" i="20"/>
  <c r="L192" i="20"/>
  <c r="J192" i="20"/>
  <c r="M191" i="20"/>
  <c r="L191" i="20"/>
  <c r="J191" i="20"/>
  <c r="M190" i="20"/>
  <c r="L190" i="20"/>
  <c r="K190" i="20"/>
  <c r="J190" i="20"/>
  <c r="M189" i="20"/>
  <c r="L189" i="20"/>
  <c r="K189" i="20"/>
  <c r="J189" i="20"/>
  <c r="M188" i="20"/>
  <c r="L188" i="20"/>
  <c r="K188" i="20"/>
  <c r="J188" i="20"/>
  <c r="M187" i="20"/>
  <c r="L187" i="20"/>
  <c r="K187" i="20"/>
  <c r="J187" i="20"/>
  <c r="M186" i="20"/>
  <c r="L186" i="20"/>
  <c r="K186" i="20"/>
  <c r="J186" i="20"/>
  <c r="M185" i="20"/>
  <c r="L185" i="20"/>
  <c r="K185" i="20"/>
  <c r="J185" i="20"/>
  <c r="M184" i="20"/>
  <c r="L184" i="20"/>
  <c r="K184" i="20"/>
  <c r="J184" i="20"/>
  <c r="M183" i="20"/>
  <c r="L183" i="20"/>
  <c r="K183" i="20"/>
  <c r="J183" i="20"/>
  <c r="M182" i="20"/>
  <c r="L182" i="20"/>
  <c r="K182" i="20"/>
  <c r="J182" i="20"/>
  <c r="M181" i="20"/>
  <c r="L181" i="20"/>
  <c r="K181" i="20"/>
  <c r="J181" i="20"/>
  <c r="M180" i="20"/>
  <c r="L180" i="20"/>
  <c r="K180" i="20"/>
  <c r="J180" i="20"/>
  <c r="M179" i="20"/>
  <c r="L179" i="20"/>
  <c r="K179" i="20"/>
  <c r="J179" i="20"/>
  <c r="M178" i="20"/>
  <c r="L178" i="20"/>
  <c r="K178" i="20"/>
  <c r="J178" i="20"/>
  <c r="M177" i="20"/>
  <c r="L177" i="20"/>
  <c r="K177" i="20"/>
  <c r="J177" i="20"/>
  <c r="M176" i="20"/>
  <c r="L176" i="20"/>
  <c r="J176" i="20"/>
  <c r="M175" i="20"/>
  <c r="L175" i="20"/>
  <c r="J175" i="20"/>
  <c r="M174" i="20"/>
  <c r="L174" i="20"/>
  <c r="J174" i="20"/>
  <c r="M173" i="20"/>
  <c r="L173" i="20"/>
  <c r="J173" i="20"/>
  <c r="M172" i="20"/>
  <c r="L172" i="20"/>
  <c r="J172" i="20"/>
  <c r="M171" i="20"/>
  <c r="L171" i="20"/>
  <c r="J171" i="20"/>
  <c r="M170" i="20"/>
  <c r="L170" i="20"/>
  <c r="K170" i="20"/>
  <c r="J170" i="20"/>
  <c r="M169" i="20"/>
  <c r="L169" i="20"/>
  <c r="K169" i="20"/>
  <c r="J169" i="20"/>
  <c r="M168" i="20"/>
  <c r="L168" i="20"/>
  <c r="J168" i="20"/>
  <c r="M167" i="20"/>
  <c r="L167" i="20"/>
  <c r="J167" i="20"/>
  <c r="M166" i="20"/>
  <c r="L166" i="20"/>
  <c r="J166" i="20"/>
  <c r="M165" i="20"/>
  <c r="L165" i="20"/>
  <c r="K165" i="20"/>
  <c r="J165" i="20"/>
  <c r="M164" i="20"/>
  <c r="L164" i="20"/>
  <c r="K164" i="20"/>
  <c r="J164" i="20"/>
  <c r="M163" i="20"/>
  <c r="L163" i="20"/>
  <c r="K163" i="20"/>
  <c r="J163" i="20"/>
  <c r="M162" i="20"/>
  <c r="L162" i="20"/>
  <c r="K162" i="20"/>
  <c r="J162" i="20"/>
  <c r="M161" i="20"/>
  <c r="L161" i="20"/>
  <c r="K161" i="20"/>
  <c r="J161" i="20"/>
  <c r="M160" i="20"/>
  <c r="L160" i="20"/>
  <c r="K160" i="20"/>
  <c r="J160" i="20"/>
  <c r="M159" i="20"/>
  <c r="L159" i="20"/>
  <c r="K159" i="20"/>
  <c r="J159" i="20"/>
  <c r="M158" i="20"/>
  <c r="L158" i="20"/>
  <c r="K158" i="20"/>
  <c r="J158" i="20"/>
  <c r="M157" i="20"/>
  <c r="L157" i="20"/>
  <c r="K157" i="20"/>
  <c r="J157" i="20"/>
  <c r="M156" i="20"/>
  <c r="L156" i="20"/>
  <c r="K156" i="20"/>
  <c r="J156" i="20"/>
  <c r="M155" i="20"/>
  <c r="L155" i="20"/>
  <c r="K155" i="20"/>
  <c r="J155" i="20"/>
  <c r="M154" i="20"/>
  <c r="L154" i="20"/>
  <c r="K154" i="20"/>
  <c r="J154" i="20"/>
  <c r="M153" i="20"/>
  <c r="L153" i="20"/>
  <c r="K153" i="20"/>
  <c r="J153" i="20"/>
  <c r="M152" i="20"/>
  <c r="L152" i="20"/>
  <c r="K152" i="20"/>
  <c r="J152" i="20"/>
  <c r="M151" i="20"/>
  <c r="L151" i="20"/>
  <c r="J151" i="20"/>
  <c r="M150" i="20"/>
  <c r="L150" i="20"/>
  <c r="J150" i="20"/>
  <c r="M149" i="20"/>
  <c r="L149" i="20"/>
  <c r="K149" i="20"/>
  <c r="J149" i="20"/>
  <c r="M148" i="20"/>
  <c r="L148" i="20"/>
  <c r="J148" i="20"/>
  <c r="M147" i="20"/>
  <c r="L147" i="20"/>
  <c r="K147" i="20"/>
  <c r="J147" i="20"/>
  <c r="M146" i="20"/>
  <c r="L146" i="20"/>
  <c r="J146" i="20"/>
  <c r="M145" i="20"/>
  <c r="L145" i="20"/>
  <c r="J145" i="20"/>
  <c r="M144" i="20"/>
  <c r="L144" i="20"/>
  <c r="K144" i="20"/>
  <c r="J144" i="20"/>
  <c r="M143" i="20"/>
  <c r="L143" i="20"/>
  <c r="K143" i="20"/>
  <c r="J143" i="20"/>
  <c r="M142" i="20"/>
  <c r="L142" i="20"/>
  <c r="K142" i="20"/>
  <c r="J142" i="20"/>
  <c r="M141" i="20"/>
  <c r="L141" i="20"/>
  <c r="K141" i="20"/>
  <c r="J141" i="20"/>
  <c r="M140" i="20"/>
  <c r="J140" i="20"/>
  <c r="M139" i="20"/>
  <c r="J139" i="20"/>
  <c r="M138" i="20"/>
  <c r="L138" i="20"/>
  <c r="J138" i="20"/>
  <c r="M137" i="20"/>
  <c r="L137" i="20"/>
  <c r="K137" i="20"/>
  <c r="J137" i="20"/>
  <c r="M136" i="20"/>
  <c r="L136" i="20"/>
  <c r="K136" i="20"/>
  <c r="J136" i="20"/>
  <c r="M135" i="20"/>
  <c r="K135" i="20"/>
  <c r="J135" i="20"/>
  <c r="M134" i="20"/>
  <c r="L134" i="20"/>
  <c r="K134" i="20"/>
  <c r="J134" i="20"/>
  <c r="M133" i="20"/>
  <c r="L133" i="20"/>
  <c r="K133" i="20"/>
  <c r="J133" i="20"/>
  <c r="M132" i="20"/>
  <c r="L132" i="20"/>
  <c r="K132" i="20"/>
  <c r="J132" i="20"/>
  <c r="M131" i="20"/>
  <c r="L131" i="20"/>
  <c r="K131" i="20"/>
  <c r="J131" i="20"/>
  <c r="M130" i="20"/>
  <c r="L130" i="20"/>
  <c r="K130" i="20"/>
  <c r="J130" i="20"/>
  <c r="M129" i="20"/>
  <c r="L129" i="20"/>
  <c r="K129" i="20"/>
  <c r="J129" i="20"/>
  <c r="M128" i="20"/>
  <c r="L128" i="20"/>
  <c r="K128" i="20"/>
  <c r="J128" i="20"/>
  <c r="M127" i="20"/>
  <c r="L127" i="20"/>
  <c r="K127" i="20"/>
  <c r="J127" i="20"/>
  <c r="M126" i="20"/>
  <c r="L126" i="20"/>
  <c r="K126" i="20"/>
  <c r="J126" i="20"/>
  <c r="M125" i="20"/>
  <c r="L125" i="20"/>
  <c r="K125" i="20"/>
  <c r="J125" i="20"/>
  <c r="M124" i="20"/>
  <c r="L124" i="20"/>
  <c r="K124" i="20"/>
  <c r="J124" i="20"/>
  <c r="M123" i="20"/>
  <c r="L123" i="20"/>
  <c r="K123" i="20"/>
  <c r="J123" i="20"/>
  <c r="M122" i="20"/>
  <c r="L122" i="20"/>
  <c r="K122" i="20"/>
  <c r="J122" i="20"/>
  <c r="M121" i="20"/>
  <c r="L121" i="20"/>
  <c r="K121" i="20"/>
  <c r="J121" i="20"/>
  <c r="M120" i="20"/>
  <c r="L120" i="20"/>
  <c r="K120" i="20"/>
  <c r="J120" i="20"/>
  <c r="M119" i="20"/>
  <c r="L119" i="20"/>
  <c r="K119" i="20"/>
  <c r="J119" i="20"/>
  <c r="M118" i="20"/>
  <c r="L118" i="20"/>
  <c r="J118" i="20"/>
  <c r="M117" i="20"/>
  <c r="L117" i="20"/>
  <c r="J117" i="20"/>
  <c r="M116" i="20"/>
  <c r="L116" i="20"/>
  <c r="K116" i="20"/>
  <c r="J116" i="20"/>
  <c r="M115" i="20"/>
  <c r="L115" i="20"/>
  <c r="K115" i="20"/>
  <c r="J115" i="20"/>
  <c r="M114" i="20"/>
  <c r="L114" i="20"/>
  <c r="K114" i="20"/>
  <c r="J114" i="20"/>
  <c r="M113" i="20"/>
  <c r="L113" i="20"/>
  <c r="K113" i="20"/>
  <c r="J113" i="20"/>
  <c r="M112" i="20"/>
  <c r="L112" i="20"/>
  <c r="K112" i="20"/>
  <c r="J112" i="20"/>
  <c r="M111" i="20"/>
  <c r="L111" i="20"/>
  <c r="K111" i="20"/>
  <c r="J111" i="20"/>
  <c r="M110" i="20"/>
  <c r="L110" i="20"/>
  <c r="K110" i="20"/>
  <c r="J110" i="20"/>
  <c r="M109" i="20"/>
  <c r="L109" i="20"/>
  <c r="K109" i="20"/>
  <c r="J109" i="20"/>
  <c r="M108" i="20"/>
  <c r="L108" i="20"/>
  <c r="K108" i="20"/>
  <c r="J108" i="20"/>
  <c r="M107" i="20"/>
  <c r="L107" i="20"/>
  <c r="K107" i="20"/>
  <c r="J107" i="20"/>
  <c r="M106" i="20"/>
  <c r="L106" i="20"/>
  <c r="K106" i="20"/>
  <c r="J106" i="20"/>
  <c r="M105" i="20"/>
  <c r="L105" i="20"/>
  <c r="K105" i="20"/>
  <c r="J105" i="20"/>
  <c r="M104" i="20"/>
  <c r="L104" i="20"/>
  <c r="K104" i="20"/>
  <c r="J104" i="20"/>
  <c r="M103" i="20"/>
  <c r="L103" i="20"/>
  <c r="K103" i="20"/>
  <c r="J103" i="20"/>
  <c r="M102" i="20"/>
  <c r="L102" i="20"/>
  <c r="J102" i="20"/>
  <c r="M101" i="20"/>
  <c r="L101" i="20"/>
  <c r="J101" i="20"/>
  <c r="M100" i="20"/>
  <c r="L100" i="20"/>
  <c r="K100" i="20"/>
  <c r="J100" i="20"/>
  <c r="M99" i="20"/>
  <c r="L99" i="20"/>
  <c r="K99" i="20"/>
  <c r="J99" i="20"/>
  <c r="M98" i="20"/>
  <c r="L98" i="20"/>
  <c r="K98" i="20"/>
  <c r="J98" i="20"/>
  <c r="M97" i="20"/>
  <c r="L97" i="20"/>
  <c r="K97" i="20"/>
  <c r="J97" i="20"/>
  <c r="M96" i="20"/>
  <c r="L96" i="20"/>
  <c r="K96" i="20"/>
  <c r="J96" i="20"/>
  <c r="M95" i="20"/>
  <c r="L95" i="20"/>
  <c r="J95" i="20"/>
  <c r="M94" i="20"/>
  <c r="L94" i="20"/>
  <c r="J94" i="20"/>
  <c r="M93" i="20"/>
  <c r="L93" i="20"/>
  <c r="J93" i="20"/>
  <c r="M92" i="20"/>
  <c r="L92" i="20"/>
  <c r="J92" i="20"/>
  <c r="M91" i="20"/>
  <c r="L91" i="20"/>
  <c r="K91" i="20"/>
  <c r="J91" i="20"/>
  <c r="M90" i="20"/>
  <c r="L90" i="20"/>
  <c r="K90" i="20"/>
  <c r="J90" i="20"/>
  <c r="M89" i="20"/>
  <c r="L89" i="20"/>
  <c r="K89" i="20"/>
  <c r="J89" i="20"/>
  <c r="M88" i="20"/>
  <c r="L88" i="20"/>
  <c r="J88" i="20"/>
  <c r="M87" i="20"/>
  <c r="L87" i="20"/>
  <c r="J87" i="20"/>
  <c r="M86" i="20"/>
  <c r="L86" i="20"/>
  <c r="K86" i="20"/>
  <c r="J86" i="20"/>
  <c r="M85" i="20"/>
  <c r="L85" i="20"/>
  <c r="K85" i="20"/>
  <c r="J85" i="20"/>
  <c r="M84" i="20"/>
  <c r="L84" i="20"/>
  <c r="K84" i="20"/>
  <c r="J84" i="20"/>
  <c r="M83" i="20"/>
  <c r="L83" i="20"/>
  <c r="K83" i="20"/>
  <c r="J83" i="20"/>
  <c r="M82" i="20"/>
  <c r="L82" i="20"/>
  <c r="K82" i="20"/>
  <c r="J82" i="20"/>
  <c r="M81" i="20"/>
  <c r="L81" i="20"/>
  <c r="K81" i="20"/>
  <c r="J81" i="20"/>
  <c r="M80" i="20"/>
  <c r="L80" i="20"/>
  <c r="J80" i="20"/>
  <c r="M79" i="20"/>
  <c r="L79" i="20"/>
  <c r="J79" i="20"/>
  <c r="M78" i="20"/>
  <c r="L78" i="20"/>
  <c r="J78" i="20"/>
  <c r="M77" i="20"/>
  <c r="L77" i="20"/>
  <c r="J77" i="20"/>
  <c r="M76" i="20"/>
  <c r="J76" i="20"/>
  <c r="M75" i="20"/>
  <c r="L75" i="20"/>
  <c r="J75" i="20"/>
  <c r="M74" i="20"/>
  <c r="L74" i="20"/>
  <c r="J74" i="20"/>
  <c r="M73" i="20"/>
  <c r="L73" i="20"/>
  <c r="J73" i="20"/>
  <c r="M72" i="20"/>
  <c r="L72" i="20"/>
  <c r="K72" i="20"/>
  <c r="J72" i="20"/>
  <c r="M71" i="20"/>
  <c r="L71" i="20"/>
  <c r="K71" i="20"/>
  <c r="J71" i="20"/>
  <c r="M70" i="20"/>
  <c r="L70" i="20"/>
  <c r="K70" i="20"/>
  <c r="J70" i="20"/>
  <c r="M69" i="20"/>
  <c r="L69" i="20"/>
  <c r="K69" i="20"/>
  <c r="J69" i="20"/>
  <c r="M68" i="20"/>
  <c r="L68" i="20"/>
  <c r="K68" i="20"/>
  <c r="J68" i="20"/>
  <c r="M67" i="20"/>
  <c r="L67" i="20"/>
  <c r="K67" i="20"/>
  <c r="J67" i="20"/>
  <c r="M66" i="20"/>
  <c r="L66" i="20"/>
  <c r="J66" i="20"/>
  <c r="M65" i="20"/>
  <c r="L65" i="20"/>
  <c r="J65" i="20"/>
  <c r="M64" i="20"/>
  <c r="L64" i="20"/>
  <c r="K64" i="20"/>
  <c r="J64" i="20"/>
  <c r="M63" i="20"/>
  <c r="L63" i="20"/>
  <c r="K63" i="20"/>
  <c r="J63" i="20"/>
  <c r="M62" i="20"/>
  <c r="L62" i="20"/>
  <c r="K62" i="20"/>
  <c r="J62" i="20"/>
  <c r="M61" i="20"/>
  <c r="L61" i="20"/>
  <c r="J61" i="20"/>
  <c r="M60" i="20"/>
  <c r="L60" i="20"/>
  <c r="J60" i="20"/>
  <c r="M59" i="20"/>
  <c r="L59" i="20"/>
  <c r="J59" i="20"/>
  <c r="M58" i="20"/>
  <c r="L58" i="20"/>
  <c r="J58" i="20"/>
  <c r="M57" i="20"/>
  <c r="L57" i="20"/>
  <c r="K57" i="20"/>
  <c r="J57" i="20"/>
  <c r="M56" i="20"/>
  <c r="L56" i="20"/>
  <c r="J56" i="20"/>
  <c r="M55" i="20"/>
  <c r="L55" i="20"/>
  <c r="J55" i="20"/>
  <c r="M54" i="20"/>
  <c r="L54" i="20"/>
  <c r="J54" i="20"/>
  <c r="M53" i="20"/>
  <c r="L53" i="20"/>
  <c r="J53" i="20"/>
  <c r="M52" i="20"/>
  <c r="L52" i="20"/>
  <c r="J52" i="20"/>
  <c r="M51" i="20"/>
  <c r="L51" i="20"/>
  <c r="J51" i="20"/>
  <c r="M50" i="20"/>
  <c r="L50" i="20"/>
  <c r="K50" i="20"/>
  <c r="J50" i="20"/>
  <c r="M49" i="20"/>
  <c r="L49" i="20"/>
  <c r="K49" i="20"/>
  <c r="J49" i="20"/>
  <c r="M48" i="20"/>
  <c r="L48" i="20"/>
  <c r="K48" i="20"/>
  <c r="J48" i="20"/>
  <c r="M47" i="20"/>
  <c r="K47" i="20"/>
  <c r="J47" i="20"/>
  <c r="M46" i="20"/>
  <c r="K46" i="20"/>
  <c r="J46" i="20"/>
  <c r="M45" i="20"/>
  <c r="L45" i="20"/>
  <c r="K45" i="20"/>
  <c r="J45" i="20"/>
  <c r="M44" i="20"/>
  <c r="L44" i="20"/>
  <c r="K44" i="20"/>
  <c r="J44" i="20"/>
  <c r="M43" i="20"/>
  <c r="L43" i="20"/>
  <c r="K43" i="20"/>
  <c r="J43" i="20"/>
  <c r="M42" i="20"/>
  <c r="L42" i="20"/>
  <c r="K42" i="20"/>
  <c r="J42" i="20"/>
  <c r="M41" i="20"/>
  <c r="L41" i="20"/>
  <c r="K41" i="20"/>
  <c r="J41" i="20"/>
  <c r="M40" i="20"/>
  <c r="L40" i="20"/>
  <c r="K40" i="20"/>
  <c r="J40" i="20"/>
  <c r="M39" i="20"/>
  <c r="L39" i="20"/>
  <c r="K39" i="20"/>
  <c r="J39" i="20"/>
  <c r="M38" i="20"/>
  <c r="L38" i="20"/>
  <c r="K38" i="20"/>
  <c r="J38" i="20"/>
  <c r="M37" i="20"/>
  <c r="L37" i="20"/>
  <c r="K37" i="20"/>
  <c r="J37" i="20"/>
  <c r="M36" i="20"/>
  <c r="L36" i="20"/>
  <c r="J36" i="20"/>
  <c r="M35" i="20"/>
  <c r="L35" i="20"/>
  <c r="K35" i="20"/>
  <c r="J35" i="20"/>
  <c r="M34" i="20"/>
  <c r="J34" i="20"/>
  <c r="M33" i="20"/>
  <c r="L33" i="20"/>
  <c r="K33" i="20"/>
  <c r="J33" i="20"/>
  <c r="M32" i="20"/>
  <c r="L32" i="20"/>
  <c r="J32" i="20"/>
  <c r="M31" i="20"/>
  <c r="K31" i="20"/>
  <c r="J31" i="20"/>
  <c r="M30" i="20"/>
  <c r="J30" i="20"/>
  <c r="M29" i="20"/>
  <c r="L29" i="20"/>
  <c r="K29" i="20"/>
  <c r="J29" i="20"/>
  <c r="M28" i="20"/>
  <c r="L28" i="20"/>
  <c r="K28" i="20"/>
  <c r="J28" i="20"/>
  <c r="M27" i="20"/>
  <c r="L27" i="20"/>
  <c r="K27" i="20"/>
  <c r="J27" i="20"/>
  <c r="M26" i="20"/>
  <c r="L26" i="20"/>
  <c r="K26" i="20"/>
  <c r="J26" i="20"/>
  <c r="M25" i="20"/>
  <c r="L25" i="20"/>
  <c r="K25" i="20"/>
  <c r="J25" i="20"/>
  <c r="M24" i="20"/>
  <c r="L24" i="20"/>
  <c r="K24" i="20"/>
  <c r="J24" i="20"/>
  <c r="M23" i="20"/>
  <c r="L23" i="20"/>
  <c r="K23" i="20"/>
  <c r="J23" i="20"/>
  <c r="M22" i="20"/>
  <c r="L22" i="20"/>
  <c r="K22" i="20"/>
  <c r="J22" i="20"/>
  <c r="M21" i="20"/>
  <c r="L21" i="20"/>
  <c r="K21" i="20"/>
  <c r="J21" i="20"/>
  <c r="M20" i="20"/>
  <c r="L20" i="20"/>
  <c r="K20" i="20"/>
  <c r="J20" i="20"/>
  <c r="M19" i="20"/>
  <c r="L19" i="20"/>
  <c r="K19" i="20"/>
  <c r="J19" i="20"/>
  <c r="M18" i="20"/>
  <c r="L18" i="20"/>
  <c r="K18" i="20"/>
  <c r="J18" i="20"/>
  <c r="M17" i="20"/>
  <c r="L17" i="20"/>
  <c r="K17" i="20"/>
  <c r="J17" i="20"/>
  <c r="M16" i="20"/>
  <c r="L16" i="20"/>
  <c r="K16" i="20"/>
  <c r="J16" i="20"/>
  <c r="M15" i="20"/>
  <c r="L15" i="20"/>
  <c r="K15" i="20"/>
  <c r="J15" i="20"/>
  <c r="M14" i="20"/>
  <c r="L14" i="20"/>
  <c r="K14" i="20"/>
  <c r="J14" i="20"/>
  <c r="M13" i="20"/>
  <c r="K13" i="20"/>
  <c r="J13" i="20"/>
  <c r="M12" i="20"/>
  <c r="J12" i="20"/>
  <c r="M11" i="20"/>
  <c r="L11" i="20"/>
  <c r="K11" i="20"/>
  <c r="J11" i="20"/>
  <c r="M10" i="20"/>
  <c r="L10" i="20"/>
  <c r="K10" i="20"/>
  <c r="J10" i="20"/>
  <c r="M9" i="20"/>
  <c r="K9" i="20"/>
  <c r="J9" i="20"/>
  <c r="B9" i="20"/>
  <c r="M8" i="20"/>
  <c r="L8" i="20"/>
  <c r="K8" i="20"/>
  <c r="J8" i="20"/>
  <c r="D8" i="20"/>
  <c r="M7" i="20"/>
  <c r="L7" i="20"/>
  <c r="K7" i="20"/>
  <c r="J7" i="20"/>
  <c r="D7" i="20"/>
  <c r="M6" i="20"/>
  <c r="L6" i="20"/>
  <c r="K6" i="20"/>
  <c r="J6" i="20"/>
  <c r="D6" i="20"/>
  <c r="L5" i="20"/>
  <c r="K5" i="20"/>
  <c r="J5" i="20"/>
  <c r="I5" i="20"/>
  <c r="Q5" i="20" s="1"/>
  <c r="D5" i="20"/>
  <c r="V16" i="20"/>
  <c r="V59" i="20"/>
  <c r="V272" i="20"/>
  <c r="V187" i="20"/>
  <c r="V27" i="20"/>
  <c r="V370" i="20"/>
  <c r="V261" i="20"/>
  <c r="V133" i="20"/>
  <c r="V48" i="20"/>
  <c r="V336" i="20"/>
  <c r="V208" i="20"/>
  <c r="V123" i="20"/>
  <c r="V80" i="20"/>
  <c r="V283" i="20"/>
  <c r="V155" i="20"/>
  <c r="V69" i="20"/>
  <c r="V6" i="20"/>
  <c r="V10" i="20"/>
  <c r="V14" i="20"/>
  <c r="V18" i="20"/>
  <c r="V22" i="20"/>
  <c r="V26" i="20"/>
  <c r="V34" i="20"/>
  <c r="V38" i="20"/>
  <c r="V46" i="20"/>
  <c r="V58" i="20"/>
  <c r="V66" i="20"/>
  <c r="V70" i="20"/>
  <c r="V78" i="20"/>
  <c r="V90" i="20"/>
  <c r="V98" i="20"/>
  <c r="V102" i="20"/>
  <c r="V110" i="20"/>
  <c r="V122" i="20"/>
  <c r="V130" i="20"/>
  <c r="V134" i="20"/>
  <c r="V142" i="20"/>
  <c r="V154" i="20"/>
  <c r="V162" i="20"/>
  <c r="V166" i="20"/>
  <c r="V174" i="20"/>
  <c r="V186" i="20"/>
  <c r="V198" i="20"/>
  <c r="V218" i="20"/>
  <c r="V226" i="20"/>
  <c r="V238" i="20"/>
  <c r="V250" i="20"/>
  <c r="V262" i="20"/>
  <c r="V282" i="20"/>
  <c r="V290" i="20"/>
  <c r="V302" i="20"/>
  <c r="V7" i="20"/>
  <c r="V17" i="20"/>
  <c r="V23" i="20"/>
  <c r="V28" i="20"/>
  <c r="V33" i="20"/>
  <c r="V49" i="20"/>
  <c r="V60" i="20"/>
  <c r="V65" i="20"/>
  <c r="V76" i="20"/>
  <c r="V92" i="20"/>
  <c r="V103" i="20"/>
  <c r="V108" i="20"/>
  <c r="V119" i="20"/>
  <c r="V135" i="20"/>
  <c r="V145" i="20"/>
  <c r="V151" i="20"/>
  <c r="V161" i="20"/>
  <c r="V177" i="20"/>
  <c r="V188" i="20"/>
  <c r="V193" i="20"/>
  <c r="V204" i="20"/>
  <c r="V231" i="20"/>
  <c r="V236" i="20"/>
  <c r="V247" i="20"/>
  <c r="V263" i="20"/>
  <c r="V279" i="20"/>
  <c r="V289" i="20"/>
  <c r="V316" i="20"/>
  <c r="V332" i="20"/>
  <c r="V347" i="20"/>
  <c r="V359" i="20"/>
  <c r="V399" i="20"/>
  <c r="V423" i="20"/>
  <c r="V463" i="20"/>
  <c r="V487" i="20"/>
  <c r="V8" i="20"/>
  <c r="V19" i="20"/>
  <c r="V24" i="20"/>
  <c r="V29" i="20"/>
  <c r="V35" i="20"/>
  <c r="V51" i="20"/>
  <c r="V61" i="20"/>
  <c r="V67" i="20"/>
  <c r="V77" i="20"/>
  <c r="V93" i="20"/>
  <c r="V104" i="20"/>
  <c r="V109" i="20"/>
  <c r="V120" i="20"/>
  <c r="V136" i="20"/>
  <c r="V147" i="20"/>
  <c r="V152" i="20"/>
  <c r="V163" i="20"/>
  <c r="V179" i="20"/>
  <c r="V189" i="20"/>
  <c r="V195" i="20"/>
  <c r="V205" i="20"/>
  <c r="V221" i="20"/>
  <c r="V232" i="20"/>
  <c r="V237" i="20"/>
  <c r="V248" i="20"/>
  <c r="V264" i="20"/>
  <c r="V275" i="20"/>
  <c r="V280" i="20"/>
  <c r="V291" i="20"/>
  <c r="V307" i="20"/>
  <c r="V317" i="20"/>
  <c r="V323" i="20"/>
  <c r="V348" i="20"/>
  <c r="V497" i="20"/>
  <c r="V460" i="20"/>
  <c r="V412" i="20"/>
  <c r="V374" i="20"/>
  <c r="V369" i="20"/>
  <c r="V358" i="20"/>
  <c r="V335" i="20"/>
  <c r="V313" i="20"/>
  <c r="V303" i="20"/>
  <c r="V281" i="20"/>
  <c r="V249" i="20"/>
  <c r="V228" i="20"/>
  <c r="V217" i="20"/>
  <c r="V196" i="20"/>
  <c r="V164" i="20"/>
  <c r="V143" i="20"/>
  <c r="V132" i="20"/>
  <c r="V111" i="20"/>
  <c r="V79" i="20"/>
  <c r="V57" i="20"/>
  <c r="V47" i="20"/>
  <c r="V25" i="20"/>
  <c r="V15" i="20"/>
  <c r="V485" i="20"/>
  <c r="V453" i="20"/>
  <c r="V400" i="20"/>
  <c r="V368" i="20"/>
  <c r="V357" i="20"/>
  <c r="V350" i="20"/>
  <c r="V331" i="20"/>
  <c r="V299" i="20"/>
  <c r="V277" i="20"/>
  <c r="V267" i="20"/>
  <c r="V245" i="20"/>
  <c r="V213" i="20"/>
  <c r="V192" i="20"/>
  <c r="V181" i="20"/>
  <c r="V160" i="20"/>
  <c r="V128" i="20"/>
  <c r="V107" i="20"/>
  <c r="V96" i="20"/>
  <c r="V75" i="20"/>
  <c r="V64" i="20"/>
  <c r="V43" i="20"/>
  <c r="V21" i="20"/>
  <c r="V11" i="20"/>
  <c r="V5" i="20"/>
  <c r="V500" i="20"/>
  <c r="V494" i="20"/>
  <c r="V473" i="20"/>
  <c r="V430" i="20"/>
  <c r="V425" i="20"/>
  <c r="V409" i="20"/>
  <c r="V372" i="20"/>
  <c r="V366" i="20"/>
  <c r="V356" i="20"/>
  <c r="V340" i="20"/>
  <c r="V329" i="20"/>
  <c r="V308" i="20"/>
  <c r="V297" i="20"/>
  <c r="V276" i="20"/>
  <c r="V255" i="20"/>
  <c r="V244" i="20"/>
  <c r="V223" i="20"/>
  <c r="V212" i="20"/>
  <c r="V191" i="20"/>
  <c r="V169" i="20"/>
  <c r="V159" i="20"/>
  <c r="V137" i="20"/>
  <c r="V127" i="20"/>
  <c r="V105" i="20"/>
  <c r="V84" i="20"/>
  <c r="V73" i="20"/>
  <c r="V52" i="20"/>
  <c r="V41" i="20"/>
  <c r="V20" i="20"/>
  <c r="B12" i="18"/>
  <c r="B9" i="18"/>
  <c r="D8" i="18"/>
  <c r="D7" i="18"/>
  <c r="D6" i="18"/>
  <c r="V5" i="18" a="1"/>
  <c r="O5" i="18"/>
  <c r="D5" i="18"/>
  <c r="V18" i="18"/>
  <c r="W18" i="18" s="1"/>
  <c r="T5" i="16" a="1"/>
  <c r="T19" i="16" s="1"/>
  <c r="U19" i="16" s="1"/>
  <c r="B12" i="16"/>
  <c r="B9" i="16"/>
  <c r="D8" i="16"/>
  <c r="D7" i="16"/>
  <c r="D6" i="16"/>
  <c r="M5" i="16"/>
  <c r="D5" i="16"/>
  <c r="T11" i="16"/>
  <c r="U11" i="16" s="1"/>
  <c r="W23" i="13"/>
  <c r="AA23" i="13" s="1"/>
  <c r="W15" i="13"/>
  <c r="AA15" i="13" s="1"/>
  <c r="W6" i="13"/>
  <c r="AA6" i="13" s="1"/>
  <c r="W7" i="13"/>
  <c r="AA7" i="13"/>
  <c r="W8" i="13"/>
  <c r="AA8" i="13" s="1"/>
  <c r="W9" i="13"/>
  <c r="AA9" i="13"/>
  <c r="W10" i="13"/>
  <c r="AA10" i="13" s="1"/>
  <c r="W11" i="13"/>
  <c r="AA11" i="13"/>
  <c r="W12" i="13"/>
  <c r="AA12" i="13" s="1"/>
  <c r="W13" i="13"/>
  <c r="AA13" i="13" s="1"/>
  <c r="W14" i="13"/>
  <c r="AA14" i="13" s="1"/>
  <c r="W16" i="13"/>
  <c r="AA16" i="13"/>
  <c r="W17" i="13"/>
  <c r="AA17" i="13" s="1"/>
  <c r="W18" i="13"/>
  <c r="W19" i="13"/>
  <c r="AA19" i="13" s="1"/>
  <c r="W20" i="13"/>
  <c r="AA20" i="13"/>
  <c r="W21" i="13"/>
  <c r="AA21" i="13" s="1"/>
  <c r="W22" i="13"/>
  <c r="AA22" i="13" s="1"/>
  <c r="W24" i="13"/>
  <c r="AA24" i="13" s="1"/>
  <c r="W25" i="13"/>
  <c r="AA25" i="13"/>
  <c r="W26" i="13"/>
  <c r="AA26" i="13" s="1"/>
  <c r="W27" i="13"/>
  <c r="AA27" i="13"/>
  <c r="W5" i="13"/>
  <c r="AA5" i="13" s="1"/>
  <c r="B12" i="10"/>
  <c r="I5" i="10"/>
  <c r="P5" i="10" a="1"/>
  <c r="P5" i="10" s="1"/>
  <c r="Q5" i="10"/>
  <c r="P24" i="10"/>
  <c r="Q24" i="10" s="1"/>
  <c r="P16" i="10"/>
  <c r="Q16" i="10"/>
  <c r="P8" i="10"/>
  <c r="Q8" i="10" s="1"/>
  <c r="P23" i="10"/>
  <c r="Q23" i="10" s="1"/>
  <c r="P15" i="10"/>
  <c r="Q15" i="10" s="1"/>
  <c r="P7" i="10"/>
  <c r="Q7" i="10"/>
  <c r="P22" i="10"/>
  <c r="Q22" i="10" s="1"/>
  <c r="P14" i="10"/>
  <c r="Q14" i="10" s="1"/>
  <c r="P6" i="10"/>
  <c r="Q6" i="10" s="1"/>
  <c r="P21" i="10"/>
  <c r="Q21" i="10"/>
  <c r="P13" i="10"/>
  <c r="Q13" i="10" s="1"/>
  <c r="I5" i="13"/>
  <c r="N3" i="1"/>
  <c r="N2" i="1"/>
  <c r="D6" i="10"/>
  <c r="D7" i="10"/>
  <c r="D8" i="10"/>
  <c r="D5" i="10"/>
  <c r="B9" i="10"/>
  <c r="L31" i="20" l="1"/>
  <c r="D29" i="21"/>
  <c r="C30" i="22" s="1"/>
  <c r="L34" i="20"/>
  <c r="D7" i="21"/>
  <c r="C8" i="22" s="1"/>
  <c r="L40" i="13"/>
  <c r="D6" i="21"/>
  <c r="C7" i="22" s="1"/>
  <c r="L9" i="20"/>
  <c r="L7" i="13"/>
  <c r="C7" i="13"/>
  <c r="D32" i="21"/>
  <c r="C33" i="22" s="1"/>
  <c r="L31" i="13"/>
  <c r="L17" i="13"/>
  <c r="L8" i="13"/>
  <c r="N230" i="20"/>
  <c r="O230" i="20" s="1"/>
  <c r="P230" i="20" s="1"/>
  <c r="N232" i="20"/>
  <c r="O232" i="20" s="1"/>
  <c r="P232" i="20" s="1"/>
  <c r="N234" i="20"/>
  <c r="O234" i="20" s="1"/>
  <c r="P234" i="20" s="1"/>
  <c r="N327" i="20"/>
  <c r="O327" i="20" s="1"/>
  <c r="P327" i="20" s="1"/>
  <c r="N38" i="20"/>
  <c r="O38" i="20" s="1"/>
  <c r="P38" i="20" s="1"/>
  <c r="N42" i="20"/>
  <c r="O42" i="20" s="1"/>
  <c r="P42" i="20" s="1"/>
  <c r="N311" i="20"/>
  <c r="O311" i="20" s="1"/>
  <c r="P311" i="20" s="1"/>
  <c r="H12" i="21"/>
  <c r="H38" i="21" s="1"/>
  <c r="D477" i="21"/>
  <c r="C478" i="22" s="1"/>
  <c r="N44" i="20"/>
  <c r="O44" i="20" s="1"/>
  <c r="P44" i="20" s="1"/>
  <c r="L454" i="20"/>
  <c r="N454" i="20" s="1"/>
  <c r="O454" i="20" s="1"/>
  <c r="P454" i="20" s="1"/>
  <c r="L478" i="20"/>
  <c r="L493" i="20"/>
  <c r="D476" i="21"/>
  <c r="C477" i="22" s="1"/>
  <c r="L496" i="20"/>
  <c r="L489" i="13"/>
  <c r="L454" i="13"/>
  <c r="N341" i="20"/>
  <c r="O341" i="20" s="1"/>
  <c r="P341" i="20" s="1"/>
  <c r="N351" i="20"/>
  <c r="O351" i="20" s="1"/>
  <c r="P351" i="20" s="1"/>
  <c r="N370" i="20"/>
  <c r="O370" i="20" s="1"/>
  <c r="P370" i="20" s="1"/>
  <c r="L472" i="20"/>
  <c r="D453" i="21"/>
  <c r="C454" i="22" s="1"/>
  <c r="L502" i="20"/>
  <c r="L473" i="20"/>
  <c r="N473" i="20" s="1"/>
  <c r="O473" i="20" s="1"/>
  <c r="P473" i="20" s="1"/>
  <c r="L486" i="13"/>
  <c r="N339" i="20"/>
  <c r="O339" i="20" s="1"/>
  <c r="P339" i="20" s="1"/>
  <c r="N343" i="20"/>
  <c r="O343" i="20" s="1"/>
  <c r="P343" i="20" s="1"/>
  <c r="N347" i="20"/>
  <c r="O347" i="20" s="1"/>
  <c r="P347" i="20" s="1"/>
  <c r="L455" i="20"/>
  <c r="L479" i="20"/>
  <c r="L494" i="20"/>
  <c r="N48" i="20"/>
  <c r="O48" i="20" s="1"/>
  <c r="P48" i="20" s="1"/>
  <c r="N50" i="20"/>
  <c r="O50" i="20" s="1"/>
  <c r="P50" i="20" s="1"/>
  <c r="D492" i="21"/>
  <c r="C493" i="22" s="1"/>
  <c r="D480" i="21"/>
  <c r="C481" i="22" s="1"/>
  <c r="L470" i="13"/>
  <c r="N337" i="20"/>
  <c r="O337" i="20" s="1"/>
  <c r="P337" i="20" s="1"/>
  <c r="N345" i="20"/>
  <c r="O345" i="20" s="1"/>
  <c r="P345" i="20" s="1"/>
  <c r="N349" i="20"/>
  <c r="O349" i="20" s="1"/>
  <c r="P349" i="20" s="1"/>
  <c r="N323" i="20"/>
  <c r="O323" i="20" s="1"/>
  <c r="P323" i="20" s="1"/>
  <c r="N315" i="20"/>
  <c r="O315" i="20" s="1"/>
  <c r="P315" i="20" s="1"/>
  <c r="N317" i="20"/>
  <c r="O317" i="20" s="1"/>
  <c r="P317" i="20" s="1"/>
  <c r="N319" i="20"/>
  <c r="O319" i="20" s="1"/>
  <c r="P319" i="20" s="1"/>
  <c r="L482" i="20"/>
  <c r="D491" i="21"/>
  <c r="C492" i="22" s="1"/>
  <c r="N40" i="20"/>
  <c r="O40" i="20" s="1"/>
  <c r="P40" i="20" s="1"/>
  <c r="N274" i="20"/>
  <c r="O274" i="20" s="1"/>
  <c r="P274" i="20" s="1"/>
  <c r="N284" i="20"/>
  <c r="O284" i="20" s="1"/>
  <c r="P284" i="20" s="1"/>
  <c r="D456" i="21"/>
  <c r="C457" i="22" s="1"/>
  <c r="D457" i="21"/>
  <c r="C458" i="22" s="1"/>
  <c r="D449" i="21"/>
  <c r="C450" i="22" s="1"/>
  <c r="L451" i="20"/>
  <c r="D404" i="21"/>
  <c r="C405" i="22" s="1"/>
  <c r="L407" i="20"/>
  <c r="D405" i="21"/>
  <c r="C406" i="22" s="1"/>
  <c r="L404" i="13"/>
  <c r="L405" i="20"/>
  <c r="N405" i="20" s="1"/>
  <c r="O405" i="20" s="1"/>
  <c r="P405" i="20" s="1"/>
  <c r="L335" i="13"/>
  <c r="D333" i="21"/>
  <c r="C334" i="22" s="1"/>
  <c r="L249" i="13"/>
  <c r="D247" i="21"/>
  <c r="C248" i="22" s="1"/>
  <c r="L240" i="13"/>
  <c r="D238" i="21"/>
  <c r="C239" i="22" s="1"/>
  <c r="D239" i="21"/>
  <c r="C240" i="22" s="1"/>
  <c r="L236" i="13"/>
  <c r="D234" i="21"/>
  <c r="C235" i="22" s="1"/>
  <c r="D235" i="21"/>
  <c r="C236" i="22" s="1"/>
  <c r="L139" i="13"/>
  <c r="D137" i="21"/>
  <c r="C138" i="22" s="1"/>
  <c r="D138" i="21"/>
  <c r="C139" i="22" s="1"/>
  <c r="D73" i="21"/>
  <c r="C74" i="22" s="1"/>
  <c r="D74" i="21"/>
  <c r="C75" i="22" s="1"/>
  <c r="L47" i="13"/>
  <c r="D44" i="21"/>
  <c r="C45" i="22" s="1"/>
  <c r="D10" i="21"/>
  <c r="C11" i="22" s="1"/>
  <c r="D11" i="21"/>
  <c r="C12" i="22" s="1"/>
  <c r="N10" i="20"/>
  <c r="O10" i="20" s="1"/>
  <c r="P10" i="20" s="1"/>
  <c r="L228" i="20"/>
  <c r="L236" i="20"/>
  <c r="L238" i="20"/>
  <c r="N238" i="20" s="1"/>
  <c r="O238" i="20" s="1"/>
  <c r="P238" i="20" s="1"/>
  <c r="L240" i="20"/>
  <c r="N240" i="20" s="1"/>
  <c r="O240" i="20" s="1"/>
  <c r="P240" i="20" s="1"/>
  <c r="L250" i="20"/>
  <c r="N250" i="20" s="1"/>
  <c r="O250" i="20" s="1"/>
  <c r="P250" i="20" s="1"/>
  <c r="L332" i="20"/>
  <c r="L334" i="20"/>
  <c r="L500" i="20"/>
  <c r="L501" i="13"/>
  <c r="D498" i="21"/>
  <c r="C499" i="22" s="1"/>
  <c r="D499" i="21"/>
  <c r="C500" i="22" s="1"/>
  <c r="L498" i="20"/>
  <c r="D496" i="21"/>
  <c r="C497" i="22" s="1"/>
  <c r="D497" i="21"/>
  <c r="C498" i="22" s="1"/>
  <c r="L425" i="13"/>
  <c r="L425" i="20"/>
  <c r="L426" i="13"/>
  <c r="D423" i="21"/>
  <c r="C424" i="22" s="1"/>
  <c r="L417" i="13"/>
  <c r="D414" i="21"/>
  <c r="C415" i="22" s="1"/>
  <c r="L411" i="13"/>
  <c r="D409" i="21"/>
  <c r="C410" i="22" s="1"/>
  <c r="D410" i="21"/>
  <c r="C411" i="22" s="1"/>
  <c r="L411" i="20"/>
  <c r="L361" i="13"/>
  <c r="D261" i="21"/>
  <c r="C262" i="22" s="1"/>
  <c r="D262" i="21"/>
  <c r="C263" i="22" s="1"/>
  <c r="L142" i="13"/>
  <c r="D139" i="21"/>
  <c r="C140" i="22" s="1"/>
  <c r="D140" i="21"/>
  <c r="C141" i="22" s="1"/>
  <c r="L82" i="13"/>
  <c r="D80" i="21"/>
  <c r="C81" i="22" s="1"/>
  <c r="D81" i="21"/>
  <c r="C82" i="22" s="1"/>
  <c r="L48" i="13"/>
  <c r="D47" i="21"/>
  <c r="C48" i="22" s="1"/>
  <c r="L49" i="13"/>
  <c r="L461" i="13"/>
  <c r="D458" i="21"/>
  <c r="C459" i="22" s="1"/>
  <c r="L12" i="20"/>
  <c r="L47" i="20"/>
  <c r="L139" i="20"/>
  <c r="L312" i="20"/>
  <c r="L322" i="20"/>
  <c r="N322" i="20" s="1"/>
  <c r="O322" i="20" s="1"/>
  <c r="P322" i="20" s="1"/>
  <c r="L326" i="20"/>
  <c r="N326" i="20" s="1"/>
  <c r="O326" i="20" s="1"/>
  <c r="P326" i="20" s="1"/>
  <c r="L330" i="20"/>
  <c r="N330" i="20" s="1"/>
  <c r="O330" i="20" s="1"/>
  <c r="P330" i="20" s="1"/>
  <c r="N355" i="20"/>
  <c r="O355" i="20" s="1"/>
  <c r="P355" i="20" s="1"/>
  <c r="N357" i="20"/>
  <c r="O357" i="20" s="1"/>
  <c r="P357" i="20" s="1"/>
  <c r="N359" i="20"/>
  <c r="O359" i="20" s="1"/>
  <c r="P359" i="20" s="1"/>
  <c r="N361" i="20"/>
  <c r="O361" i="20" s="1"/>
  <c r="P361" i="20" s="1"/>
  <c r="L458" i="20"/>
  <c r="L460" i="20"/>
  <c r="N460" i="20" s="1"/>
  <c r="O460" i="20" s="1"/>
  <c r="P460" i="20" s="1"/>
  <c r="D454" i="21"/>
  <c r="C455" i="22" s="1"/>
  <c r="L471" i="13"/>
  <c r="D469" i="21"/>
  <c r="C470" i="22" s="1"/>
  <c r="L464" i="13"/>
  <c r="L464" i="20"/>
  <c r="D462" i="21"/>
  <c r="C463" i="22" s="1"/>
  <c r="D463" i="21"/>
  <c r="C464" i="22" s="1"/>
  <c r="L462" i="20"/>
  <c r="L463" i="13"/>
  <c r="D461" i="21"/>
  <c r="C462" i="22" s="1"/>
  <c r="L344" i="13"/>
  <c r="D343" i="21"/>
  <c r="C344" i="22" s="1"/>
  <c r="L337" i="13"/>
  <c r="D334" i="21"/>
  <c r="C335" i="22" s="1"/>
  <c r="D251" i="21"/>
  <c r="C252" i="22" s="1"/>
  <c r="D252" i="21"/>
  <c r="C253" i="22" s="1"/>
  <c r="L148" i="13"/>
  <c r="D146" i="21"/>
  <c r="C147" i="22" s="1"/>
  <c r="D147" i="21"/>
  <c r="C148" i="22" s="1"/>
  <c r="L86" i="13"/>
  <c r="D85" i="21"/>
  <c r="C86" i="22" s="1"/>
  <c r="L87" i="13"/>
  <c r="D17" i="21"/>
  <c r="C18" i="22" s="1"/>
  <c r="D18" i="21"/>
  <c r="C19" i="22" s="1"/>
  <c r="D323" i="21"/>
  <c r="C324" i="22" s="1"/>
  <c r="D237" i="21"/>
  <c r="C238" i="22" s="1"/>
  <c r="L432" i="13"/>
  <c r="N432" i="13" s="1"/>
  <c r="O432" i="13" s="1"/>
  <c r="P432" i="13" s="1"/>
  <c r="L432" i="20"/>
  <c r="L358" i="13"/>
  <c r="D356" i="21"/>
  <c r="C357" i="22" s="1"/>
  <c r="L346" i="13"/>
  <c r="D344" i="21"/>
  <c r="C345" i="22" s="1"/>
  <c r="D345" i="21"/>
  <c r="C346" i="22" s="1"/>
  <c r="D277" i="21"/>
  <c r="C278" i="22" s="1"/>
  <c r="D278" i="21"/>
  <c r="C279" i="22" s="1"/>
  <c r="D268" i="21"/>
  <c r="C269" i="22" s="1"/>
  <c r="D269" i="21"/>
  <c r="C270" i="22" s="1"/>
  <c r="L167" i="13"/>
  <c r="D166" i="21"/>
  <c r="C167" i="22" s="1"/>
  <c r="L50" i="13"/>
  <c r="D48" i="21"/>
  <c r="C49" i="22" s="1"/>
  <c r="D49" i="21"/>
  <c r="C50" i="22" s="1"/>
  <c r="L25" i="13"/>
  <c r="D22" i="21"/>
  <c r="C23" i="22" s="1"/>
  <c r="D23" i="21"/>
  <c r="C24" i="22" s="1"/>
  <c r="D248" i="21"/>
  <c r="C249" i="22" s="1"/>
  <c r="D227" i="21"/>
  <c r="C228" i="22" s="1"/>
  <c r="D218" i="21"/>
  <c r="C219" i="22" s="1"/>
  <c r="L380" i="13"/>
  <c r="L381" i="20"/>
  <c r="D378" i="21"/>
  <c r="C379" i="22" s="1"/>
  <c r="L369" i="13"/>
  <c r="D366" i="21"/>
  <c r="C367" i="22" s="1"/>
  <c r="D367" i="21"/>
  <c r="C368" i="22" s="1"/>
  <c r="L88" i="13"/>
  <c r="D86" i="21"/>
  <c r="C87" i="22" s="1"/>
  <c r="D87" i="21"/>
  <c r="C88" i="22" s="1"/>
  <c r="D54" i="21"/>
  <c r="C55" i="22" s="1"/>
  <c r="L56" i="13"/>
  <c r="L135" i="20"/>
  <c r="N135" i="20" s="1"/>
  <c r="O135" i="20" s="1"/>
  <c r="P135" i="20" s="1"/>
  <c r="L140" i="20"/>
  <c r="L229" i="20"/>
  <c r="N229" i="20" s="1"/>
  <c r="O229" i="20" s="1"/>
  <c r="P229" i="20" s="1"/>
  <c r="L237" i="20"/>
  <c r="L239" i="20"/>
  <c r="N239" i="20" s="1"/>
  <c r="O239" i="20" s="1"/>
  <c r="P239" i="20" s="1"/>
  <c r="L241" i="20"/>
  <c r="N241" i="20" s="1"/>
  <c r="O241" i="20" s="1"/>
  <c r="P241" i="20" s="1"/>
  <c r="L249" i="20"/>
  <c r="N329" i="20"/>
  <c r="O329" i="20" s="1"/>
  <c r="P329" i="20" s="1"/>
  <c r="N331" i="20"/>
  <c r="O331" i="20" s="1"/>
  <c r="P331" i="20" s="1"/>
  <c r="L333" i="20"/>
  <c r="N333" i="20" s="1"/>
  <c r="O333" i="20" s="1"/>
  <c r="P333" i="20" s="1"/>
  <c r="L335" i="20"/>
  <c r="N335" i="20" s="1"/>
  <c r="O335" i="20" s="1"/>
  <c r="P335" i="20" s="1"/>
  <c r="L406" i="20"/>
  <c r="L450" i="20"/>
  <c r="D495" i="21"/>
  <c r="C496" i="22" s="1"/>
  <c r="D217" i="21"/>
  <c r="C218" i="22" s="1"/>
  <c r="D483" i="21"/>
  <c r="C484" i="22" s="1"/>
  <c r="L485" i="13"/>
  <c r="L444" i="13"/>
  <c r="L445" i="20"/>
  <c r="L445" i="13"/>
  <c r="L294" i="13"/>
  <c r="D292" i="21"/>
  <c r="C293" i="22" s="1"/>
  <c r="L171" i="13"/>
  <c r="D170" i="21"/>
  <c r="C171" i="22" s="1"/>
  <c r="L90" i="13"/>
  <c r="D88" i="21"/>
  <c r="C89" i="22" s="1"/>
  <c r="D27" i="21"/>
  <c r="C28" i="22" s="1"/>
  <c r="D28" i="21"/>
  <c r="C29" i="22" s="1"/>
  <c r="D455" i="21"/>
  <c r="C456" i="22" s="1"/>
  <c r="L457" i="20"/>
  <c r="N457" i="20" s="1"/>
  <c r="O457" i="20" s="1"/>
  <c r="P457" i="20" s="1"/>
  <c r="L13" i="20"/>
  <c r="N13" i="20" s="1"/>
  <c r="O13" i="20" s="1"/>
  <c r="P13" i="20" s="1"/>
  <c r="L46" i="20"/>
  <c r="N46" i="20" s="1"/>
  <c r="O46" i="20" s="1"/>
  <c r="P46" i="20" s="1"/>
  <c r="L76" i="20"/>
  <c r="N90" i="20"/>
  <c r="O90" i="20" s="1"/>
  <c r="P90" i="20" s="1"/>
  <c r="N152" i="20"/>
  <c r="O152" i="20" s="1"/>
  <c r="P152" i="20" s="1"/>
  <c r="N154" i="20"/>
  <c r="O154" i="20" s="1"/>
  <c r="P154" i="20" s="1"/>
  <c r="N156" i="20"/>
  <c r="O156" i="20" s="1"/>
  <c r="P156" i="20" s="1"/>
  <c r="N158" i="20"/>
  <c r="O158" i="20" s="1"/>
  <c r="P158" i="20" s="1"/>
  <c r="N160" i="20"/>
  <c r="O160" i="20" s="1"/>
  <c r="P160" i="20" s="1"/>
  <c r="N162" i="20"/>
  <c r="O162" i="20" s="1"/>
  <c r="P162" i="20" s="1"/>
  <c r="N164" i="20"/>
  <c r="O164" i="20" s="1"/>
  <c r="P164" i="20" s="1"/>
  <c r="L313" i="20"/>
  <c r="N313" i="20" s="1"/>
  <c r="O313" i="20" s="1"/>
  <c r="P313" i="20" s="1"/>
  <c r="L321" i="20"/>
  <c r="N321" i="20" s="1"/>
  <c r="O321" i="20" s="1"/>
  <c r="P321" i="20" s="1"/>
  <c r="L325" i="20"/>
  <c r="N325" i="20" s="1"/>
  <c r="O325" i="20" s="1"/>
  <c r="P325" i="20" s="1"/>
  <c r="L404" i="20"/>
  <c r="N404" i="20" s="1"/>
  <c r="O404" i="20" s="1"/>
  <c r="P404" i="20" s="1"/>
  <c r="L459" i="20"/>
  <c r="N459" i="20" s="1"/>
  <c r="O459" i="20" s="1"/>
  <c r="P459" i="20" s="1"/>
  <c r="L461" i="20"/>
  <c r="N461" i="20" s="1"/>
  <c r="O461" i="20" s="1"/>
  <c r="P461" i="20" s="1"/>
  <c r="D494" i="21"/>
  <c r="C495" i="22" s="1"/>
  <c r="L446" i="13"/>
  <c r="D444" i="21"/>
  <c r="C445" i="22" s="1"/>
  <c r="L447" i="20"/>
  <c r="D445" i="21"/>
  <c r="C446" i="22" s="1"/>
  <c r="D398" i="21"/>
  <c r="C399" i="22" s="1"/>
  <c r="D399" i="21"/>
  <c r="C400" i="22" s="1"/>
  <c r="L401" i="20"/>
  <c r="N401" i="20" s="1"/>
  <c r="O401" i="20" s="1"/>
  <c r="P401" i="20" s="1"/>
  <c r="L401" i="13"/>
  <c r="N401" i="13" s="1"/>
  <c r="O401" i="13" s="1"/>
  <c r="P401" i="13" s="1"/>
  <c r="L386" i="13"/>
  <c r="L386" i="20"/>
  <c r="D384" i="21"/>
  <c r="C385" i="22" s="1"/>
  <c r="L200" i="13"/>
  <c r="D198" i="21"/>
  <c r="C199" i="22" s="1"/>
  <c r="D186" i="21"/>
  <c r="C187" i="22" s="1"/>
  <c r="D187" i="21"/>
  <c r="C188" i="22" s="1"/>
  <c r="N236" i="20"/>
  <c r="O236" i="20" s="1"/>
  <c r="P236" i="20" s="1"/>
  <c r="D403" i="21"/>
  <c r="C404" i="22" s="1"/>
  <c r="D45" i="21"/>
  <c r="C46" i="22" s="1"/>
  <c r="L488" i="13"/>
  <c r="L488" i="20"/>
  <c r="D485" i="21"/>
  <c r="C486" i="22" s="1"/>
  <c r="D486" i="21"/>
  <c r="C487" i="22" s="1"/>
  <c r="L402" i="13"/>
  <c r="L403" i="20"/>
  <c r="N403" i="20" s="1"/>
  <c r="O403" i="20" s="1"/>
  <c r="P403" i="20" s="1"/>
  <c r="D400" i="21"/>
  <c r="C401" i="22" s="1"/>
  <c r="L395" i="13"/>
  <c r="D394" i="21"/>
  <c r="C395" i="22" s="1"/>
  <c r="L396" i="20"/>
  <c r="L319" i="13"/>
  <c r="D317" i="21"/>
  <c r="C318" i="22" s="1"/>
  <c r="D318" i="21"/>
  <c r="C319" i="22" s="1"/>
  <c r="L317" i="13"/>
  <c r="D315" i="21"/>
  <c r="C316" i="22" s="1"/>
  <c r="D316" i="21"/>
  <c r="C317" i="22" s="1"/>
  <c r="L231" i="13"/>
  <c r="D229" i="21"/>
  <c r="C230" i="22" s="1"/>
  <c r="D230" i="21"/>
  <c r="C231" i="22" s="1"/>
  <c r="D116" i="21"/>
  <c r="C117" i="22" s="1"/>
  <c r="D117" i="21"/>
  <c r="C118" i="22" s="1"/>
  <c r="D65" i="21"/>
  <c r="C66" i="22" s="1"/>
  <c r="D50" i="21"/>
  <c r="C51" i="22" s="1"/>
  <c r="D39" i="21"/>
  <c r="C40" i="22" s="1"/>
  <c r="L267" i="13"/>
  <c r="D38" i="21"/>
  <c r="C39" i="22" s="1"/>
  <c r="L494" i="13"/>
  <c r="L447" i="13"/>
  <c r="N447" i="13" s="1"/>
  <c r="O447" i="13" s="1"/>
  <c r="P447" i="13" s="1"/>
  <c r="L400" i="13"/>
  <c r="L320" i="13"/>
  <c r="D193" i="21"/>
  <c r="C194" i="22" s="1"/>
  <c r="L168" i="13"/>
  <c r="L149" i="13"/>
  <c r="L140" i="13"/>
  <c r="L83" i="13"/>
  <c r="L81" i="13"/>
  <c r="L55" i="13"/>
  <c r="D41" i="21"/>
  <c r="C42" i="22" s="1"/>
  <c r="L32" i="13"/>
  <c r="L20" i="13"/>
  <c r="D128" i="21"/>
  <c r="C129" i="22" s="1"/>
  <c r="D56" i="21"/>
  <c r="C57" i="22" s="1"/>
  <c r="L497" i="13"/>
  <c r="N497" i="13" s="1"/>
  <c r="O497" i="13" s="1"/>
  <c r="P497" i="13" s="1"/>
  <c r="L496" i="13"/>
  <c r="L460" i="13"/>
  <c r="L381" i="13"/>
  <c r="L359" i="13"/>
  <c r="L345" i="13"/>
  <c r="L333" i="13"/>
  <c r="D329" i="21"/>
  <c r="C330" i="22" s="1"/>
  <c r="L326" i="13"/>
  <c r="L318" i="13"/>
  <c r="N300" i="13"/>
  <c r="O300" i="13" s="1"/>
  <c r="P300" i="13" s="1"/>
  <c r="J300" i="24" s="1"/>
  <c r="L280" i="13"/>
  <c r="L70" i="13"/>
  <c r="L65" i="13"/>
  <c r="D60" i="21"/>
  <c r="C61" i="22" s="1"/>
  <c r="L51" i="13"/>
  <c r="L28" i="13"/>
  <c r="L18" i="13"/>
  <c r="D9" i="21"/>
  <c r="C10" i="22" s="1"/>
  <c r="D484" i="21"/>
  <c r="C485" i="22" s="1"/>
  <c r="D161" i="21"/>
  <c r="C162" i="22" s="1"/>
  <c r="D107" i="21"/>
  <c r="C108" i="22" s="1"/>
  <c r="D26" i="21"/>
  <c r="C27" i="22" s="1"/>
  <c r="L499" i="13"/>
  <c r="L474" i="13"/>
  <c r="D471" i="21"/>
  <c r="C472" i="22" s="1"/>
  <c r="L465" i="13"/>
  <c r="L462" i="13"/>
  <c r="L457" i="13"/>
  <c r="L453" i="13"/>
  <c r="L421" i="13"/>
  <c r="L408" i="13"/>
  <c r="L391" i="13"/>
  <c r="L389" i="13"/>
  <c r="L387" i="13"/>
  <c r="L376" i="13"/>
  <c r="N376" i="13" s="1"/>
  <c r="O376" i="13" s="1"/>
  <c r="P376" i="13" s="1"/>
  <c r="L271" i="13"/>
  <c r="L264" i="13"/>
  <c r="L239" i="13"/>
  <c r="D204" i="21"/>
  <c r="C205" i="22" s="1"/>
  <c r="D199" i="21"/>
  <c r="C200" i="22" s="1"/>
  <c r="L175" i="13"/>
  <c r="L163" i="13"/>
  <c r="L135" i="13"/>
  <c r="L119" i="13"/>
  <c r="L76" i="13"/>
  <c r="L67" i="13"/>
  <c r="L58" i="13"/>
  <c r="L39" i="13"/>
  <c r="L24" i="13"/>
  <c r="D127" i="21"/>
  <c r="C128" i="22" s="1"/>
  <c r="D106" i="21"/>
  <c r="C107" i="22" s="1"/>
  <c r="L504" i="13"/>
  <c r="L502" i="13"/>
  <c r="L429" i="13"/>
  <c r="L427" i="13"/>
  <c r="L398" i="13"/>
  <c r="L366" i="13"/>
  <c r="L354" i="13"/>
  <c r="L328" i="13"/>
  <c r="D311" i="21"/>
  <c r="C312" i="22" s="1"/>
  <c r="L303" i="13"/>
  <c r="L301" i="13"/>
  <c r="L290" i="13"/>
  <c r="D284" i="21"/>
  <c r="C285" i="22" s="1"/>
  <c r="L283" i="13"/>
  <c r="L241" i="13"/>
  <c r="L220" i="13"/>
  <c r="D206" i="21"/>
  <c r="C207" i="22" s="1"/>
  <c r="L191" i="13"/>
  <c r="L177" i="13"/>
  <c r="L137" i="13"/>
  <c r="L73" i="13"/>
  <c r="L35" i="13"/>
  <c r="L33" i="13"/>
  <c r="D19" i="21"/>
  <c r="C20" i="22" s="1"/>
  <c r="L476" i="13"/>
  <c r="L469" i="13"/>
  <c r="L467" i="13"/>
  <c r="L442" i="13"/>
  <c r="L414" i="13"/>
  <c r="L410" i="13"/>
  <c r="D391" i="21"/>
  <c r="C392" i="22" s="1"/>
  <c r="L363" i="13"/>
  <c r="D349" i="21"/>
  <c r="C350" i="22" s="1"/>
  <c r="L342" i="13"/>
  <c r="L340" i="13"/>
  <c r="L315" i="13"/>
  <c r="L310" i="13"/>
  <c r="L305" i="13"/>
  <c r="L292" i="13"/>
  <c r="L275" i="13"/>
  <c r="L247" i="13"/>
  <c r="L234" i="13"/>
  <c r="L217" i="13"/>
  <c r="D209" i="21"/>
  <c r="C210" i="22" s="1"/>
  <c r="L179" i="13"/>
  <c r="D145" i="21"/>
  <c r="C146" i="22" s="1"/>
  <c r="L123" i="13"/>
  <c r="L102" i="13"/>
  <c r="N102" i="13" s="1"/>
  <c r="O102" i="13" s="1"/>
  <c r="P102" i="13" s="1"/>
  <c r="L84" i="13"/>
  <c r="L34" i="13"/>
  <c r="N398" i="20"/>
  <c r="O398" i="20" s="1"/>
  <c r="P398" i="20" s="1"/>
  <c r="D470" i="21"/>
  <c r="C471" i="22" s="1"/>
  <c r="D390" i="21"/>
  <c r="C391" i="22" s="1"/>
  <c r="D358" i="21"/>
  <c r="C359" i="22" s="1"/>
  <c r="D326" i="21"/>
  <c r="C327" i="22" s="1"/>
  <c r="D310" i="21"/>
  <c r="C311" i="22" s="1"/>
  <c r="D294" i="21"/>
  <c r="C295" i="22" s="1"/>
  <c r="D246" i="21"/>
  <c r="C247" i="22" s="1"/>
  <c r="D150" i="21"/>
  <c r="C151" i="22" s="1"/>
  <c r="D134" i="21"/>
  <c r="C135" i="22" s="1"/>
  <c r="D118" i="21"/>
  <c r="C119" i="22" s="1"/>
  <c r="D102" i="21"/>
  <c r="C103" i="22" s="1"/>
  <c r="L500" i="13"/>
  <c r="L492" i="13"/>
  <c r="L481" i="13"/>
  <c r="L436" i="13"/>
  <c r="L428" i="13"/>
  <c r="L420" i="13"/>
  <c r="L371" i="13"/>
  <c r="L364" i="13"/>
  <c r="L347" i="13"/>
  <c r="L309" i="13"/>
  <c r="L233" i="13"/>
  <c r="L161" i="13"/>
  <c r="L150" i="13"/>
  <c r="L144" i="13"/>
  <c r="L127" i="13"/>
  <c r="N7" i="20"/>
  <c r="O7" i="20" s="1"/>
  <c r="P7" i="20" s="1"/>
  <c r="N296" i="20"/>
  <c r="O296" i="20" s="1"/>
  <c r="P296" i="20" s="1"/>
  <c r="D421" i="21"/>
  <c r="C422" i="22" s="1"/>
  <c r="D416" i="21"/>
  <c r="C417" i="22" s="1"/>
  <c r="D389" i="21"/>
  <c r="C390" i="22" s="1"/>
  <c r="D379" i="21"/>
  <c r="C380" i="22" s="1"/>
  <c r="D357" i="21"/>
  <c r="C358" i="22" s="1"/>
  <c r="D352" i="21"/>
  <c r="C353" i="22" s="1"/>
  <c r="D331" i="21"/>
  <c r="C332" i="22" s="1"/>
  <c r="D325" i="21"/>
  <c r="C326" i="22" s="1"/>
  <c r="D320" i="21"/>
  <c r="C321" i="22" s="1"/>
  <c r="D309" i="21"/>
  <c r="C310" i="22" s="1"/>
  <c r="D304" i="21"/>
  <c r="C305" i="22" s="1"/>
  <c r="D256" i="21"/>
  <c r="C257" i="22" s="1"/>
  <c r="D245" i="21"/>
  <c r="C246" i="22" s="1"/>
  <c r="D219" i="21"/>
  <c r="C220" i="22" s="1"/>
  <c r="D213" i="21"/>
  <c r="C214" i="22" s="1"/>
  <c r="D208" i="21"/>
  <c r="C209" i="22" s="1"/>
  <c r="D192" i="21"/>
  <c r="C193" i="22" s="1"/>
  <c r="D144" i="21"/>
  <c r="C145" i="22" s="1"/>
  <c r="D133" i="21"/>
  <c r="C134" i="22" s="1"/>
  <c r="D123" i="21"/>
  <c r="C124" i="22" s="1"/>
  <c r="D112" i="21"/>
  <c r="C113" i="22" s="1"/>
  <c r="D59" i="21"/>
  <c r="C60" i="22" s="1"/>
  <c r="D53" i="21"/>
  <c r="C54" i="22" s="1"/>
  <c r="D37" i="21"/>
  <c r="C38" i="22" s="1"/>
  <c r="L498" i="13"/>
  <c r="L490" i="13"/>
  <c r="L466" i="13"/>
  <c r="L458" i="13"/>
  <c r="L448" i="13"/>
  <c r="L418" i="13"/>
  <c r="L393" i="13"/>
  <c r="L379" i="13"/>
  <c r="L377" i="13"/>
  <c r="L355" i="13"/>
  <c r="L353" i="13"/>
  <c r="L351" i="13"/>
  <c r="L349" i="13"/>
  <c r="L339" i="13"/>
  <c r="L329" i="13"/>
  <c r="L325" i="13"/>
  <c r="L321" i="13"/>
  <c r="L313" i="13"/>
  <c r="L304" i="13"/>
  <c r="L296" i="13"/>
  <c r="L286" i="13"/>
  <c r="L276" i="13"/>
  <c r="L272" i="13"/>
  <c r="L263" i="13"/>
  <c r="L214" i="13"/>
  <c r="N214" i="13" s="1"/>
  <c r="O214" i="13" s="1"/>
  <c r="P214" i="13" s="1"/>
  <c r="L212" i="13"/>
  <c r="L210" i="13"/>
  <c r="L208" i="13"/>
  <c r="L206" i="13"/>
  <c r="L194" i="13"/>
  <c r="L192" i="13"/>
  <c r="L154" i="13"/>
  <c r="L152" i="13"/>
  <c r="L146" i="13"/>
  <c r="L122" i="13"/>
  <c r="L120" i="13"/>
  <c r="N470" i="13"/>
  <c r="O470" i="13" s="1"/>
  <c r="P470" i="13" s="1"/>
  <c r="J470" i="10" s="1"/>
  <c r="N14" i="20"/>
  <c r="O14" i="20" s="1"/>
  <c r="P14" i="20" s="1"/>
  <c r="N16" i="20"/>
  <c r="O16" i="20" s="1"/>
  <c r="P16" i="20" s="1"/>
  <c r="N18" i="20"/>
  <c r="O18" i="20" s="1"/>
  <c r="P18" i="20" s="1"/>
  <c r="N20" i="20"/>
  <c r="O20" i="20" s="1"/>
  <c r="P20" i="20" s="1"/>
  <c r="N22" i="20"/>
  <c r="O22" i="20" s="1"/>
  <c r="P22" i="20" s="1"/>
  <c r="N24" i="20"/>
  <c r="O24" i="20" s="1"/>
  <c r="P24" i="20" s="1"/>
  <c r="N26" i="20"/>
  <c r="O26" i="20" s="1"/>
  <c r="P26" i="20" s="1"/>
  <c r="N28" i="20"/>
  <c r="O28" i="20" s="1"/>
  <c r="P28" i="20" s="1"/>
  <c r="N365" i="20"/>
  <c r="O365" i="20" s="1"/>
  <c r="P365" i="20" s="1"/>
  <c r="D473" i="21"/>
  <c r="C474" i="22" s="1"/>
  <c r="D420" i="21"/>
  <c r="C421" i="22" s="1"/>
  <c r="D393" i="21"/>
  <c r="C394" i="22" s="1"/>
  <c r="D388" i="21"/>
  <c r="C389" i="22" s="1"/>
  <c r="D372" i="21"/>
  <c r="C373" i="22" s="1"/>
  <c r="D313" i="21"/>
  <c r="C314" i="22" s="1"/>
  <c r="D303" i="21"/>
  <c r="C304" i="22" s="1"/>
  <c r="D297" i="21"/>
  <c r="C298" i="22" s="1"/>
  <c r="D255" i="21"/>
  <c r="C256" i="22" s="1"/>
  <c r="D207" i="21"/>
  <c r="C208" i="22" s="1"/>
  <c r="D191" i="21"/>
  <c r="C192" i="22" s="1"/>
  <c r="D169" i="21"/>
  <c r="C170" i="22" s="1"/>
  <c r="D153" i="21"/>
  <c r="C154" i="22" s="1"/>
  <c r="D121" i="21"/>
  <c r="C122" i="22" s="1"/>
  <c r="D111" i="21"/>
  <c r="C112" i="22" s="1"/>
  <c r="D68" i="21"/>
  <c r="C69" i="22" s="1"/>
  <c r="D52" i="21"/>
  <c r="C53" i="22" s="1"/>
  <c r="D20" i="21"/>
  <c r="C21" i="22" s="1"/>
  <c r="L503" i="13"/>
  <c r="L450" i="13"/>
  <c r="L440" i="13"/>
  <c r="L435" i="13"/>
  <c r="L409" i="13"/>
  <c r="L407" i="13"/>
  <c r="L403" i="13"/>
  <c r="L399" i="13"/>
  <c r="L397" i="13"/>
  <c r="L368" i="13"/>
  <c r="L232" i="13"/>
  <c r="L227" i="13"/>
  <c r="L224" i="13"/>
  <c r="L183" i="13"/>
  <c r="L155" i="13"/>
  <c r="L126" i="13"/>
  <c r="N8" i="20"/>
  <c r="O8" i="20" s="1"/>
  <c r="P8" i="20" s="1"/>
  <c r="D350" i="21"/>
  <c r="C351" i="22" s="1"/>
  <c r="D254" i="21"/>
  <c r="C255" i="22" s="1"/>
  <c r="D110" i="21"/>
  <c r="C111" i="22" s="1"/>
  <c r="D94" i="21"/>
  <c r="C95" i="22" s="1"/>
  <c r="L419" i="13"/>
  <c r="L378" i="13"/>
  <c r="L322" i="13"/>
  <c r="N322" i="13" s="1"/>
  <c r="O322" i="13" s="1"/>
  <c r="P322" i="13" s="1"/>
  <c r="L287" i="13"/>
  <c r="L277" i="13"/>
  <c r="L147" i="13"/>
  <c r="L141" i="13"/>
  <c r="L132" i="13"/>
  <c r="L92" i="13"/>
  <c r="L75" i="13"/>
  <c r="N62" i="20"/>
  <c r="O62" i="20" s="1"/>
  <c r="P62" i="20" s="1"/>
  <c r="N96" i="20"/>
  <c r="O96" i="20" s="1"/>
  <c r="P96" i="20" s="1"/>
  <c r="N100" i="20"/>
  <c r="O100" i="20" s="1"/>
  <c r="P100" i="20" s="1"/>
  <c r="D472" i="21"/>
  <c r="C473" i="22" s="1"/>
  <c r="D413" i="21"/>
  <c r="C414" i="22" s="1"/>
  <c r="D392" i="21"/>
  <c r="C393" i="22" s="1"/>
  <c r="D387" i="21"/>
  <c r="C388" i="22" s="1"/>
  <c r="D376" i="21"/>
  <c r="C377" i="22" s="1"/>
  <c r="D371" i="21"/>
  <c r="C372" i="22" s="1"/>
  <c r="D365" i="21"/>
  <c r="C366" i="22" s="1"/>
  <c r="D328" i="21"/>
  <c r="C329" i="22" s="1"/>
  <c r="D312" i="21"/>
  <c r="C313" i="22" s="1"/>
  <c r="D285" i="21"/>
  <c r="C286" i="22" s="1"/>
  <c r="D275" i="21"/>
  <c r="C276" i="22" s="1"/>
  <c r="D264" i="21"/>
  <c r="C265" i="22" s="1"/>
  <c r="D211" i="21"/>
  <c r="C212" i="22" s="1"/>
  <c r="D205" i="21"/>
  <c r="C206" i="22" s="1"/>
  <c r="D200" i="21"/>
  <c r="C201" i="22" s="1"/>
  <c r="D168" i="21"/>
  <c r="C169" i="22" s="1"/>
  <c r="D136" i="21"/>
  <c r="C137" i="22" s="1"/>
  <c r="D109" i="21"/>
  <c r="C110" i="22" s="1"/>
  <c r="D93" i="21"/>
  <c r="C94" i="22" s="1"/>
  <c r="D83" i="21"/>
  <c r="C84" i="22" s="1"/>
  <c r="D72" i="21"/>
  <c r="C73" i="22" s="1"/>
  <c r="D67" i="21"/>
  <c r="C68" i="22" s="1"/>
  <c r="D35" i="21"/>
  <c r="C36" i="22" s="1"/>
  <c r="L356" i="13"/>
  <c r="L298" i="13"/>
  <c r="L285" i="13"/>
  <c r="L279" i="13"/>
  <c r="L273" i="13"/>
  <c r="L255" i="13"/>
  <c r="L211" i="13"/>
  <c r="L209" i="13"/>
  <c r="L207" i="13"/>
  <c r="L193" i="13"/>
  <c r="L145" i="13"/>
  <c r="L68" i="13"/>
  <c r="L60" i="13"/>
  <c r="N64" i="20"/>
  <c r="O64" i="20" s="1"/>
  <c r="P64" i="20" s="1"/>
  <c r="N98" i="20"/>
  <c r="O98" i="20" s="1"/>
  <c r="P98" i="20" s="1"/>
  <c r="D386" i="21"/>
  <c r="C387" i="22" s="1"/>
  <c r="D354" i="21"/>
  <c r="C355" i="22" s="1"/>
  <c r="D82" i="21"/>
  <c r="C83" i="22" s="1"/>
  <c r="D34" i="21"/>
  <c r="C35" i="22" s="1"/>
  <c r="L423" i="13"/>
  <c r="L415" i="13"/>
  <c r="L390" i="13"/>
  <c r="L388" i="13"/>
  <c r="L360" i="13"/>
  <c r="L330" i="13"/>
  <c r="L314" i="13"/>
  <c r="L307" i="13"/>
  <c r="L266" i="13"/>
  <c r="L259" i="13"/>
  <c r="L257" i="13"/>
  <c r="L215" i="13"/>
  <c r="L213" i="13"/>
  <c r="L195" i="13"/>
  <c r="L170" i="13"/>
  <c r="L153" i="13"/>
  <c r="L125" i="13"/>
  <c r="N125" i="13" s="1"/>
  <c r="O125" i="13" s="1"/>
  <c r="P125" i="13" s="1"/>
  <c r="L121" i="13"/>
  <c r="L114" i="13"/>
  <c r="L112" i="13"/>
  <c r="L105" i="13"/>
  <c r="N105" i="13" s="1"/>
  <c r="O105" i="13" s="1"/>
  <c r="P105" i="13" s="1"/>
  <c r="J105" i="24" s="1"/>
  <c r="L85" i="13"/>
  <c r="L44" i="13"/>
  <c r="L12" i="13"/>
  <c r="D412" i="21"/>
  <c r="C413" i="22" s="1"/>
  <c r="D385" i="21"/>
  <c r="C386" i="22" s="1"/>
  <c r="D380" i="21"/>
  <c r="C381" i="22" s="1"/>
  <c r="D364" i="21"/>
  <c r="C365" i="22" s="1"/>
  <c r="D332" i="21"/>
  <c r="C333" i="22" s="1"/>
  <c r="D305" i="21"/>
  <c r="C306" i="22" s="1"/>
  <c r="D263" i="21"/>
  <c r="C264" i="22" s="1"/>
  <c r="D167" i="21"/>
  <c r="C168" i="22" s="1"/>
  <c r="D135" i="21"/>
  <c r="C136" i="22" s="1"/>
  <c r="D103" i="21"/>
  <c r="C104" i="22" s="1"/>
  <c r="D71" i="21"/>
  <c r="C72" i="22" s="1"/>
  <c r="L479" i="13"/>
  <c r="L382" i="13"/>
  <c r="L374" i="13"/>
  <c r="L362" i="13"/>
  <c r="L316" i="13"/>
  <c r="L299" i="13"/>
  <c r="L270" i="13"/>
  <c r="L261" i="13"/>
  <c r="L250" i="13"/>
  <c r="L248" i="13"/>
  <c r="L228" i="13"/>
  <c r="L197" i="13"/>
  <c r="L186" i="13"/>
  <c r="L116" i="13"/>
  <c r="L98" i="13"/>
  <c r="L89" i="13"/>
  <c r="L74" i="13"/>
  <c r="L66" i="13"/>
  <c r="N142" i="20"/>
  <c r="O142" i="20" s="1"/>
  <c r="P142" i="20" s="1"/>
  <c r="N144" i="20"/>
  <c r="O144" i="20" s="1"/>
  <c r="P144" i="20" s="1"/>
  <c r="N242" i="20"/>
  <c r="O242" i="20" s="1"/>
  <c r="P242" i="20" s="1"/>
  <c r="N244" i="20"/>
  <c r="O244" i="20" s="1"/>
  <c r="P244" i="20" s="1"/>
  <c r="N246" i="20"/>
  <c r="O246" i="20" s="1"/>
  <c r="P246" i="20" s="1"/>
  <c r="N248" i="20"/>
  <c r="O248" i="20" s="1"/>
  <c r="P248" i="20" s="1"/>
  <c r="N252" i="20"/>
  <c r="O252" i="20" s="1"/>
  <c r="P252" i="20" s="1"/>
  <c r="N334" i="20"/>
  <c r="O334" i="20" s="1"/>
  <c r="P334" i="20" s="1"/>
  <c r="N68" i="20"/>
  <c r="O68" i="20" s="1"/>
  <c r="P68" i="20" s="1"/>
  <c r="N70" i="20"/>
  <c r="O70" i="20" s="1"/>
  <c r="P70" i="20" s="1"/>
  <c r="N72" i="20"/>
  <c r="O72" i="20" s="1"/>
  <c r="P72" i="20" s="1"/>
  <c r="N82" i="20"/>
  <c r="O82" i="20" s="1"/>
  <c r="P82" i="20" s="1"/>
  <c r="N84" i="20"/>
  <c r="O84" i="20" s="1"/>
  <c r="P84" i="20" s="1"/>
  <c r="N86" i="20"/>
  <c r="O86" i="20" s="1"/>
  <c r="P86" i="20" s="1"/>
  <c r="N104" i="20"/>
  <c r="O104" i="20" s="1"/>
  <c r="P104" i="20" s="1"/>
  <c r="N106" i="20"/>
  <c r="O106" i="20" s="1"/>
  <c r="P106" i="20" s="1"/>
  <c r="N108" i="20"/>
  <c r="O108" i="20" s="1"/>
  <c r="P108" i="20" s="1"/>
  <c r="N110" i="20"/>
  <c r="O110" i="20" s="1"/>
  <c r="P110" i="20" s="1"/>
  <c r="N114" i="20"/>
  <c r="O114" i="20" s="1"/>
  <c r="P114" i="20" s="1"/>
  <c r="N312" i="20"/>
  <c r="O312" i="20" s="1"/>
  <c r="P312" i="20" s="1"/>
  <c r="N314" i="20"/>
  <c r="O314" i="20" s="1"/>
  <c r="P314" i="20" s="1"/>
  <c r="N316" i="20"/>
  <c r="O316" i="20" s="1"/>
  <c r="P316" i="20" s="1"/>
  <c r="N318" i="20"/>
  <c r="O318" i="20" s="1"/>
  <c r="P318" i="20" s="1"/>
  <c r="N320" i="20"/>
  <c r="O320" i="20" s="1"/>
  <c r="P320" i="20" s="1"/>
  <c r="N324" i="20"/>
  <c r="O324" i="20" s="1"/>
  <c r="P324" i="20" s="1"/>
  <c r="N328" i="20"/>
  <c r="O328" i="20" s="1"/>
  <c r="P328" i="20" s="1"/>
  <c r="C496" i="21"/>
  <c r="B497" i="22" s="1"/>
  <c r="C495" i="21"/>
  <c r="B496" i="22" s="1"/>
  <c r="K471" i="20"/>
  <c r="N471" i="20" s="1"/>
  <c r="O471" i="20" s="1"/>
  <c r="P471" i="20" s="1"/>
  <c r="C480" i="21"/>
  <c r="B481" i="22" s="1"/>
  <c r="C478" i="21"/>
  <c r="B479" i="22" s="1"/>
  <c r="K471" i="13"/>
  <c r="K478" i="20"/>
  <c r="N478" i="20" s="1"/>
  <c r="O478" i="20" s="1"/>
  <c r="P478" i="20" s="1"/>
  <c r="K480" i="20"/>
  <c r="N480" i="20" s="1"/>
  <c r="O480" i="20" s="1"/>
  <c r="P480" i="20" s="1"/>
  <c r="K482" i="20"/>
  <c r="C469" i="21"/>
  <c r="B470" i="22" s="1"/>
  <c r="K470" i="20"/>
  <c r="N470" i="20" s="1"/>
  <c r="O470" i="20" s="1"/>
  <c r="P470" i="20" s="1"/>
  <c r="C476" i="21"/>
  <c r="B477" i="22" s="1"/>
  <c r="C468" i="21"/>
  <c r="B469" i="22" s="1"/>
  <c r="K483" i="13"/>
  <c r="C475" i="21"/>
  <c r="B476" i="22" s="1"/>
  <c r="K466" i="13"/>
  <c r="C457" i="21"/>
  <c r="B458" i="22" s="1"/>
  <c r="K458" i="20"/>
  <c r="N458" i="20" s="1"/>
  <c r="O458" i="20" s="1"/>
  <c r="P458" i="20" s="1"/>
  <c r="C456" i="21"/>
  <c r="B457" i="22" s="1"/>
  <c r="K462" i="13"/>
  <c r="N452" i="20"/>
  <c r="O452" i="20" s="1"/>
  <c r="P452" i="20" s="1"/>
  <c r="K448" i="13"/>
  <c r="C443" i="21"/>
  <c r="B444" i="22" s="1"/>
  <c r="C442" i="21"/>
  <c r="B443" i="22" s="1"/>
  <c r="K434" i="20"/>
  <c r="K442" i="20"/>
  <c r="N442" i="20" s="1"/>
  <c r="O442" i="20" s="1"/>
  <c r="P442" i="20" s="1"/>
  <c r="K444" i="20"/>
  <c r="N444" i="20" s="1"/>
  <c r="O444" i="20" s="1"/>
  <c r="P444" i="20" s="1"/>
  <c r="C440" i="21"/>
  <c r="B441" i="22" s="1"/>
  <c r="C432" i="21"/>
  <c r="B433" i="22" s="1"/>
  <c r="K440" i="13"/>
  <c r="C431" i="21"/>
  <c r="B432" i="22" s="1"/>
  <c r="K436" i="13"/>
  <c r="K435" i="13"/>
  <c r="K433" i="20"/>
  <c r="N433" i="20" s="1"/>
  <c r="O433" i="20" s="1"/>
  <c r="P433" i="20" s="1"/>
  <c r="K443" i="20"/>
  <c r="N443" i="20" s="1"/>
  <c r="O443" i="20" s="1"/>
  <c r="P443" i="20" s="1"/>
  <c r="C412" i="21"/>
  <c r="B413" i="22" s="1"/>
  <c r="K414" i="20"/>
  <c r="C413" i="21"/>
  <c r="B414" i="22" s="1"/>
  <c r="K414" i="13"/>
  <c r="K415" i="20"/>
  <c r="N415" i="20" s="1"/>
  <c r="O415" i="20" s="1"/>
  <c r="P415" i="20" s="1"/>
  <c r="K268" i="20"/>
  <c r="N268" i="20" s="1"/>
  <c r="O268" i="20" s="1"/>
  <c r="P268" i="20" s="1"/>
  <c r="K268" i="13"/>
  <c r="K269" i="20"/>
  <c r="C267" i="21"/>
  <c r="B268" i="22" s="1"/>
  <c r="C58" i="21"/>
  <c r="B59" i="22" s="1"/>
  <c r="C59" i="21"/>
  <c r="B60" i="22" s="1"/>
  <c r="K61" i="20"/>
  <c r="N61" i="20" s="1"/>
  <c r="O61" i="20" s="1"/>
  <c r="P61" i="20" s="1"/>
  <c r="K60" i="20"/>
  <c r="K58" i="13"/>
  <c r="C57" i="21"/>
  <c r="B58" i="22" s="1"/>
  <c r="K58" i="20"/>
  <c r="K59" i="20"/>
  <c r="N59" i="20" s="1"/>
  <c r="O59" i="20" s="1"/>
  <c r="P59" i="20" s="1"/>
  <c r="C56" i="21"/>
  <c r="B57" i="22" s="1"/>
  <c r="K422" i="13"/>
  <c r="K423" i="20"/>
  <c r="N423" i="20" s="1"/>
  <c r="O423" i="20" s="1"/>
  <c r="P423" i="20" s="1"/>
  <c r="C420" i="21"/>
  <c r="B421" i="22" s="1"/>
  <c r="C421" i="21"/>
  <c r="B422" i="22" s="1"/>
  <c r="K422" i="20"/>
  <c r="N422" i="20" s="1"/>
  <c r="O422" i="20" s="1"/>
  <c r="P422" i="20" s="1"/>
  <c r="C360" i="21"/>
  <c r="B361" i="22" s="1"/>
  <c r="C361" i="21"/>
  <c r="B362" i="22" s="1"/>
  <c r="K363" i="20"/>
  <c r="N363" i="20" s="1"/>
  <c r="O363" i="20" s="1"/>
  <c r="P363" i="20" s="1"/>
  <c r="K362" i="13"/>
  <c r="K362" i="20"/>
  <c r="N362" i="20" s="1"/>
  <c r="O362" i="20" s="1"/>
  <c r="P362" i="20" s="1"/>
  <c r="C350" i="21"/>
  <c r="B351" i="22" s="1"/>
  <c r="C351" i="21"/>
  <c r="B352" i="22" s="1"/>
  <c r="K353" i="20"/>
  <c r="N353" i="20" s="1"/>
  <c r="O353" i="20" s="1"/>
  <c r="P353" i="20" s="1"/>
  <c r="K352" i="20"/>
  <c r="N352" i="20" s="1"/>
  <c r="O352" i="20" s="1"/>
  <c r="P352" i="20" s="1"/>
  <c r="C148" i="21"/>
  <c r="B149" i="22" s="1"/>
  <c r="K151" i="20"/>
  <c r="K150" i="20"/>
  <c r="N150" i="20" s="1"/>
  <c r="O150" i="20" s="1"/>
  <c r="P150" i="20" s="1"/>
  <c r="K150" i="13"/>
  <c r="C149" i="21"/>
  <c r="B150" i="22" s="1"/>
  <c r="K145" i="13"/>
  <c r="K146" i="20"/>
  <c r="N146" i="20" s="1"/>
  <c r="O146" i="20" s="1"/>
  <c r="P146" i="20" s="1"/>
  <c r="C143" i="21"/>
  <c r="B144" i="22" s="1"/>
  <c r="K145" i="20"/>
  <c r="N145" i="20" s="1"/>
  <c r="O145" i="20" s="1"/>
  <c r="P145" i="20" s="1"/>
  <c r="K138" i="13"/>
  <c r="C137" i="21"/>
  <c r="B138" i="22" s="1"/>
  <c r="K138" i="20"/>
  <c r="N138" i="20" s="1"/>
  <c r="O138" i="20" s="1"/>
  <c r="P138" i="20" s="1"/>
  <c r="K139" i="20"/>
  <c r="C136" i="21"/>
  <c r="B137" i="22" s="1"/>
  <c r="C63" i="21"/>
  <c r="B64" i="22" s="1"/>
  <c r="K65" i="20"/>
  <c r="K66" i="20"/>
  <c r="N66" i="20" s="1"/>
  <c r="O66" i="20" s="1"/>
  <c r="P66" i="20" s="1"/>
  <c r="K382" i="13"/>
  <c r="K381" i="20"/>
  <c r="N381" i="20" s="1"/>
  <c r="O381" i="20" s="1"/>
  <c r="P381" i="20" s="1"/>
  <c r="K381" i="13"/>
  <c r="C380" i="21"/>
  <c r="B381" i="22" s="1"/>
  <c r="K382" i="20"/>
  <c r="C280" i="21"/>
  <c r="B281" i="22" s="1"/>
  <c r="C281" i="21"/>
  <c r="B282" i="22" s="1"/>
  <c r="K282" i="20"/>
  <c r="N282" i="20" s="1"/>
  <c r="O282" i="20" s="1"/>
  <c r="P282" i="20" s="1"/>
  <c r="K282" i="13"/>
  <c r="K283" i="20"/>
  <c r="N283" i="20" s="1"/>
  <c r="O283" i="20" s="1"/>
  <c r="P283" i="20" s="1"/>
  <c r="K280" i="20"/>
  <c r="N280" i="20" s="1"/>
  <c r="O280" i="20" s="1"/>
  <c r="P280" i="20" s="1"/>
  <c r="K281" i="20"/>
  <c r="C279" i="21"/>
  <c r="B280" i="22" s="1"/>
  <c r="C276" i="21"/>
  <c r="B277" i="22" s="1"/>
  <c r="C277" i="21"/>
  <c r="B278" i="22" s="1"/>
  <c r="K278" i="20"/>
  <c r="N278" i="20" s="1"/>
  <c r="O278" i="20" s="1"/>
  <c r="P278" i="20" s="1"/>
  <c r="K279" i="20"/>
  <c r="C274" i="21"/>
  <c r="B275" i="22" s="1"/>
  <c r="K276" i="20"/>
  <c r="N276" i="20" s="1"/>
  <c r="O276" i="20" s="1"/>
  <c r="P276" i="20" s="1"/>
  <c r="C273" i="21"/>
  <c r="B274" i="22" s="1"/>
  <c r="K275" i="20"/>
  <c r="C92" i="21"/>
  <c r="B93" i="22" s="1"/>
  <c r="K94" i="13"/>
  <c r="K95" i="20"/>
  <c r="N95" i="20" s="1"/>
  <c r="O95" i="20" s="1"/>
  <c r="P95" i="20" s="1"/>
  <c r="K94" i="20"/>
  <c r="N94" i="20" s="1"/>
  <c r="O94" i="20" s="1"/>
  <c r="P94" i="20" s="1"/>
  <c r="C91" i="21"/>
  <c r="B92" i="22" s="1"/>
  <c r="K92" i="20"/>
  <c r="N92" i="20" s="1"/>
  <c r="O92" i="20" s="1"/>
  <c r="P92" i="20" s="1"/>
  <c r="K93" i="20"/>
  <c r="C90" i="21"/>
  <c r="B91" i="22" s="1"/>
  <c r="K88" i="20"/>
  <c r="N88" i="20" s="1"/>
  <c r="O88" i="20" s="1"/>
  <c r="P88" i="20" s="1"/>
  <c r="C86" i="21"/>
  <c r="B87" i="22" s="1"/>
  <c r="K87" i="20"/>
  <c r="N87" i="20" s="1"/>
  <c r="O87" i="20" s="1"/>
  <c r="P87" i="20" s="1"/>
  <c r="K79" i="13"/>
  <c r="C77" i="21"/>
  <c r="B78" i="22" s="1"/>
  <c r="C78" i="21"/>
  <c r="B79" i="22" s="1"/>
  <c r="K80" i="20"/>
  <c r="N80" i="20" s="1"/>
  <c r="O80" i="20" s="1"/>
  <c r="P80" i="20" s="1"/>
  <c r="K79" i="20"/>
  <c r="C75" i="21"/>
  <c r="B76" i="22" s="1"/>
  <c r="K77" i="20"/>
  <c r="N77" i="20" s="1"/>
  <c r="O77" i="20" s="1"/>
  <c r="P77" i="20" s="1"/>
  <c r="K78" i="20"/>
  <c r="N78" i="20" s="1"/>
  <c r="O78" i="20" s="1"/>
  <c r="P78" i="20" s="1"/>
  <c r="C74" i="21"/>
  <c r="B75" i="22" s="1"/>
  <c r="K75" i="20"/>
  <c r="N75" i="20" s="1"/>
  <c r="O75" i="20" s="1"/>
  <c r="P75" i="20" s="1"/>
  <c r="K76" i="20"/>
  <c r="N76" i="20" s="1"/>
  <c r="O76" i="20" s="1"/>
  <c r="P76" i="20" s="1"/>
  <c r="K73" i="20"/>
  <c r="K74" i="20"/>
  <c r="N74" i="20" s="1"/>
  <c r="O74" i="20" s="1"/>
  <c r="P74" i="20" s="1"/>
  <c r="K264" i="13"/>
  <c r="K175" i="20"/>
  <c r="C174" i="21"/>
  <c r="B175" i="22" s="1"/>
  <c r="C171" i="21"/>
  <c r="B172" i="22" s="1"/>
  <c r="K173" i="20"/>
  <c r="N173" i="20" s="1"/>
  <c r="O173" i="20" s="1"/>
  <c r="P173" i="20" s="1"/>
  <c r="K172" i="20"/>
  <c r="N172" i="20" s="1"/>
  <c r="O172" i="20" s="1"/>
  <c r="P172" i="20" s="1"/>
  <c r="K171" i="20"/>
  <c r="K167" i="20"/>
  <c r="K166" i="20"/>
  <c r="N166" i="20" s="1"/>
  <c r="O166" i="20" s="1"/>
  <c r="P166" i="20" s="1"/>
  <c r="K102" i="20"/>
  <c r="N102" i="20" s="1"/>
  <c r="O102" i="20" s="1"/>
  <c r="P102" i="20" s="1"/>
  <c r="C99" i="21"/>
  <c r="B100" i="22" s="1"/>
  <c r="K101" i="20"/>
  <c r="N101" i="20" s="1"/>
  <c r="O101" i="20" s="1"/>
  <c r="P101" i="20" s="1"/>
  <c r="C10" i="21"/>
  <c r="B11" i="22" s="1"/>
  <c r="K12" i="20"/>
  <c r="N12" i="20" s="1"/>
  <c r="O12" i="20" s="1"/>
  <c r="P12" i="20" s="1"/>
  <c r="C9" i="21"/>
  <c r="B10" i="22" s="1"/>
  <c r="K191" i="13"/>
  <c r="K192" i="20"/>
  <c r="N192" i="20" s="1"/>
  <c r="O192" i="20" s="1"/>
  <c r="P192" i="20" s="1"/>
  <c r="C189" i="21"/>
  <c r="B190" i="22" s="1"/>
  <c r="C190" i="21"/>
  <c r="B191" i="22" s="1"/>
  <c r="K191" i="20"/>
  <c r="N191" i="20" s="1"/>
  <c r="O191" i="20" s="1"/>
  <c r="P191" i="20" s="1"/>
  <c r="K61" i="13"/>
  <c r="K32" i="20"/>
  <c r="N32" i="20" s="1"/>
  <c r="O32" i="20" s="1"/>
  <c r="P32" i="20" s="1"/>
  <c r="C30" i="21"/>
  <c r="B31" i="22" s="1"/>
  <c r="K400" i="13"/>
  <c r="K400" i="20"/>
  <c r="N400" i="20" s="1"/>
  <c r="O400" i="20" s="1"/>
  <c r="P400" i="20" s="1"/>
  <c r="C397" i="21"/>
  <c r="B398" i="22" s="1"/>
  <c r="K399" i="20"/>
  <c r="N399" i="20" s="1"/>
  <c r="O399" i="20" s="1"/>
  <c r="P399" i="20" s="1"/>
  <c r="K200" i="20"/>
  <c r="N200" i="20" s="1"/>
  <c r="O200" i="20" s="1"/>
  <c r="P200" i="20" s="1"/>
  <c r="K201" i="20"/>
  <c r="N201" i="20" s="1"/>
  <c r="O201" i="20" s="1"/>
  <c r="P201" i="20" s="1"/>
  <c r="C198" i="21"/>
  <c r="B199" i="22" s="1"/>
  <c r="C199" i="21"/>
  <c r="B200" i="22" s="1"/>
  <c r="K198" i="13"/>
  <c r="K198" i="20"/>
  <c r="N198" i="20" s="1"/>
  <c r="O198" i="20" s="1"/>
  <c r="P198" i="20" s="1"/>
  <c r="C196" i="21"/>
  <c r="B197" i="22" s="1"/>
  <c r="C197" i="21"/>
  <c r="B198" i="22" s="1"/>
  <c r="K199" i="20"/>
  <c r="N199" i="20" s="1"/>
  <c r="O199" i="20" s="1"/>
  <c r="P199" i="20" s="1"/>
  <c r="K34" i="13"/>
  <c r="N34" i="13" s="1"/>
  <c r="O34" i="13" s="1"/>
  <c r="P34" i="13" s="1"/>
  <c r="C32" i="21"/>
  <c r="B33" i="22" s="1"/>
  <c r="K34" i="20"/>
  <c r="C33" i="21"/>
  <c r="B34" i="22" s="1"/>
  <c r="C379" i="21"/>
  <c r="B380" i="22" s="1"/>
  <c r="C72" i="21"/>
  <c r="B73" i="22" s="1"/>
  <c r="K305" i="20"/>
  <c r="N305" i="20" s="1"/>
  <c r="O305" i="20" s="1"/>
  <c r="P305" i="20" s="1"/>
  <c r="C303" i="21"/>
  <c r="B304" i="22" s="1"/>
  <c r="C304" i="21"/>
  <c r="B305" i="22" s="1"/>
  <c r="K256" i="13"/>
  <c r="K256" i="20"/>
  <c r="C255" i="21"/>
  <c r="B256" i="22" s="1"/>
  <c r="K257" i="20"/>
  <c r="N257" i="20" s="1"/>
  <c r="O257" i="20" s="1"/>
  <c r="P257" i="20" s="1"/>
  <c r="K254" i="13"/>
  <c r="K254" i="20"/>
  <c r="N254" i="20" s="1"/>
  <c r="O254" i="20" s="1"/>
  <c r="P254" i="20" s="1"/>
  <c r="C252" i="21"/>
  <c r="B253" i="22" s="1"/>
  <c r="C253" i="21"/>
  <c r="B254" i="22" s="1"/>
  <c r="K228" i="13"/>
  <c r="N228" i="13" s="1"/>
  <c r="O228" i="13" s="1"/>
  <c r="P228" i="13" s="1"/>
  <c r="C227" i="21"/>
  <c r="B228" i="22" s="1"/>
  <c r="K228" i="20"/>
  <c r="N228" i="20" s="1"/>
  <c r="O228" i="20" s="1"/>
  <c r="P228" i="20" s="1"/>
  <c r="C226" i="21"/>
  <c r="B227" i="22" s="1"/>
  <c r="K219" i="13"/>
  <c r="C218" i="21"/>
  <c r="B219" i="22" s="1"/>
  <c r="K220" i="20"/>
  <c r="N220" i="20" s="1"/>
  <c r="O220" i="20" s="1"/>
  <c r="P220" i="20" s="1"/>
  <c r="K219" i="20"/>
  <c r="N219" i="20" s="1"/>
  <c r="O219" i="20" s="1"/>
  <c r="P219" i="20" s="1"/>
  <c r="C217" i="21"/>
  <c r="B218" i="22" s="1"/>
  <c r="K218" i="20"/>
  <c r="N218" i="20" s="1"/>
  <c r="O218" i="20" s="1"/>
  <c r="P218" i="20" s="1"/>
  <c r="K217" i="20"/>
  <c r="C216" i="21"/>
  <c r="B217" i="22" s="1"/>
  <c r="K212" i="13"/>
  <c r="K212" i="20"/>
  <c r="N212" i="20" s="1"/>
  <c r="O212" i="20" s="1"/>
  <c r="P212" i="20" s="1"/>
  <c r="K213" i="20"/>
  <c r="C211" i="21"/>
  <c r="B212" i="22" s="1"/>
  <c r="C262" i="21"/>
  <c r="B263" i="22" s="1"/>
  <c r="K264" i="20"/>
  <c r="C261" i="21"/>
  <c r="B262" i="22" s="1"/>
  <c r="K263" i="20"/>
  <c r="N263" i="20" s="1"/>
  <c r="O263" i="20" s="1"/>
  <c r="P263" i="20" s="1"/>
  <c r="K261" i="13"/>
  <c r="K262" i="20"/>
  <c r="N262" i="20" s="1"/>
  <c r="O262" i="20" s="1"/>
  <c r="P262" i="20" s="1"/>
  <c r="C259" i="21"/>
  <c r="B260" i="22" s="1"/>
  <c r="K261" i="20"/>
  <c r="N261" i="20" s="1"/>
  <c r="O261" i="20" s="1"/>
  <c r="P261" i="20" s="1"/>
  <c r="K117" i="13"/>
  <c r="C115" i="21"/>
  <c r="B116" i="22" s="1"/>
  <c r="C116" i="21"/>
  <c r="B117" i="22" s="1"/>
  <c r="K118" i="13"/>
  <c r="K118" i="20"/>
  <c r="N118" i="20" s="1"/>
  <c r="O118" i="20" s="1"/>
  <c r="P118" i="20" s="1"/>
  <c r="K117" i="20"/>
  <c r="N117" i="20" s="1"/>
  <c r="O117" i="20" s="1"/>
  <c r="P117" i="20" s="1"/>
  <c r="K56" i="20"/>
  <c r="N56" i="20" s="1"/>
  <c r="O56" i="20" s="1"/>
  <c r="P56" i="20" s="1"/>
  <c r="C53" i="21"/>
  <c r="B54" i="22" s="1"/>
  <c r="K55" i="13"/>
  <c r="K55" i="20"/>
  <c r="K54" i="13"/>
  <c r="C52" i="21"/>
  <c r="B53" i="22" s="1"/>
  <c r="K53" i="20"/>
  <c r="N53" i="20" s="1"/>
  <c r="O53" i="20" s="1"/>
  <c r="P53" i="20" s="1"/>
  <c r="K54" i="20"/>
  <c r="N54" i="20" s="1"/>
  <c r="O54" i="20" s="1"/>
  <c r="P54" i="20" s="1"/>
  <c r="C49" i="21"/>
  <c r="B50" i="22" s="1"/>
  <c r="K51" i="20"/>
  <c r="N51" i="20" s="1"/>
  <c r="O51" i="20" s="1"/>
  <c r="P51" i="20" s="1"/>
  <c r="K52" i="20"/>
  <c r="N52" i="20" s="1"/>
  <c r="O52" i="20" s="1"/>
  <c r="P52" i="20" s="1"/>
  <c r="N30" i="20"/>
  <c r="O30" i="20" s="1"/>
  <c r="P30" i="20" s="1"/>
  <c r="N170" i="20"/>
  <c r="O170" i="20" s="1"/>
  <c r="P170" i="20" s="1"/>
  <c r="N288" i="20"/>
  <c r="O288" i="20" s="1"/>
  <c r="P288" i="20" s="1"/>
  <c r="N302" i="20"/>
  <c r="O302" i="20" s="1"/>
  <c r="P302" i="20" s="1"/>
  <c r="N304" i="20"/>
  <c r="O304" i="20" s="1"/>
  <c r="P304" i="20" s="1"/>
  <c r="N306" i="20"/>
  <c r="O306" i="20" s="1"/>
  <c r="P306" i="20" s="1"/>
  <c r="N308" i="20"/>
  <c r="O308" i="20" s="1"/>
  <c r="P308" i="20" s="1"/>
  <c r="K424" i="13"/>
  <c r="K409" i="13"/>
  <c r="K371" i="13"/>
  <c r="K358" i="13"/>
  <c r="K336" i="13"/>
  <c r="K324" i="13"/>
  <c r="K321" i="13"/>
  <c r="K302" i="13"/>
  <c r="K126" i="13"/>
  <c r="K119" i="13"/>
  <c r="K110" i="13"/>
  <c r="K103" i="13"/>
  <c r="K24" i="13"/>
  <c r="K407" i="13"/>
  <c r="K402" i="13"/>
  <c r="K397" i="13"/>
  <c r="K369" i="13"/>
  <c r="K345" i="13"/>
  <c r="K329" i="13"/>
  <c r="K312" i="13"/>
  <c r="N312" i="13" s="1"/>
  <c r="O312" i="13" s="1"/>
  <c r="P312" i="13" s="1"/>
  <c r="K298" i="13"/>
  <c r="K293" i="13"/>
  <c r="N293" i="13" s="1"/>
  <c r="O293" i="13" s="1"/>
  <c r="P293" i="13" s="1"/>
  <c r="J293" i="10" s="1"/>
  <c r="K288" i="13"/>
  <c r="K271" i="13"/>
  <c r="K245" i="13"/>
  <c r="K106" i="13"/>
  <c r="N112" i="20"/>
  <c r="O112" i="20" s="1"/>
  <c r="P112" i="20" s="1"/>
  <c r="N116" i="20"/>
  <c r="O116" i="20" s="1"/>
  <c r="P116" i="20" s="1"/>
  <c r="N120" i="20"/>
  <c r="O120" i="20" s="1"/>
  <c r="P120" i="20" s="1"/>
  <c r="N122" i="20"/>
  <c r="O122" i="20" s="1"/>
  <c r="P122" i="20" s="1"/>
  <c r="N124" i="20"/>
  <c r="O124" i="20" s="1"/>
  <c r="P124" i="20" s="1"/>
  <c r="N126" i="20"/>
  <c r="O126" i="20" s="1"/>
  <c r="P126" i="20" s="1"/>
  <c r="N128" i="20"/>
  <c r="O128" i="20" s="1"/>
  <c r="P128" i="20" s="1"/>
  <c r="N130" i="20"/>
  <c r="O130" i="20" s="1"/>
  <c r="P130" i="20" s="1"/>
  <c r="N132" i="20"/>
  <c r="O132" i="20" s="1"/>
  <c r="P132" i="20" s="1"/>
  <c r="N134" i="20"/>
  <c r="O134" i="20" s="1"/>
  <c r="P134" i="20" s="1"/>
  <c r="N136" i="20"/>
  <c r="O136" i="20" s="1"/>
  <c r="P136" i="20" s="1"/>
  <c r="K366" i="13"/>
  <c r="K332" i="13"/>
  <c r="K269" i="13"/>
  <c r="K266" i="13"/>
  <c r="K259" i="13"/>
  <c r="C178" i="21"/>
  <c r="B179" i="22" s="1"/>
  <c r="K153" i="13"/>
  <c r="K134" i="13"/>
  <c r="K120" i="13"/>
  <c r="K113" i="13"/>
  <c r="K56" i="13"/>
  <c r="K38" i="13"/>
  <c r="N60" i="20"/>
  <c r="O60" i="20" s="1"/>
  <c r="P60" i="20" s="1"/>
  <c r="N34" i="20"/>
  <c r="O34" i="20" s="1"/>
  <c r="P34" i="20" s="1"/>
  <c r="K418" i="13"/>
  <c r="K415" i="13"/>
  <c r="K346" i="13"/>
  <c r="N346" i="13" s="1"/>
  <c r="O346" i="13" s="1"/>
  <c r="P346" i="13" s="1"/>
  <c r="K328" i="13"/>
  <c r="N328" i="13" s="1"/>
  <c r="O328" i="13" s="1"/>
  <c r="P328" i="13" s="1"/>
  <c r="K306" i="13"/>
  <c r="K276" i="13"/>
  <c r="K205" i="13"/>
  <c r="K203" i="13"/>
  <c r="K152" i="13"/>
  <c r="N58" i="20"/>
  <c r="O58" i="20" s="1"/>
  <c r="P58" i="20" s="1"/>
  <c r="N178" i="20"/>
  <c r="O178" i="20" s="1"/>
  <c r="P178" i="20" s="1"/>
  <c r="N180" i="20"/>
  <c r="O180" i="20" s="1"/>
  <c r="P180" i="20" s="1"/>
  <c r="N182" i="20"/>
  <c r="O182" i="20" s="1"/>
  <c r="P182" i="20" s="1"/>
  <c r="N184" i="20"/>
  <c r="O184" i="20" s="1"/>
  <c r="P184" i="20" s="1"/>
  <c r="N186" i="20"/>
  <c r="O186" i="20" s="1"/>
  <c r="P186" i="20" s="1"/>
  <c r="N188" i="20"/>
  <c r="O188" i="20" s="1"/>
  <c r="P188" i="20" s="1"/>
  <c r="N190" i="20"/>
  <c r="O190" i="20" s="1"/>
  <c r="P190" i="20" s="1"/>
  <c r="N194" i="20"/>
  <c r="O194" i="20" s="1"/>
  <c r="P194" i="20" s="1"/>
  <c r="N196" i="20"/>
  <c r="O196" i="20" s="1"/>
  <c r="P196" i="20" s="1"/>
  <c r="N202" i="20"/>
  <c r="O202" i="20" s="1"/>
  <c r="P202" i="20" s="1"/>
  <c r="N204" i="20"/>
  <c r="O204" i="20" s="1"/>
  <c r="P204" i="20" s="1"/>
  <c r="N206" i="20"/>
  <c r="O206" i="20" s="1"/>
  <c r="P206" i="20" s="1"/>
  <c r="N208" i="20"/>
  <c r="O208" i="20" s="1"/>
  <c r="P208" i="20" s="1"/>
  <c r="N210" i="20"/>
  <c r="O210" i="20" s="1"/>
  <c r="P210" i="20" s="1"/>
  <c r="N214" i="20"/>
  <c r="O214" i="20" s="1"/>
  <c r="P214" i="20" s="1"/>
  <c r="N216" i="20"/>
  <c r="O216" i="20" s="1"/>
  <c r="P216" i="20" s="1"/>
  <c r="N222" i="20"/>
  <c r="O222" i="20" s="1"/>
  <c r="P222" i="20" s="1"/>
  <c r="N224" i="20"/>
  <c r="O224" i="20" s="1"/>
  <c r="P224" i="20" s="1"/>
  <c r="K423" i="13"/>
  <c r="K393" i="13"/>
  <c r="K385" i="13"/>
  <c r="K344" i="13"/>
  <c r="K335" i="13"/>
  <c r="K313" i="13"/>
  <c r="N313" i="13" s="1"/>
  <c r="O313" i="13" s="1"/>
  <c r="P313" i="13" s="1"/>
  <c r="K281" i="13"/>
  <c r="K279" i="13"/>
  <c r="K262" i="13"/>
  <c r="K220" i="13"/>
  <c r="K218" i="13"/>
  <c r="K208" i="13"/>
  <c r="K197" i="13"/>
  <c r="K167" i="13"/>
  <c r="K139" i="13"/>
  <c r="K93" i="13"/>
  <c r="K92" i="13"/>
  <c r="C76" i="21"/>
  <c r="B77" i="22" s="1"/>
  <c r="K77" i="13"/>
  <c r="N77" i="13" s="1"/>
  <c r="O77" i="13" s="1"/>
  <c r="P77" i="13" s="1"/>
  <c r="K40" i="13"/>
  <c r="K25" i="13"/>
  <c r="N292" i="20"/>
  <c r="O292" i="20" s="1"/>
  <c r="P292" i="20" s="1"/>
  <c r="N336" i="20"/>
  <c r="O336" i="20" s="1"/>
  <c r="P336" i="20" s="1"/>
  <c r="N338" i="20"/>
  <c r="O338" i="20" s="1"/>
  <c r="P338" i="20" s="1"/>
  <c r="N340" i="20"/>
  <c r="O340" i="20" s="1"/>
  <c r="P340" i="20" s="1"/>
  <c r="N342" i="20"/>
  <c r="O342" i="20" s="1"/>
  <c r="P342" i="20" s="1"/>
  <c r="N344" i="20"/>
  <c r="O344" i="20" s="1"/>
  <c r="P344" i="20" s="1"/>
  <c r="N346" i="20"/>
  <c r="O346" i="20" s="1"/>
  <c r="P346" i="20" s="1"/>
  <c r="N348" i="20"/>
  <c r="O348" i="20" s="1"/>
  <c r="P348" i="20" s="1"/>
  <c r="N350" i="20"/>
  <c r="O350" i="20" s="1"/>
  <c r="P350" i="20" s="1"/>
  <c r="N354" i="20"/>
  <c r="O354" i="20" s="1"/>
  <c r="P354" i="20" s="1"/>
  <c r="N356" i="20"/>
  <c r="O356" i="20" s="1"/>
  <c r="P356" i="20" s="1"/>
  <c r="N358" i="20"/>
  <c r="O358" i="20" s="1"/>
  <c r="P358" i="20" s="1"/>
  <c r="N360" i="20"/>
  <c r="O360" i="20" s="1"/>
  <c r="P360" i="20" s="1"/>
  <c r="N364" i="20"/>
  <c r="O364" i="20" s="1"/>
  <c r="P364" i="20" s="1"/>
  <c r="N366" i="20"/>
  <c r="O366" i="20" s="1"/>
  <c r="P366" i="20" s="1"/>
  <c r="N368" i="20"/>
  <c r="O368" i="20" s="1"/>
  <c r="P368" i="20" s="1"/>
  <c r="N372" i="20"/>
  <c r="O372" i="20" s="1"/>
  <c r="P372" i="20" s="1"/>
  <c r="N374" i="20"/>
  <c r="O374" i="20" s="1"/>
  <c r="P374" i="20" s="1"/>
  <c r="N376" i="20"/>
  <c r="O376" i="20" s="1"/>
  <c r="P376" i="20" s="1"/>
  <c r="N378" i="20"/>
  <c r="O378" i="20" s="1"/>
  <c r="P378" i="20" s="1"/>
  <c r="N380" i="20"/>
  <c r="O380" i="20" s="1"/>
  <c r="P380" i="20" s="1"/>
  <c r="N382" i="20"/>
  <c r="O382" i="20" s="1"/>
  <c r="P382" i="20" s="1"/>
  <c r="N384" i="20"/>
  <c r="O384" i="20" s="1"/>
  <c r="P384" i="20" s="1"/>
  <c r="K351" i="13"/>
  <c r="N351" i="13" s="1"/>
  <c r="O351" i="13" s="1"/>
  <c r="P351" i="13" s="1"/>
  <c r="K248" i="13"/>
  <c r="K241" i="13"/>
  <c r="N241" i="13" s="1"/>
  <c r="O241" i="13" s="1"/>
  <c r="P241" i="13" s="1"/>
  <c r="C215" i="21"/>
  <c r="B216" i="22" s="1"/>
  <c r="C162" i="21"/>
  <c r="B163" i="22" s="1"/>
  <c r="K157" i="13"/>
  <c r="K46" i="13"/>
  <c r="K10" i="13"/>
  <c r="K431" i="13"/>
  <c r="K430" i="13"/>
  <c r="K291" i="20"/>
  <c r="N291" i="20" s="1"/>
  <c r="O291" i="20" s="1"/>
  <c r="P291" i="20" s="1"/>
  <c r="K301" i="20"/>
  <c r="N301" i="20" s="1"/>
  <c r="O301" i="20" s="1"/>
  <c r="P301" i="20" s="1"/>
  <c r="K424" i="20"/>
  <c r="N424" i="20" s="1"/>
  <c r="O424" i="20" s="1"/>
  <c r="P424" i="20" s="1"/>
  <c r="K428" i="20"/>
  <c r="K462" i="20"/>
  <c r="C425" i="21"/>
  <c r="B426" i="22" s="1"/>
  <c r="C292" i="21"/>
  <c r="B293" i="22" s="1"/>
  <c r="C145" i="21"/>
  <c r="B146" i="22" s="1"/>
  <c r="K499" i="13"/>
  <c r="K500" i="13"/>
  <c r="N500" i="13" s="1"/>
  <c r="O500" i="13" s="1"/>
  <c r="P500" i="13" s="1"/>
  <c r="K467" i="13"/>
  <c r="K468" i="13"/>
  <c r="K391" i="13"/>
  <c r="K310" i="13"/>
  <c r="K311" i="13"/>
  <c r="K308" i="13"/>
  <c r="K309" i="13"/>
  <c r="K182" i="13"/>
  <c r="C180" i="21"/>
  <c r="B181" i="22" s="1"/>
  <c r="C93" i="21"/>
  <c r="B94" i="22" s="1"/>
  <c r="K95" i="13"/>
  <c r="K70" i="13"/>
  <c r="N70" i="13" s="1"/>
  <c r="O70" i="13" s="1"/>
  <c r="P70" i="13" s="1"/>
  <c r="C68" i="21"/>
  <c r="B69" i="22" s="1"/>
  <c r="C60" i="21"/>
  <c r="B61" i="22" s="1"/>
  <c r="C61" i="21"/>
  <c r="B62" i="22" s="1"/>
  <c r="K8" i="13"/>
  <c r="C6" i="21"/>
  <c r="C7" i="21"/>
  <c r="B8" i="22" s="1"/>
  <c r="K388" i="13"/>
  <c r="K389" i="13"/>
  <c r="K175" i="13"/>
  <c r="C173" i="21"/>
  <c r="B174" i="22" s="1"/>
  <c r="K173" i="13"/>
  <c r="C172" i="21"/>
  <c r="B173" i="22" s="1"/>
  <c r="K174" i="13"/>
  <c r="J300" i="10"/>
  <c r="K285" i="20"/>
  <c r="N285" i="20" s="1"/>
  <c r="O285" i="20" s="1"/>
  <c r="P285" i="20" s="1"/>
  <c r="K293" i="20"/>
  <c r="N293" i="20" s="1"/>
  <c r="O293" i="20" s="1"/>
  <c r="P293" i="20" s="1"/>
  <c r="K299" i="20"/>
  <c r="N299" i="20" s="1"/>
  <c r="O299" i="20" s="1"/>
  <c r="P299" i="20" s="1"/>
  <c r="K430" i="20"/>
  <c r="N430" i="20" s="1"/>
  <c r="O430" i="20" s="1"/>
  <c r="P430" i="20" s="1"/>
  <c r="N300" i="16"/>
  <c r="N394" i="20"/>
  <c r="O394" i="20" s="1"/>
  <c r="P394" i="20" s="1"/>
  <c r="C384" i="21"/>
  <c r="B385" i="22" s="1"/>
  <c r="C298" i="21"/>
  <c r="B299" i="22" s="1"/>
  <c r="C291" i="21"/>
  <c r="B292" i="22" s="1"/>
  <c r="K439" i="13"/>
  <c r="N439" i="13" s="1"/>
  <c r="O439" i="13" s="1"/>
  <c r="P439" i="13" s="1"/>
  <c r="K438" i="13"/>
  <c r="K399" i="13"/>
  <c r="C97" i="21"/>
  <c r="B98" i="22" s="1"/>
  <c r="C98" i="21"/>
  <c r="B99" i="22" s="1"/>
  <c r="K75" i="13"/>
  <c r="C73" i="21"/>
  <c r="B74" i="22" s="1"/>
  <c r="K73" i="13"/>
  <c r="C71" i="21"/>
  <c r="B72" i="22" s="1"/>
  <c r="C423" i="21"/>
  <c r="B424" i="22" s="1"/>
  <c r="C383" i="21"/>
  <c r="B384" i="22" s="1"/>
  <c r="C297" i="21"/>
  <c r="B298" i="22" s="1"/>
  <c r="C284" i="21"/>
  <c r="B285" i="22" s="1"/>
  <c r="C225" i="21"/>
  <c r="B226" i="22" s="1"/>
  <c r="C170" i="21"/>
  <c r="B171" i="22" s="1"/>
  <c r="K475" i="13"/>
  <c r="K476" i="13"/>
  <c r="N476" i="13" s="1"/>
  <c r="O476" i="13" s="1"/>
  <c r="P476" i="13" s="1"/>
  <c r="K450" i="13"/>
  <c r="K451" i="13"/>
  <c r="K373" i="13"/>
  <c r="N373" i="13" s="1"/>
  <c r="O373" i="13" s="1"/>
  <c r="P373" i="13" s="1"/>
  <c r="K374" i="13"/>
  <c r="K333" i="13"/>
  <c r="K233" i="13"/>
  <c r="C231" i="21"/>
  <c r="B232" i="22" s="1"/>
  <c r="C232" i="21"/>
  <c r="B233" i="22" s="1"/>
  <c r="K234" i="13"/>
  <c r="K231" i="13"/>
  <c r="K232" i="13"/>
  <c r="K229" i="13"/>
  <c r="C228" i="21"/>
  <c r="B229" i="22" s="1"/>
  <c r="K185" i="13"/>
  <c r="N185" i="13" s="1"/>
  <c r="O185" i="13" s="1"/>
  <c r="P185" i="13" s="1"/>
  <c r="C183" i="21"/>
  <c r="B184" i="22" s="1"/>
  <c r="C184" i="21"/>
  <c r="B185" i="22" s="1"/>
  <c r="K159" i="13"/>
  <c r="C157" i="21"/>
  <c r="B158" i="22" s="1"/>
  <c r="K160" i="13"/>
  <c r="C95" i="21"/>
  <c r="B96" i="22" s="1"/>
  <c r="C96" i="21"/>
  <c r="B97" i="22" s="1"/>
  <c r="K16" i="13"/>
  <c r="C15" i="21"/>
  <c r="B16" i="22" s="1"/>
  <c r="K332" i="20"/>
  <c r="K386" i="20"/>
  <c r="N386" i="20" s="1"/>
  <c r="O386" i="20" s="1"/>
  <c r="P386" i="20" s="1"/>
  <c r="K388" i="20"/>
  <c r="N388" i="20" s="1"/>
  <c r="O388" i="20" s="1"/>
  <c r="P388" i="20" s="1"/>
  <c r="K487" i="20"/>
  <c r="C422" i="21"/>
  <c r="B423" i="22" s="1"/>
  <c r="C296" i="21"/>
  <c r="B297" i="22" s="1"/>
  <c r="C283" i="21"/>
  <c r="B284" i="22" s="1"/>
  <c r="C224" i="21"/>
  <c r="B225" i="22" s="1"/>
  <c r="C169" i="21"/>
  <c r="B170" i="22" s="1"/>
  <c r="K250" i="13"/>
  <c r="K211" i="13"/>
  <c r="C210" i="21"/>
  <c r="B211" i="22" s="1"/>
  <c r="K199" i="13"/>
  <c r="N199" i="13" s="1"/>
  <c r="O199" i="13" s="1"/>
  <c r="P199" i="13" s="1"/>
  <c r="K200" i="13"/>
  <c r="N200" i="13" s="1"/>
  <c r="O200" i="13" s="1"/>
  <c r="P200" i="13" s="1"/>
  <c r="K176" i="13"/>
  <c r="K63" i="13"/>
  <c r="K42" i="13"/>
  <c r="N42" i="13" s="1"/>
  <c r="O42" i="13" s="1"/>
  <c r="P42" i="13" s="1"/>
  <c r="C40" i="21"/>
  <c r="B41" i="22" s="1"/>
  <c r="C41" i="21"/>
  <c r="B42" i="22" s="1"/>
  <c r="P300" i="18"/>
  <c r="N258" i="20"/>
  <c r="O258" i="20" s="1"/>
  <c r="P258" i="20" s="1"/>
  <c r="N260" i="20"/>
  <c r="O260" i="20" s="1"/>
  <c r="P260" i="20" s="1"/>
  <c r="N264" i="20"/>
  <c r="O264" i="20" s="1"/>
  <c r="P264" i="20" s="1"/>
  <c r="N266" i="20"/>
  <c r="O266" i="20" s="1"/>
  <c r="P266" i="20" s="1"/>
  <c r="N270" i="20"/>
  <c r="O270" i="20" s="1"/>
  <c r="P270" i="20" s="1"/>
  <c r="K286" i="20"/>
  <c r="N286" i="20" s="1"/>
  <c r="O286" i="20" s="1"/>
  <c r="P286" i="20" s="1"/>
  <c r="K290" i="20"/>
  <c r="N290" i="20" s="1"/>
  <c r="O290" i="20" s="1"/>
  <c r="P290" i="20" s="1"/>
  <c r="K294" i="20"/>
  <c r="N294" i="20" s="1"/>
  <c r="O294" i="20" s="1"/>
  <c r="P294" i="20" s="1"/>
  <c r="K298" i="20"/>
  <c r="N298" i="20" s="1"/>
  <c r="O298" i="20" s="1"/>
  <c r="P298" i="20" s="1"/>
  <c r="K300" i="20"/>
  <c r="N300" i="20" s="1"/>
  <c r="O300" i="20" s="1"/>
  <c r="P300" i="20" s="1"/>
  <c r="K425" i="20"/>
  <c r="N425" i="20" s="1"/>
  <c r="O425" i="20" s="1"/>
  <c r="P425" i="20" s="1"/>
  <c r="K431" i="20"/>
  <c r="N431" i="20" s="1"/>
  <c r="O431" i="20" s="1"/>
  <c r="P431" i="20" s="1"/>
  <c r="K463" i="20"/>
  <c r="N463" i="20" s="1"/>
  <c r="O463" i="20" s="1"/>
  <c r="P463" i="20" s="1"/>
  <c r="C485" i="21"/>
  <c r="B486" i="22" s="1"/>
  <c r="C461" i="21"/>
  <c r="B462" i="22" s="1"/>
  <c r="C429" i="21"/>
  <c r="B430" i="22" s="1"/>
  <c r="C289" i="21"/>
  <c r="B290" i="22" s="1"/>
  <c r="K408" i="13"/>
  <c r="K239" i="13"/>
  <c r="C237" i="21"/>
  <c r="B238" i="22" s="1"/>
  <c r="K165" i="13"/>
  <c r="C164" i="21"/>
  <c r="B165" i="22" s="1"/>
  <c r="K166" i="13"/>
  <c r="K130" i="13"/>
  <c r="C128" i="21"/>
  <c r="B129" i="22" s="1"/>
  <c r="K123" i="13"/>
  <c r="C121" i="21"/>
  <c r="B122" i="22" s="1"/>
  <c r="K78" i="13"/>
  <c r="C484" i="21"/>
  <c r="B485" i="22" s="1"/>
  <c r="C460" i="21"/>
  <c r="B461" i="22" s="1"/>
  <c r="C428" i="21"/>
  <c r="B429" i="22" s="1"/>
  <c r="C288" i="21"/>
  <c r="B289" i="22" s="1"/>
  <c r="C166" i="21"/>
  <c r="B167" i="22" s="1"/>
  <c r="C139" i="21"/>
  <c r="B140" i="22" s="1"/>
  <c r="C34" i="21"/>
  <c r="B35" i="22" s="1"/>
  <c r="K135" i="13"/>
  <c r="C133" i="21"/>
  <c r="B134" i="22" s="1"/>
  <c r="K86" i="13"/>
  <c r="C85" i="21"/>
  <c r="B86" i="22" s="1"/>
  <c r="C50" i="21"/>
  <c r="B51" i="22" s="1"/>
  <c r="C51" i="21"/>
  <c r="B52" i="22" s="1"/>
  <c r="K30" i="13"/>
  <c r="K31" i="13"/>
  <c r="C28" i="21"/>
  <c r="B29" i="22" s="1"/>
  <c r="C26" i="21"/>
  <c r="B27" i="22" s="1"/>
  <c r="K29" i="13"/>
  <c r="C27" i="21"/>
  <c r="B28" i="22" s="1"/>
  <c r="K36" i="20"/>
  <c r="N36" i="20" s="1"/>
  <c r="O36" i="20" s="1"/>
  <c r="P36" i="20" s="1"/>
  <c r="K140" i="20"/>
  <c r="N140" i="20" s="1"/>
  <c r="O140" i="20" s="1"/>
  <c r="P140" i="20" s="1"/>
  <c r="K148" i="20"/>
  <c r="N148" i="20" s="1"/>
  <c r="O148" i="20" s="1"/>
  <c r="P148" i="20" s="1"/>
  <c r="K168" i="20"/>
  <c r="N168" i="20" s="1"/>
  <c r="O168" i="20" s="1"/>
  <c r="P168" i="20" s="1"/>
  <c r="K174" i="20"/>
  <c r="N174" i="20" s="1"/>
  <c r="O174" i="20" s="1"/>
  <c r="P174" i="20" s="1"/>
  <c r="K176" i="20"/>
  <c r="N176" i="20" s="1"/>
  <c r="O176" i="20" s="1"/>
  <c r="P176" i="20" s="1"/>
  <c r="K226" i="20"/>
  <c r="N226" i="20" s="1"/>
  <c r="O226" i="20" s="1"/>
  <c r="P226" i="20" s="1"/>
  <c r="C387" i="21"/>
  <c r="B388" i="22" s="1"/>
  <c r="C331" i="21"/>
  <c r="B332" i="22" s="1"/>
  <c r="K221" i="13"/>
  <c r="C220" i="21"/>
  <c r="B221" i="22" s="1"/>
  <c r="K168" i="13"/>
  <c r="K142" i="13"/>
  <c r="C141" i="21"/>
  <c r="B142" i="22" s="1"/>
  <c r="K89" i="13"/>
  <c r="C87" i="21"/>
  <c r="B88" i="22" s="1"/>
  <c r="C88" i="21"/>
  <c r="B89" i="22" s="1"/>
  <c r="K50" i="13"/>
  <c r="C48" i="21"/>
  <c r="B49" i="22" s="1"/>
  <c r="K487" i="13"/>
  <c r="K454" i="13"/>
  <c r="K377" i="13"/>
  <c r="K267" i="13"/>
  <c r="K237" i="13"/>
  <c r="K209" i="13"/>
  <c r="K143" i="13"/>
  <c r="N143" i="13" s="1"/>
  <c r="O143" i="13" s="1"/>
  <c r="P143" i="13" s="1"/>
  <c r="K133" i="13"/>
  <c r="K111" i="13"/>
  <c r="K109" i="13"/>
  <c r="K71" i="13"/>
  <c r="K17" i="13"/>
  <c r="N17" i="13" s="1"/>
  <c r="O17" i="13" s="1"/>
  <c r="P17" i="13" s="1"/>
  <c r="N17" i="16" s="1"/>
  <c r="K14" i="13"/>
  <c r="K479" i="13"/>
  <c r="K463" i="13"/>
  <c r="K460" i="13"/>
  <c r="N460" i="13" s="1"/>
  <c r="O460" i="13" s="1"/>
  <c r="P460" i="13" s="1"/>
  <c r="K446" i="13"/>
  <c r="N446" i="13" s="1"/>
  <c r="O446" i="13" s="1"/>
  <c r="P446" i="13" s="1"/>
  <c r="K441" i="13"/>
  <c r="K395" i="13"/>
  <c r="K383" i="13"/>
  <c r="N383" i="13" s="1"/>
  <c r="O383" i="13" s="1"/>
  <c r="P383" i="13" s="1"/>
  <c r="K380" i="13"/>
  <c r="K367" i="13"/>
  <c r="K365" i="13"/>
  <c r="K352" i="13"/>
  <c r="K330" i="13"/>
  <c r="K327" i="13"/>
  <c r="K316" i="13"/>
  <c r="K314" i="13"/>
  <c r="K278" i="13"/>
  <c r="K270" i="13"/>
  <c r="K255" i="13"/>
  <c r="N255" i="13" s="1"/>
  <c r="O255" i="13" s="1"/>
  <c r="P255" i="13" s="1"/>
  <c r="K253" i="13"/>
  <c r="K227" i="13"/>
  <c r="K217" i="13"/>
  <c r="K183" i="13"/>
  <c r="K169" i="13"/>
  <c r="K151" i="13"/>
  <c r="K131" i="13"/>
  <c r="K90" i="13"/>
  <c r="N90" i="13" s="1"/>
  <c r="O90" i="13" s="1"/>
  <c r="P90" i="13" s="1"/>
  <c r="K76" i="13"/>
  <c r="K53" i="13"/>
  <c r="K45" i="13"/>
  <c r="K37" i="13"/>
  <c r="K26" i="13"/>
  <c r="K9" i="13"/>
  <c r="K498" i="13"/>
  <c r="K428" i="13"/>
  <c r="N428" i="13" s="1"/>
  <c r="O428" i="13" s="1"/>
  <c r="P428" i="13" s="1"/>
  <c r="K425" i="13"/>
  <c r="K372" i="13"/>
  <c r="K355" i="13"/>
  <c r="K339" i="13"/>
  <c r="K301" i="13"/>
  <c r="K275" i="13"/>
  <c r="K181" i="13"/>
  <c r="K124" i="13"/>
  <c r="K114" i="13"/>
  <c r="K98" i="13"/>
  <c r="K82" i="13"/>
  <c r="N82" i="13" s="1"/>
  <c r="O82" i="13" s="1"/>
  <c r="P82" i="13" s="1"/>
  <c r="K74" i="13"/>
  <c r="K66" i="13"/>
  <c r="C11" i="21"/>
  <c r="B12" i="22" s="1"/>
  <c r="N499" i="13"/>
  <c r="O499" i="13" s="1"/>
  <c r="P499" i="13" s="1"/>
  <c r="J499" i="10" s="1"/>
  <c r="K496" i="13"/>
  <c r="K437" i="13"/>
  <c r="N437" i="13" s="1"/>
  <c r="O437" i="13" s="1"/>
  <c r="P437" i="13" s="1"/>
  <c r="K429" i="13"/>
  <c r="K420" i="13"/>
  <c r="K387" i="13"/>
  <c r="K363" i="13"/>
  <c r="K325" i="13"/>
  <c r="K307" i="13"/>
  <c r="K299" i="13"/>
  <c r="K286" i="13"/>
  <c r="K283" i="13"/>
  <c r="N277" i="13"/>
  <c r="O277" i="13" s="1"/>
  <c r="P277" i="13" s="1"/>
  <c r="K238" i="13"/>
  <c r="K230" i="13"/>
  <c r="K146" i="13"/>
  <c r="K141" i="13"/>
  <c r="K18" i="13"/>
  <c r="K472" i="13"/>
  <c r="K412" i="13"/>
  <c r="K404" i="13"/>
  <c r="K356" i="13"/>
  <c r="N356" i="13" s="1"/>
  <c r="O356" i="13" s="1"/>
  <c r="P356" i="13" s="1"/>
  <c r="K348" i="13"/>
  <c r="N303" i="13"/>
  <c r="O303" i="13" s="1"/>
  <c r="P303" i="13" s="1"/>
  <c r="K263" i="13"/>
  <c r="K246" i="13"/>
  <c r="K213" i="13"/>
  <c r="N213" i="13" s="1"/>
  <c r="O213" i="13" s="1"/>
  <c r="P213" i="13" s="1"/>
  <c r="K177" i="13"/>
  <c r="N177" i="13" s="1"/>
  <c r="O177" i="13" s="1"/>
  <c r="P177" i="13" s="1"/>
  <c r="K83" i="13"/>
  <c r="K80" i="13"/>
  <c r="K64" i="13"/>
  <c r="K49" i="13"/>
  <c r="K41" i="13"/>
  <c r="N41" i="13" s="1"/>
  <c r="O41" i="13" s="1"/>
  <c r="P41" i="13" s="1"/>
  <c r="K503" i="13"/>
  <c r="K456" i="13"/>
  <c r="K426" i="13"/>
  <c r="N426" i="13" s="1"/>
  <c r="O426" i="13" s="1"/>
  <c r="P426" i="13" s="1"/>
  <c r="K410" i="13"/>
  <c r="K379" i="13"/>
  <c r="N379" i="13" s="1"/>
  <c r="O379" i="13" s="1"/>
  <c r="P379" i="13" s="1"/>
  <c r="K323" i="13"/>
  <c r="K305" i="13"/>
  <c r="K223" i="13"/>
  <c r="K201" i="13"/>
  <c r="K189" i="13"/>
  <c r="K127" i="13"/>
  <c r="K101" i="13"/>
  <c r="K33" i="13"/>
  <c r="N33" i="13" s="1"/>
  <c r="O33" i="13" s="1"/>
  <c r="P33" i="13" s="1"/>
  <c r="N9" i="13"/>
  <c r="O9" i="13" s="1"/>
  <c r="P9" i="13" s="1"/>
  <c r="N5" i="20"/>
  <c r="O5" i="20" s="1"/>
  <c r="P5" i="20" s="1"/>
  <c r="E4" i="21"/>
  <c r="D5" i="22" s="1"/>
  <c r="E5" i="21"/>
  <c r="D6" i="22" s="1"/>
  <c r="N273" i="20"/>
  <c r="O273" i="20" s="1"/>
  <c r="P273" i="20" s="1"/>
  <c r="N275" i="20"/>
  <c r="O275" i="20" s="1"/>
  <c r="P275" i="20" s="1"/>
  <c r="N277" i="20"/>
  <c r="O277" i="20" s="1"/>
  <c r="P277" i="20" s="1"/>
  <c r="N279" i="20"/>
  <c r="O279" i="20" s="1"/>
  <c r="P279" i="20" s="1"/>
  <c r="N281" i="20"/>
  <c r="O281" i="20" s="1"/>
  <c r="P281" i="20" s="1"/>
  <c r="N287" i="20"/>
  <c r="O287" i="20" s="1"/>
  <c r="P287" i="20" s="1"/>
  <c r="N289" i="20"/>
  <c r="O289" i="20" s="1"/>
  <c r="P289" i="20" s="1"/>
  <c r="N295" i="20"/>
  <c r="O295" i="20" s="1"/>
  <c r="P295" i="20" s="1"/>
  <c r="N297" i="20"/>
  <c r="O297" i="20" s="1"/>
  <c r="P297" i="20" s="1"/>
  <c r="N303" i="20"/>
  <c r="O303" i="20" s="1"/>
  <c r="P303" i="20" s="1"/>
  <c r="N307" i="20"/>
  <c r="O307" i="20" s="1"/>
  <c r="P307" i="20" s="1"/>
  <c r="N309" i="20"/>
  <c r="O309" i="20" s="1"/>
  <c r="P309" i="20" s="1"/>
  <c r="M29" i="13"/>
  <c r="E27" i="21"/>
  <c r="D28" i="22" s="1"/>
  <c r="E28" i="21"/>
  <c r="D29" i="22" s="1"/>
  <c r="M5" i="13"/>
  <c r="N5" i="13" s="1"/>
  <c r="O5" i="13" s="1"/>
  <c r="P5" i="13" s="1"/>
  <c r="E3" i="21"/>
  <c r="N259" i="20"/>
  <c r="O259" i="20" s="1"/>
  <c r="P259" i="20" s="1"/>
  <c r="N265" i="20"/>
  <c r="O265" i="20" s="1"/>
  <c r="P265" i="20" s="1"/>
  <c r="N267" i="20"/>
  <c r="O267" i="20" s="1"/>
  <c r="P267" i="20" s="1"/>
  <c r="N269" i="20"/>
  <c r="O269" i="20" s="1"/>
  <c r="P269" i="20" s="1"/>
  <c r="N271" i="20"/>
  <c r="O271" i="20" s="1"/>
  <c r="P271" i="20" s="1"/>
  <c r="N6" i="20"/>
  <c r="O6" i="20" s="1"/>
  <c r="P6" i="20" s="1"/>
  <c r="N9" i="20"/>
  <c r="O9" i="20" s="1"/>
  <c r="P9" i="20" s="1"/>
  <c r="N17" i="20"/>
  <c r="O17" i="20" s="1"/>
  <c r="P17" i="20" s="1"/>
  <c r="N21" i="20"/>
  <c r="O21" i="20" s="1"/>
  <c r="P21" i="20" s="1"/>
  <c r="N25" i="20"/>
  <c r="O25" i="20" s="1"/>
  <c r="P25" i="20" s="1"/>
  <c r="N31" i="20"/>
  <c r="O31" i="20" s="1"/>
  <c r="P31" i="20" s="1"/>
  <c r="N35" i="20"/>
  <c r="O35" i="20" s="1"/>
  <c r="P35" i="20" s="1"/>
  <c r="N39" i="20"/>
  <c r="O39" i="20" s="1"/>
  <c r="P39" i="20" s="1"/>
  <c r="N43" i="20"/>
  <c r="O43" i="20" s="1"/>
  <c r="P43" i="20" s="1"/>
  <c r="N49" i="20"/>
  <c r="O49" i="20" s="1"/>
  <c r="P49" i="20" s="1"/>
  <c r="N57" i="20"/>
  <c r="O57" i="20" s="1"/>
  <c r="P57" i="20" s="1"/>
  <c r="N67" i="20"/>
  <c r="O67" i="20" s="1"/>
  <c r="P67" i="20" s="1"/>
  <c r="N71" i="20"/>
  <c r="O71" i="20" s="1"/>
  <c r="P71" i="20" s="1"/>
  <c r="N79" i="20"/>
  <c r="O79" i="20" s="1"/>
  <c r="P79" i="20" s="1"/>
  <c r="N83" i="20"/>
  <c r="O83" i="20" s="1"/>
  <c r="P83" i="20" s="1"/>
  <c r="N93" i="20"/>
  <c r="O93" i="20" s="1"/>
  <c r="P93" i="20" s="1"/>
  <c r="N97" i="20"/>
  <c r="O97" i="20" s="1"/>
  <c r="P97" i="20" s="1"/>
  <c r="N105" i="20"/>
  <c r="O105" i="20" s="1"/>
  <c r="P105" i="20" s="1"/>
  <c r="N109" i="20"/>
  <c r="O109" i="20" s="1"/>
  <c r="P109" i="20" s="1"/>
  <c r="N113" i="20"/>
  <c r="O113" i="20" s="1"/>
  <c r="P113" i="20" s="1"/>
  <c r="N119" i="20"/>
  <c r="O119" i="20" s="1"/>
  <c r="P119" i="20" s="1"/>
  <c r="N123" i="20"/>
  <c r="O123" i="20" s="1"/>
  <c r="P123" i="20" s="1"/>
  <c r="N127" i="20"/>
  <c r="O127" i="20" s="1"/>
  <c r="P127" i="20" s="1"/>
  <c r="N131" i="20"/>
  <c r="O131" i="20" s="1"/>
  <c r="P131" i="20" s="1"/>
  <c r="N139" i="20"/>
  <c r="O139" i="20" s="1"/>
  <c r="P139" i="20" s="1"/>
  <c r="N143" i="20"/>
  <c r="O143" i="20" s="1"/>
  <c r="P143" i="20" s="1"/>
  <c r="N147" i="20"/>
  <c r="O147" i="20" s="1"/>
  <c r="P147" i="20" s="1"/>
  <c r="N151" i="20"/>
  <c r="O151" i="20" s="1"/>
  <c r="P151" i="20" s="1"/>
  <c r="N155" i="20"/>
  <c r="O155" i="20" s="1"/>
  <c r="P155" i="20" s="1"/>
  <c r="N159" i="20"/>
  <c r="O159" i="20" s="1"/>
  <c r="P159" i="20" s="1"/>
  <c r="N165" i="20"/>
  <c r="O165" i="20" s="1"/>
  <c r="P165" i="20" s="1"/>
  <c r="N169" i="20"/>
  <c r="O169" i="20" s="1"/>
  <c r="P169" i="20" s="1"/>
  <c r="N177" i="20"/>
  <c r="O177" i="20" s="1"/>
  <c r="P177" i="20" s="1"/>
  <c r="N179" i="20"/>
  <c r="O179" i="20" s="1"/>
  <c r="P179" i="20" s="1"/>
  <c r="N181" i="20"/>
  <c r="O181" i="20" s="1"/>
  <c r="P181" i="20" s="1"/>
  <c r="N183" i="20"/>
  <c r="O183" i="20" s="1"/>
  <c r="P183" i="20" s="1"/>
  <c r="N185" i="20"/>
  <c r="O185" i="20" s="1"/>
  <c r="P185" i="20" s="1"/>
  <c r="N189" i="20"/>
  <c r="O189" i="20" s="1"/>
  <c r="P189" i="20" s="1"/>
  <c r="N193" i="20"/>
  <c r="O193" i="20" s="1"/>
  <c r="P193" i="20" s="1"/>
  <c r="N195" i="20"/>
  <c r="O195" i="20" s="1"/>
  <c r="P195" i="20" s="1"/>
  <c r="N197" i="20"/>
  <c r="O197" i="20" s="1"/>
  <c r="P197" i="20" s="1"/>
  <c r="N203" i="20"/>
  <c r="O203" i="20" s="1"/>
  <c r="P203" i="20" s="1"/>
  <c r="N205" i="20"/>
  <c r="O205" i="20" s="1"/>
  <c r="P205" i="20" s="1"/>
  <c r="N207" i="20"/>
  <c r="O207" i="20" s="1"/>
  <c r="P207" i="20" s="1"/>
  <c r="N209" i="20"/>
  <c r="O209" i="20" s="1"/>
  <c r="P209" i="20" s="1"/>
  <c r="N211" i="20"/>
  <c r="O211" i="20" s="1"/>
  <c r="P211" i="20" s="1"/>
  <c r="N213" i="20"/>
  <c r="O213" i="20" s="1"/>
  <c r="P213" i="20" s="1"/>
  <c r="N215" i="20"/>
  <c r="O215" i="20" s="1"/>
  <c r="P215" i="20" s="1"/>
  <c r="N217" i="20"/>
  <c r="O217" i="20" s="1"/>
  <c r="P217" i="20" s="1"/>
  <c r="N221" i="20"/>
  <c r="O221" i="20" s="1"/>
  <c r="P221" i="20" s="1"/>
  <c r="N223" i="20"/>
  <c r="O223" i="20" s="1"/>
  <c r="P223" i="20" s="1"/>
  <c r="N225" i="20"/>
  <c r="O225" i="20" s="1"/>
  <c r="P225" i="20" s="1"/>
  <c r="N227" i="20"/>
  <c r="O227" i="20" s="1"/>
  <c r="P227" i="20" s="1"/>
  <c r="N231" i="20"/>
  <c r="O231" i="20" s="1"/>
  <c r="P231" i="20" s="1"/>
  <c r="N233" i="20"/>
  <c r="O233" i="20" s="1"/>
  <c r="P233" i="20" s="1"/>
  <c r="N235" i="20"/>
  <c r="O235" i="20" s="1"/>
  <c r="P235" i="20" s="1"/>
  <c r="N237" i="20"/>
  <c r="O237" i="20" s="1"/>
  <c r="P237" i="20" s="1"/>
  <c r="N243" i="20"/>
  <c r="O243" i="20" s="1"/>
  <c r="P243" i="20" s="1"/>
  <c r="N245" i="20"/>
  <c r="O245" i="20" s="1"/>
  <c r="P245" i="20" s="1"/>
  <c r="N247" i="20"/>
  <c r="O247" i="20" s="1"/>
  <c r="P247" i="20" s="1"/>
  <c r="N249" i="20"/>
  <c r="O249" i="20" s="1"/>
  <c r="P249" i="20" s="1"/>
  <c r="N251" i="20"/>
  <c r="O251" i="20" s="1"/>
  <c r="P251" i="20" s="1"/>
  <c r="N253" i="20"/>
  <c r="O253" i="20" s="1"/>
  <c r="P253" i="20" s="1"/>
  <c r="N255" i="20"/>
  <c r="O255" i="20" s="1"/>
  <c r="P255" i="20" s="1"/>
  <c r="M271" i="13"/>
  <c r="E269" i="21"/>
  <c r="D270" i="22" s="1"/>
  <c r="M272" i="13"/>
  <c r="M272" i="20"/>
  <c r="N272" i="20" s="1"/>
  <c r="O272" i="20" s="1"/>
  <c r="P272" i="20" s="1"/>
  <c r="E270" i="21"/>
  <c r="D271" i="22" s="1"/>
  <c r="M256" i="13"/>
  <c r="E254" i="21"/>
  <c r="D255" i="22" s="1"/>
  <c r="M256" i="20"/>
  <c r="N256" i="20" s="1"/>
  <c r="O256" i="20" s="1"/>
  <c r="P256" i="20" s="1"/>
  <c r="M117" i="13"/>
  <c r="E115" i="21"/>
  <c r="D116" i="22" s="1"/>
  <c r="E116" i="21"/>
  <c r="D117" i="22" s="1"/>
  <c r="N11" i="20"/>
  <c r="O11" i="20" s="1"/>
  <c r="P11" i="20" s="1"/>
  <c r="N15" i="20"/>
  <c r="O15" i="20" s="1"/>
  <c r="P15" i="20" s="1"/>
  <c r="N19" i="20"/>
  <c r="O19" i="20" s="1"/>
  <c r="P19" i="20" s="1"/>
  <c r="N23" i="20"/>
  <c r="O23" i="20" s="1"/>
  <c r="P23" i="20" s="1"/>
  <c r="N29" i="20"/>
  <c r="O29" i="20" s="1"/>
  <c r="P29" i="20" s="1"/>
  <c r="N33" i="20"/>
  <c r="O33" i="20" s="1"/>
  <c r="P33" i="20" s="1"/>
  <c r="N37" i="20"/>
  <c r="O37" i="20" s="1"/>
  <c r="P37" i="20" s="1"/>
  <c r="N41" i="20"/>
  <c r="O41" i="20" s="1"/>
  <c r="P41" i="20" s="1"/>
  <c r="N47" i="20"/>
  <c r="O47" i="20" s="1"/>
  <c r="P47" i="20" s="1"/>
  <c r="N55" i="20"/>
  <c r="O55" i="20" s="1"/>
  <c r="P55" i="20" s="1"/>
  <c r="N65" i="20"/>
  <c r="O65" i="20" s="1"/>
  <c r="P65" i="20" s="1"/>
  <c r="N69" i="20"/>
  <c r="O69" i="20" s="1"/>
  <c r="P69" i="20" s="1"/>
  <c r="N73" i="20"/>
  <c r="O73" i="20" s="1"/>
  <c r="P73" i="20" s="1"/>
  <c r="N81" i="20"/>
  <c r="O81" i="20" s="1"/>
  <c r="P81" i="20" s="1"/>
  <c r="N85" i="20"/>
  <c r="O85" i="20" s="1"/>
  <c r="P85" i="20" s="1"/>
  <c r="N89" i="20"/>
  <c r="O89" i="20" s="1"/>
  <c r="P89" i="20" s="1"/>
  <c r="N99" i="20"/>
  <c r="O99" i="20" s="1"/>
  <c r="P99" i="20" s="1"/>
  <c r="N103" i="20"/>
  <c r="O103" i="20" s="1"/>
  <c r="P103" i="20" s="1"/>
  <c r="N107" i="20"/>
  <c r="O107" i="20" s="1"/>
  <c r="P107" i="20" s="1"/>
  <c r="N111" i="20"/>
  <c r="O111" i="20" s="1"/>
  <c r="P111" i="20" s="1"/>
  <c r="N115" i="20"/>
  <c r="O115" i="20" s="1"/>
  <c r="P115" i="20" s="1"/>
  <c r="N121" i="20"/>
  <c r="O121" i="20" s="1"/>
  <c r="P121" i="20" s="1"/>
  <c r="N125" i="20"/>
  <c r="O125" i="20" s="1"/>
  <c r="P125" i="20" s="1"/>
  <c r="N129" i="20"/>
  <c r="O129" i="20" s="1"/>
  <c r="P129" i="20" s="1"/>
  <c r="N133" i="20"/>
  <c r="O133" i="20" s="1"/>
  <c r="P133" i="20" s="1"/>
  <c r="N137" i="20"/>
  <c r="O137" i="20" s="1"/>
  <c r="P137" i="20" s="1"/>
  <c r="N141" i="20"/>
  <c r="O141" i="20" s="1"/>
  <c r="P141" i="20" s="1"/>
  <c r="N149" i="20"/>
  <c r="O149" i="20" s="1"/>
  <c r="P149" i="20" s="1"/>
  <c r="N153" i="20"/>
  <c r="O153" i="20" s="1"/>
  <c r="P153" i="20" s="1"/>
  <c r="N157" i="20"/>
  <c r="O157" i="20" s="1"/>
  <c r="P157" i="20" s="1"/>
  <c r="N161" i="20"/>
  <c r="O161" i="20" s="1"/>
  <c r="P161" i="20" s="1"/>
  <c r="N167" i="20"/>
  <c r="O167" i="20" s="1"/>
  <c r="P167" i="20" s="1"/>
  <c r="N171" i="20"/>
  <c r="O171" i="20" s="1"/>
  <c r="P171" i="20" s="1"/>
  <c r="N175" i="20"/>
  <c r="O175" i="20" s="1"/>
  <c r="P175" i="20" s="1"/>
  <c r="N187" i="20"/>
  <c r="O187" i="20" s="1"/>
  <c r="P187" i="20" s="1"/>
  <c r="M396" i="13"/>
  <c r="E394" i="21"/>
  <c r="D395" i="22" s="1"/>
  <c r="E395" i="21"/>
  <c r="D396" i="22" s="1"/>
  <c r="M396" i="20"/>
  <c r="M391" i="13"/>
  <c r="E389" i="21"/>
  <c r="D390" i="22" s="1"/>
  <c r="M392" i="20"/>
  <c r="N392" i="20" s="1"/>
  <c r="O392" i="20" s="1"/>
  <c r="P392" i="20" s="1"/>
  <c r="E390" i="21"/>
  <c r="D391" i="22" s="1"/>
  <c r="M310" i="13"/>
  <c r="E308" i="21"/>
  <c r="D309" i="22" s="1"/>
  <c r="E309" i="21"/>
  <c r="D310" i="22" s="1"/>
  <c r="M310" i="20"/>
  <c r="N310" i="20" s="1"/>
  <c r="O310" i="20" s="1"/>
  <c r="P310" i="20" s="1"/>
  <c r="M419" i="13"/>
  <c r="M420" i="20"/>
  <c r="N420" i="20" s="1"/>
  <c r="O420" i="20" s="1"/>
  <c r="P420" i="20" s="1"/>
  <c r="E417" i="21"/>
  <c r="D418" i="22" s="1"/>
  <c r="M471" i="13"/>
  <c r="E470" i="21"/>
  <c r="D471" i="22" s="1"/>
  <c r="M472" i="20"/>
  <c r="N472" i="20" s="1"/>
  <c r="O472" i="20" s="1"/>
  <c r="P472" i="20" s="1"/>
  <c r="E469" i="21"/>
  <c r="D470" i="22" s="1"/>
  <c r="N402" i="20"/>
  <c r="O402" i="20" s="1"/>
  <c r="P402" i="20" s="1"/>
  <c r="N406" i="20"/>
  <c r="O406" i="20" s="1"/>
  <c r="P406" i="20" s="1"/>
  <c r="N408" i="20"/>
  <c r="O408" i="20" s="1"/>
  <c r="P408" i="20" s="1"/>
  <c r="N410" i="20"/>
  <c r="O410" i="20" s="1"/>
  <c r="P410" i="20" s="1"/>
  <c r="N412" i="20"/>
  <c r="O412" i="20" s="1"/>
  <c r="P412" i="20" s="1"/>
  <c r="N414" i="20"/>
  <c r="O414" i="20" s="1"/>
  <c r="P414" i="20" s="1"/>
  <c r="N416" i="20"/>
  <c r="O416" i="20" s="1"/>
  <c r="P416" i="20" s="1"/>
  <c r="N418" i="20"/>
  <c r="O418" i="20" s="1"/>
  <c r="P418" i="20" s="1"/>
  <c r="N426" i="20"/>
  <c r="O426" i="20" s="1"/>
  <c r="P426" i="20" s="1"/>
  <c r="N428" i="20"/>
  <c r="O428" i="20" s="1"/>
  <c r="P428" i="20" s="1"/>
  <c r="N432" i="20"/>
  <c r="O432" i="20" s="1"/>
  <c r="P432" i="20" s="1"/>
  <c r="N434" i="20"/>
  <c r="O434" i="20" s="1"/>
  <c r="P434" i="20" s="1"/>
  <c r="N436" i="20"/>
  <c r="O436" i="20" s="1"/>
  <c r="P436" i="20" s="1"/>
  <c r="N438" i="20"/>
  <c r="O438" i="20" s="1"/>
  <c r="P438" i="20" s="1"/>
  <c r="N440" i="20"/>
  <c r="O440" i="20" s="1"/>
  <c r="P440" i="20" s="1"/>
  <c r="N446" i="20"/>
  <c r="O446" i="20" s="1"/>
  <c r="P446" i="20" s="1"/>
  <c r="N448" i="20"/>
  <c r="O448" i="20" s="1"/>
  <c r="P448" i="20" s="1"/>
  <c r="N450" i="20"/>
  <c r="O450" i="20" s="1"/>
  <c r="P450" i="20" s="1"/>
  <c r="N456" i="20"/>
  <c r="O456" i="20" s="1"/>
  <c r="P456" i="20" s="1"/>
  <c r="N464" i="20"/>
  <c r="O464" i="20" s="1"/>
  <c r="P464" i="20" s="1"/>
  <c r="N466" i="20"/>
  <c r="O466" i="20" s="1"/>
  <c r="P466" i="20" s="1"/>
  <c r="N468" i="20"/>
  <c r="O468" i="20" s="1"/>
  <c r="P468" i="20" s="1"/>
  <c r="N474" i="20"/>
  <c r="O474" i="20" s="1"/>
  <c r="P474" i="20" s="1"/>
  <c r="N476" i="20"/>
  <c r="O476" i="20" s="1"/>
  <c r="P476" i="20" s="1"/>
  <c r="N482" i="20"/>
  <c r="O482" i="20" s="1"/>
  <c r="P482" i="20" s="1"/>
  <c r="N484" i="20"/>
  <c r="O484" i="20" s="1"/>
  <c r="P484" i="20" s="1"/>
  <c r="N486" i="20"/>
  <c r="O486" i="20" s="1"/>
  <c r="P486" i="20" s="1"/>
  <c r="M481" i="13"/>
  <c r="M443" i="13"/>
  <c r="M411" i="13"/>
  <c r="M269" i="13"/>
  <c r="M201" i="13"/>
  <c r="E200" i="21"/>
  <c r="D201" i="22" s="1"/>
  <c r="M202" i="13"/>
  <c r="M165" i="13"/>
  <c r="E163" i="21"/>
  <c r="D164" i="22" s="1"/>
  <c r="E164" i="21"/>
  <c r="D165" i="22" s="1"/>
  <c r="M94" i="13"/>
  <c r="E92" i="21"/>
  <c r="D93" i="22" s="1"/>
  <c r="E93" i="21"/>
  <c r="D94" i="22" s="1"/>
  <c r="M409" i="13"/>
  <c r="M369" i="13"/>
  <c r="M123" i="13"/>
  <c r="M124" i="13"/>
  <c r="E121" i="21"/>
  <c r="D122" i="22" s="1"/>
  <c r="M10" i="13"/>
  <c r="E8" i="21"/>
  <c r="D9" i="22" s="1"/>
  <c r="E9" i="21"/>
  <c r="D10" i="22" s="1"/>
  <c r="M347" i="13"/>
  <c r="N261" i="13"/>
  <c r="O261" i="13" s="1"/>
  <c r="P261" i="13" s="1"/>
  <c r="J261" i="24" s="1"/>
  <c r="M234" i="13"/>
  <c r="E232" i="21"/>
  <c r="D233" i="22" s="1"/>
  <c r="M472" i="13"/>
  <c r="M420" i="13"/>
  <c r="N420" i="13" s="1"/>
  <c r="O420" i="13" s="1"/>
  <c r="P420" i="13" s="1"/>
  <c r="M319" i="13"/>
  <c r="E317" i="21"/>
  <c r="D318" i="22" s="1"/>
  <c r="M316" i="13"/>
  <c r="E314" i="21"/>
  <c r="D315" i="22" s="1"/>
  <c r="M262" i="13"/>
  <c r="E260" i="21"/>
  <c r="D261" i="22" s="1"/>
  <c r="M245" i="13"/>
  <c r="E243" i="21"/>
  <c r="D244" i="22" s="1"/>
  <c r="M133" i="13"/>
  <c r="E132" i="21"/>
  <c r="D133" i="22" s="1"/>
  <c r="M131" i="13"/>
  <c r="E129" i="21"/>
  <c r="D130" i="22" s="1"/>
  <c r="M60" i="13"/>
  <c r="E58" i="21"/>
  <c r="D59" i="22" s="1"/>
  <c r="E59" i="21"/>
  <c r="D60" i="22" s="1"/>
  <c r="M13" i="13"/>
  <c r="E11" i="21"/>
  <c r="D12" i="22" s="1"/>
  <c r="E12" i="21"/>
  <c r="D13" i="22" s="1"/>
  <c r="M268" i="13"/>
  <c r="E266" i="21"/>
  <c r="D267" i="22" s="1"/>
  <c r="M223" i="13"/>
  <c r="M222" i="13"/>
  <c r="E221" i="21"/>
  <c r="D222" i="22" s="1"/>
  <c r="M217" i="13"/>
  <c r="E215" i="21"/>
  <c r="D216" i="22" s="1"/>
  <c r="M188" i="13"/>
  <c r="E186" i="21"/>
  <c r="D187" i="22" s="1"/>
  <c r="E187" i="21"/>
  <c r="D188" i="22" s="1"/>
  <c r="M136" i="13"/>
  <c r="E135" i="21"/>
  <c r="D136" i="22" s="1"/>
  <c r="M100" i="13"/>
  <c r="E99" i="21"/>
  <c r="D100" i="22" s="1"/>
  <c r="N367" i="20"/>
  <c r="O367" i="20" s="1"/>
  <c r="P367" i="20" s="1"/>
  <c r="N369" i="20"/>
  <c r="O369" i="20" s="1"/>
  <c r="P369" i="20" s="1"/>
  <c r="N371" i="20"/>
  <c r="O371" i="20" s="1"/>
  <c r="P371" i="20" s="1"/>
  <c r="N373" i="20"/>
  <c r="O373" i="20" s="1"/>
  <c r="P373" i="20" s="1"/>
  <c r="N375" i="20"/>
  <c r="O375" i="20" s="1"/>
  <c r="P375" i="20" s="1"/>
  <c r="N377" i="20"/>
  <c r="O377" i="20" s="1"/>
  <c r="P377" i="20" s="1"/>
  <c r="N379" i="20"/>
  <c r="O379" i="20" s="1"/>
  <c r="P379" i="20" s="1"/>
  <c r="N383" i="20"/>
  <c r="O383" i="20" s="1"/>
  <c r="P383" i="20" s="1"/>
  <c r="N385" i="20"/>
  <c r="O385" i="20" s="1"/>
  <c r="P385" i="20" s="1"/>
  <c r="N387" i="20"/>
  <c r="O387" i="20" s="1"/>
  <c r="P387" i="20" s="1"/>
  <c r="N389" i="20"/>
  <c r="O389" i="20" s="1"/>
  <c r="P389" i="20" s="1"/>
  <c r="N391" i="20"/>
  <c r="O391" i="20" s="1"/>
  <c r="P391" i="20" s="1"/>
  <c r="N393" i="20"/>
  <c r="O393" i="20" s="1"/>
  <c r="P393" i="20" s="1"/>
  <c r="N395" i="20"/>
  <c r="O395" i="20" s="1"/>
  <c r="P395" i="20" s="1"/>
  <c r="N397" i="20"/>
  <c r="O397" i="20" s="1"/>
  <c r="P397" i="20" s="1"/>
  <c r="N407" i="20"/>
  <c r="O407" i="20" s="1"/>
  <c r="P407" i="20" s="1"/>
  <c r="N409" i="20"/>
  <c r="O409" i="20" s="1"/>
  <c r="P409" i="20" s="1"/>
  <c r="N411" i="20"/>
  <c r="O411" i="20" s="1"/>
  <c r="P411" i="20" s="1"/>
  <c r="N413" i="20"/>
  <c r="O413" i="20" s="1"/>
  <c r="P413" i="20" s="1"/>
  <c r="N417" i="20"/>
  <c r="O417" i="20" s="1"/>
  <c r="P417" i="20" s="1"/>
  <c r="N419" i="20"/>
  <c r="O419" i="20" s="1"/>
  <c r="P419" i="20" s="1"/>
  <c r="N421" i="20"/>
  <c r="O421" i="20" s="1"/>
  <c r="P421" i="20" s="1"/>
  <c r="N427" i="20"/>
  <c r="O427" i="20" s="1"/>
  <c r="P427" i="20" s="1"/>
  <c r="N429" i="20"/>
  <c r="O429" i="20" s="1"/>
  <c r="P429" i="20" s="1"/>
  <c r="N435" i="20"/>
  <c r="O435" i="20" s="1"/>
  <c r="P435" i="20" s="1"/>
  <c r="N437" i="20"/>
  <c r="O437" i="20" s="1"/>
  <c r="P437" i="20" s="1"/>
  <c r="N439" i="20"/>
  <c r="O439" i="20" s="1"/>
  <c r="P439" i="20" s="1"/>
  <c r="N441" i="20"/>
  <c r="O441" i="20" s="1"/>
  <c r="P441" i="20" s="1"/>
  <c r="N445" i="20"/>
  <c r="O445" i="20" s="1"/>
  <c r="P445" i="20" s="1"/>
  <c r="N447" i="20"/>
  <c r="O447" i="20" s="1"/>
  <c r="P447" i="20" s="1"/>
  <c r="N449" i="20"/>
  <c r="O449" i="20" s="1"/>
  <c r="P449" i="20" s="1"/>
  <c r="N451" i="20"/>
  <c r="O451" i="20" s="1"/>
  <c r="P451" i="20" s="1"/>
  <c r="N453" i="20"/>
  <c r="O453" i="20" s="1"/>
  <c r="P453" i="20" s="1"/>
  <c r="N455" i="20"/>
  <c r="O455" i="20" s="1"/>
  <c r="P455" i="20" s="1"/>
  <c r="N465" i="20"/>
  <c r="O465" i="20" s="1"/>
  <c r="P465" i="20" s="1"/>
  <c r="N467" i="20"/>
  <c r="O467" i="20" s="1"/>
  <c r="P467" i="20" s="1"/>
  <c r="N469" i="20"/>
  <c r="O469" i="20" s="1"/>
  <c r="P469" i="20" s="1"/>
  <c r="N475" i="20"/>
  <c r="O475" i="20" s="1"/>
  <c r="P475" i="20" s="1"/>
  <c r="N477" i="20"/>
  <c r="O477" i="20" s="1"/>
  <c r="P477" i="20" s="1"/>
  <c r="N479" i="20"/>
  <c r="O479" i="20" s="1"/>
  <c r="P479" i="20" s="1"/>
  <c r="N481" i="20"/>
  <c r="O481" i="20" s="1"/>
  <c r="P481" i="20" s="1"/>
  <c r="N483" i="20"/>
  <c r="O483" i="20" s="1"/>
  <c r="P483" i="20" s="1"/>
  <c r="N485" i="20"/>
  <c r="O485" i="20" s="1"/>
  <c r="P485" i="20" s="1"/>
  <c r="D502" i="22"/>
  <c r="E478" i="21"/>
  <c r="D479" i="22" s="1"/>
  <c r="M456" i="13"/>
  <c r="M402" i="13"/>
  <c r="N402" i="13" s="1"/>
  <c r="O402" i="13" s="1"/>
  <c r="P402" i="13" s="1"/>
  <c r="M193" i="13"/>
  <c r="E192" i="21"/>
  <c r="D193" i="22" s="1"/>
  <c r="M194" i="13"/>
  <c r="M146" i="13"/>
  <c r="E144" i="21"/>
  <c r="D145" i="22" s="1"/>
  <c r="E145" i="21"/>
  <c r="D146" i="22" s="1"/>
  <c r="M74" i="13"/>
  <c r="E73" i="21"/>
  <c r="D74" i="22" s="1"/>
  <c r="M45" i="13"/>
  <c r="E43" i="21"/>
  <c r="D44" i="22" s="1"/>
  <c r="E44" i="21"/>
  <c r="D45" i="22" s="1"/>
  <c r="M11" i="13"/>
  <c r="E110" i="21"/>
  <c r="D111" i="22" s="1"/>
  <c r="E111" i="21"/>
  <c r="D112" i="22" s="1"/>
  <c r="M80" i="13"/>
  <c r="E78" i="21"/>
  <c r="D79" i="22" s="1"/>
  <c r="M81" i="13"/>
  <c r="N486" i="13"/>
  <c r="O486" i="13" s="1"/>
  <c r="P486" i="13" s="1"/>
  <c r="M468" i="13"/>
  <c r="M465" i="13"/>
  <c r="M452" i="13"/>
  <c r="N452" i="13" s="1"/>
  <c r="O452" i="13" s="1"/>
  <c r="P452" i="13" s="1"/>
  <c r="M449" i="13"/>
  <c r="M433" i="13"/>
  <c r="N433" i="13" s="1"/>
  <c r="O433" i="13" s="1"/>
  <c r="P433" i="13" s="1"/>
  <c r="M405" i="13"/>
  <c r="M395" i="13"/>
  <c r="N395" i="13" s="1"/>
  <c r="O395" i="13" s="1"/>
  <c r="P395" i="13" s="1"/>
  <c r="M366" i="13"/>
  <c r="N345" i="13"/>
  <c r="O345" i="13" s="1"/>
  <c r="P345" i="13" s="1"/>
  <c r="M343" i="13"/>
  <c r="N343" i="13" s="1"/>
  <c r="O343" i="13" s="1"/>
  <c r="P343" i="13" s="1"/>
  <c r="M325" i="13"/>
  <c r="M314" i="13"/>
  <c r="M260" i="13"/>
  <c r="M254" i="13"/>
  <c r="M229" i="13"/>
  <c r="M159" i="13"/>
  <c r="N156" i="13"/>
  <c r="O156" i="13" s="1"/>
  <c r="P156" i="13" s="1"/>
  <c r="N156" i="16" s="1"/>
  <c r="M139" i="13"/>
  <c r="M134" i="13"/>
  <c r="M126" i="13"/>
  <c r="M58" i="13"/>
  <c r="M43" i="13"/>
  <c r="M484" i="13"/>
  <c r="N484" i="13" s="1"/>
  <c r="O484" i="13" s="1"/>
  <c r="P484" i="13" s="1"/>
  <c r="M398" i="13"/>
  <c r="N398" i="13" s="1"/>
  <c r="O398" i="13" s="1"/>
  <c r="P398" i="13" s="1"/>
  <c r="M392" i="13"/>
  <c r="N392" i="13" s="1"/>
  <c r="O392" i="13" s="1"/>
  <c r="P392" i="13" s="1"/>
  <c r="M375" i="13"/>
  <c r="N375" i="13" s="1"/>
  <c r="O375" i="13" s="1"/>
  <c r="P375" i="13" s="1"/>
  <c r="M349" i="13"/>
  <c r="N349" i="13" s="1"/>
  <c r="O349" i="13" s="1"/>
  <c r="P349" i="13" s="1"/>
  <c r="M311" i="13"/>
  <c r="M308" i="13"/>
  <c r="M289" i="13"/>
  <c r="N289" i="13" s="1"/>
  <c r="O289" i="13" s="1"/>
  <c r="P289" i="13" s="1"/>
  <c r="N285" i="13"/>
  <c r="O285" i="13" s="1"/>
  <c r="P285" i="13" s="1"/>
  <c r="J285" i="24" s="1"/>
  <c r="N265" i="13"/>
  <c r="O265" i="13" s="1"/>
  <c r="P265" i="13" s="1"/>
  <c r="M257" i="13"/>
  <c r="N257" i="13" s="1"/>
  <c r="O257" i="13" s="1"/>
  <c r="P257" i="13" s="1"/>
  <c r="M243" i="13"/>
  <c r="M215" i="13"/>
  <c r="M179" i="13"/>
  <c r="M163" i="13"/>
  <c r="M147" i="13"/>
  <c r="M142" i="13"/>
  <c r="M129" i="13"/>
  <c r="N129" i="13" s="1"/>
  <c r="O129" i="13" s="1"/>
  <c r="P129" i="13" s="1"/>
  <c r="M118" i="13"/>
  <c r="M108" i="13"/>
  <c r="M98" i="13"/>
  <c r="M87" i="13"/>
  <c r="M84" i="13"/>
  <c r="M50" i="13"/>
  <c r="N491" i="13"/>
  <c r="O491" i="13" s="1"/>
  <c r="P491" i="13" s="1"/>
  <c r="M459" i="13"/>
  <c r="M421" i="13"/>
  <c r="N421" i="13" s="1"/>
  <c r="O421" i="13" s="1"/>
  <c r="P421" i="13" s="1"/>
  <c r="M412" i="13"/>
  <c r="M320" i="13"/>
  <c r="M317" i="13"/>
  <c r="M302" i="13"/>
  <c r="N302" i="13" s="1"/>
  <c r="O302" i="13" s="1"/>
  <c r="P302" i="13" s="1"/>
  <c r="M283" i="13"/>
  <c r="M263" i="13"/>
  <c r="M235" i="13"/>
  <c r="M189" i="13"/>
  <c r="M137" i="13"/>
  <c r="N137" i="13" s="1"/>
  <c r="O137" i="13" s="1"/>
  <c r="P137" i="13" s="1"/>
  <c r="N123" i="13"/>
  <c r="O123" i="13" s="1"/>
  <c r="P123" i="13" s="1"/>
  <c r="M121" i="13"/>
  <c r="M113" i="13"/>
  <c r="N113" i="13" s="1"/>
  <c r="O113" i="13" s="1"/>
  <c r="P113" i="13" s="1"/>
  <c r="M75" i="13"/>
  <c r="M46" i="13"/>
  <c r="M30" i="13"/>
  <c r="M14" i="13"/>
  <c r="N385" i="13"/>
  <c r="O385" i="13" s="1"/>
  <c r="P385" i="13" s="1"/>
  <c r="M362" i="13"/>
  <c r="N362" i="13" s="1"/>
  <c r="O362" i="13" s="1"/>
  <c r="P362" i="13" s="1"/>
  <c r="M341" i="13"/>
  <c r="M295" i="13"/>
  <c r="M287" i="13"/>
  <c r="M275" i="13"/>
  <c r="M249" i="13"/>
  <c r="N249" i="13" s="1"/>
  <c r="O249" i="13" s="1"/>
  <c r="P249" i="13" s="1"/>
  <c r="M207" i="13"/>
  <c r="N207" i="13" s="1"/>
  <c r="O207" i="13" s="1"/>
  <c r="P207" i="13" s="1"/>
  <c r="N207" i="16" s="1"/>
  <c r="M197" i="13"/>
  <c r="M187" i="13"/>
  <c r="N149" i="13"/>
  <c r="O149" i="13" s="1"/>
  <c r="P149" i="13" s="1"/>
  <c r="M106" i="13"/>
  <c r="N106" i="13" s="1"/>
  <c r="O106" i="13" s="1"/>
  <c r="P106" i="13" s="1"/>
  <c r="M101" i="13"/>
  <c r="N101" i="13" s="1"/>
  <c r="O101" i="13" s="1"/>
  <c r="P101" i="13" s="1"/>
  <c r="M53" i="13"/>
  <c r="M37" i="13"/>
  <c r="M21" i="13"/>
  <c r="M161" i="13"/>
  <c r="N161" i="13" s="1"/>
  <c r="O161" i="13" s="1"/>
  <c r="P161" i="13" s="1"/>
  <c r="M122" i="13"/>
  <c r="M422" i="13"/>
  <c r="N422" i="13" s="1"/>
  <c r="O422" i="13" s="1"/>
  <c r="P422" i="13" s="1"/>
  <c r="M416" i="13"/>
  <c r="M407" i="13"/>
  <c r="M400" i="13"/>
  <c r="N400" i="13" s="1"/>
  <c r="O400" i="13" s="1"/>
  <c r="P400" i="13" s="1"/>
  <c r="M384" i="13"/>
  <c r="N384" i="13" s="1"/>
  <c r="O384" i="13" s="1"/>
  <c r="P384" i="13" s="1"/>
  <c r="M359" i="13"/>
  <c r="N359" i="13" s="1"/>
  <c r="O359" i="13" s="1"/>
  <c r="P359" i="13" s="1"/>
  <c r="M348" i="13"/>
  <c r="M336" i="13"/>
  <c r="M327" i="13"/>
  <c r="N306" i="13"/>
  <c r="O306" i="13" s="1"/>
  <c r="P306" i="13" s="1"/>
  <c r="M279" i="13"/>
  <c r="M273" i="13"/>
  <c r="M267" i="13"/>
  <c r="N267" i="13" s="1"/>
  <c r="O267" i="13" s="1"/>
  <c r="P267" i="13" s="1"/>
  <c r="M250" i="13"/>
  <c r="M233" i="13"/>
  <c r="M151" i="13"/>
  <c r="M114" i="13"/>
  <c r="M93" i="13"/>
  <c r="M76" i="13"/>
  <c r="M71" i="13"/>
  <c r="N71" i="13" s="1"/>
  <c r="O71" i="13" s="1"/>
  <c r="P71" i="13" s="1"/>
  <c r="M68" i="13"/>
  <c r="M62" i="13"/>
  <c r="M477" i="13"/>
  <c r="N477" i="13" s="1"/>
  <c r="O477" i="13" s="1"/>
  <c r="P477" i="13" s="1"/>
  <c r="M397" i="13"/>
  <c r="M304" i="13"/>
  <c r="N304" i="13" s="1"/>
  <c r="O304" i="13" s="1"/>
  <c r="P304" i="13" s="1"/>
  <c r="M242" i="13"/>
  <c r="N242" i="13" s="1"/>
  <c r="O242" i="13" s="1"/>
  <c r="P242" i="13" s="1"/>
  <c r="M225" i="13"/>
  <c r="M219" i="13"/>
  <c r="H50" i="21"/>
  <c r="N89" i="13"/>
  <c r="O89" i="13" s="1"/>
  <c r="P89" i="13" s="1"/>
  <c r="N502" i="13"/>
  <c r="O502" i="13" s="1"/>
  <c r="P502" i="13" s="1"/>
  <c r="N224" i="13"/>
  <c r="O224" i="13" s="1"/>
  <c r="P224" i="13" s="1"/>
  <c r="N169" i="13"/>
  <c r="O169" i="13" s="1"/>
  <c r="P169" i="13" s="1"/>
  <c r="AA18" i="13"/>
  <c r="V27" i="18"/>
  <c r="W27" i="18" s="1"/>
  <c r="V11" i="18"/>
  <c r="W11" i="18" s="1"/>
  <c r="V13" i="18"/>
  <c r="W13" i="18" s="1"/>
  <c r="V12" i="18"/>
  <c r="W12" i="18" s="1"/>
  <c r="V5" i="18"/>
  <c r="W5" i="18" s="1"/>
  <c r="V20" i="18"/>
  <c r="W20" i="18" s="1"/>
  <c r="V23" i="18"/>
  <c r="W23" i="18" s="1"/>
  <c r="V7" i="18"/>
  <c r="W7" i="18" s="1"/>
  <c r="V8" i="18"/>
  <c r="W8" i="18" s="1"/>
  <c r="V6" i="18"/>
  <c r="W6" i="18" s="1"/>
  <c r="V16" i="18"/>
  <c r="W16" i="18" s="1"/>
  <c r="V10" i="18"/>
  <c r="W10" i="18" s="1"/>
  <c r="V19" i="18"/>
  <c r="W19" i="18" s="1"/>
  <c r="V24" i="18"/>
  <c r="W24" i="18" s="1"/>
  <c r="V22" i="18"/>
  <c r="W22" i="18" s="1"/>
  <c r="V14" i="18"/>
  <c r="W14" i="18" s="1"/>
  <c r="V26" i="18"/>
  <c r="W26" i="18" s="1"/>
  <c r="V21" i="18"/>
  <c r="W21" i="18" s="1"/>
  <c r="T10" i="16"/>
  <c r="U10" i="16" s="1"/>
  <c r="T12" i="16"/>
  <c r="U12" i="16" s="1"/>
  <c r="V25" i="18"/>
  <c r="W25" i="18" s="1"/>
  <c r="V15" i="18"/>
  <c r="W15" i="18" s="1"/>
  <c r="T24" i="16"/>
  <c r="U24" i="16" s="1"/>
  <c r="T8" i="16"/>
  <c r="U8" i="16" s="1"/>
  <c r="T22" i="16"/>
  <c r="U22" i="16" s="1"/>
  <c r="T6" i="16"/>
  <c r="U6" i="16" s="1"/>
  <c r="T15" i="16"/>
  <c r="U15" i="16" s="1"/>
  <c r="T16" i="16"/>
  <c r="U16" i="16" s="1"/>
  <c r="T17" i="16"/>
  <c r="U17" i="16" s="1"/>
  <c r="T7" i="16"/>
  <c r="U7" i="16" s="1"/>
  <c r="T18" i="16"/>
  <c r="U18" i="16" s="1"/>
  <c r="T25" i="16"/>
  <c r="U25" i="16" s="1"/>
  <c r="T20" i="16"/>
  <c r="U20" i="16" s="1"/>
  <c r="T23" i="16"/>
  <c r="U23" i="16" s="1"/>
  <c r="T13" i="16"/>
  <c r="U13" i="16" s="1"/>
  <c r="T14" i="16"/>
  <c r="U14" i="16" s="1"/>
  <c r="T21" i="16"/>
  <c r="U21" i="16" s="1"/>
  <c r="T5" i="16"/>
  <c r="U5" i="16" s="1"/>
  <c r="T26" i="16"/>
  <c r="U26" i="16" s="1"/>
  <c r="T27" i="16"/>
  <c r="U27" i="16" s="1"/>
  <c r="V17" i="18"/>
  <c r="W17" i="18" s="1"/>
  <c r="T9" i="16"/>
  <c r="U9" i="16" s="1"/>
  <c r="V9" i="18"/>
  <c r="W9" i="18" s="1"/>
  <c r="V440" i="20"/>
  <c r="V461" i="20"/>
  <c r="P9" i="10"/>
  <c r="Q9" i="10" s="1"/>
  <c r="P25" i="10"/>
  <c r="Q25" i="10" s="1"/>
  <c r="P18" i="10"/>
  <c r="Q18" i="10" s="1"/>
  <c r="P11" i="10"/>
  <c r="Q11" i="10" s="1"/>
  <c r="P27" i="10"/>
  <c r="Q27" i="10" s="1"/>
  <c r="P20" i="10"/>
  <c r="Q20" i="10" s="1"/>
  <c r="Q3" i="20"/>
  <c r="V387" i="20"/>
  <c r="V451" i="20"/>
  <c r="V428" i="20"/>
  <c r="V426" i="20"/>
  <c r="V452" i="20"/>
  <c r="V382" i="20"/>
  <c r="V502" i="20"/>
  <c r="V417" i="20"/>
  <c r="V496" i="20"/>
  <c r="V410" i="20"/>
  <c r="V441" i="20"/>
  <c r="V411" i="20"/>
  <c r="V475" i="20"/>
  <c r="V486" i="20"/>
  <c r="V401" i="20"/>
  <c r="V480" i="20"/>
  <c r="V394" i="20"/>
  <c r="V470" i="20"/>
  <c r="V385" i="20"/>
  <c r="V469" i="20"/>
  <c r="V384" i="20"/>
  <c r="V484" i="20"/>
  <c r="V414" i="20"/>
  <c r="V431" i="20"/>
  <c r="V495" i="20"/>
  <c r="V454" i="20"/>
  <c r="V442" i="20"/>
  <c r="V468" i="20"/>
  <c r="V398" i="20"/>
  <c r="V437" i="20"/>
  <c r="V457" i="20"/>
  <c r="V388" i="20"/>
  <c r="P17" i="10"/>
  <c r="Q17" i="10" s="1"/>
  <c r="P10" i="10"/>
  <c r="Q10" i="10" s="1"/>
  <c r="P26" i="10"/>
  <c r="Q26" i="10" s="1"/>
  <c r="P19" i="10"/>
  <c r="Q19" i="10" s="1"/>
  <c r="P12" i="10"/>
  <c r="Q12" i="10" s="1"/>
  <c r="V305" i="20"/>
  <c r="V220" i="20"/>
  <c r="V322" i="20"/>
  <c r="V424" i="20"/>
  <c r="V450" i="20"/>
  <c r="V477" i="20"/>
  <c r="V144" i="20"/>
  <c r="V314" i="20"/>
  <c r="V418" i="20"/>
  <c r="N27" i="20"/>
  <c r="O27" i="20" s="1"/>
  <c r="P27" i="20" s="1"/>
  <c r="N45" i="20"/>
  <c r="O45" i="20" s="1"/>
  <c r="P45" i="20" s="1"/>
  <c r="N63" i="20"/>
  <c r="O63" i="20" s="1"/>
  <c r="P63" i="20" s="1"/>
  <c r="N91" i="20"/>
  <c r="O91" i="20" s="1"/>
  <c r="P91" i="20" s="1"/>
  <c r="N163" i="20"/>
  <c r="O163" i="20" s="1"/>
  <c r="P163" i="20" s="1"/>
  <c r="V483" i="20"/>
  <c r="V419" i="20"/>
  <c r="V355" i="20"/>
  <c r="V176" i="20"/>
  <c r="V315" i="20"/>
  <c r="V504" i="20"/>
  <c r="V229" i="20"/>
  <c r="V498" i="20"/>
  <c r="V304" i="20"/>
  <c r="V472" i="20"/>
  <c r="V251" i="20"/>
  <c r="V445" i="20"/>
  <c r="V197" i="20"/>
  <c r="V54" i="20"/>
  <c r="V86" i="20"/>
  <c r="V118" i="20"/>
  <c r="V150" i="20"/>
  <c r="V182" i="20"/>
  <c r="V214" i="20"/>
  <c r="V246" i="20"/>
  <c r="V278" i="20"/>
  <c r="V310" i="20"/>
  <c r="V342" i="20"/>
  <c r="V44" i="20"/>
  <c r="V87" i="20"/>
  <c r="V129" i="20"/>
  <c r="V172" i="20"/>
  <c r="V215" i="20"/>
  <c r="V257" i="20"/>
  <c r="V300" i="20"/>
  <c r="V343" i="20"/>
  <c r="V375" i="20"/>
  <c r="V407" i="20"/>
  <c r="V439" i="20"/>
  <c r="V471" i="20"/>
  <c r="V503" i="20"/>
  <c r="V45" i="20"/>
  <c r="V88" i="20"/>
  <c r="V131" i="20"/>
  <c r="V173" i="20"/>
  <c r="V216" i="20"/>
  <c r="V259" i="20"/>
  <c r="V301" i="20"/>
  <c r="V344" i="20"/>
  <c r="V476" i="20"/>
  <c r="V433" i="20"/>
  <c r="V390" i="20"/>
  <c r="V345" i="20"/>
  <c r="V260" i="20"/>
  <c r="V175" i="20"/>
  <c r="V89" i="20"/>
  <c r="V501" i="20"/>
  <c r="V458" i="20"/>
  <c r="V416" i="20"/>
  <c r="V373" i="20"/>
  <c r="V309" i="20"/>
  <c r="V224" i="20"/>
  <c r="V139" i="20"/>
  <c r="V53" i="20"/>
  <c r="V489" i="20"/>
  <c r="V446" i="20"/>
  <c r="V404" i="20"/>
  <c r="V361" i="20"/>
  <c r="V287" i="20"/>
  <c r="V201" i="20"/>
  <c r="V116" i="20"/>
  <c r="V31" i="20"/>
  <c r="V101" i="20"/>
  <c r="V354" i="20"/>
  <c r="V392" i="20"/>
  <c r="V91" i="20"/>
  <c r="V365" i="20"/>
  <c r="V37" i="20"/>
  <c r="V325" i="20"/>
  <c r="V42" i="20"/>
  <c r="V74" i="20"/>
  <c r="V106" i="20"/>
  <c r="V138" i="20"/>
  <c r="V170" i="20"/>
  <c r="V202" i="20"/>
  <c r="V234" i="20"/>
  <c r="V266" i="20"/>
  <c r="V298" i="20"/>
  <c r="V330" i="20"/>
  <c r="V71" i="20"/>
  <c r="V113" i="20"/>
  <c r="V156" i="20"/>
  <c r="V199" i="20"/>
  <c r="V241" i="20"/>
  <c r="V284" i="20"/>
  <c r="V327" i="20"/>
  <c r="V363" i="20"/>
  <c r="V395" i="20"/>
  <c r="V427" i="20"/>
  <c r="V459" i="20"/>
  <c r="V491" i="20"/>
  <c r="V72" i="20"/>
  <c r="V115" i="20"/>
  <c r="V157" i="20"/>
  <c r="V200" i="20"/>
  <c r="V243" i="20"/>
  <c r="V285" i="20"/>
  <c r="V328" i="20"/>
  <c r="V492" i="20"/>
  <c r="V449" i="20"/>
  <c r="V406" i="20"/>
  <c r="V364" i="20"/>
  <c r="V292" i="20"/>
  <c r="V207" i="20"/>
  <c r="V121" i="20"/>
  <c r="V36" i="20"/>
  <c r="V474" i="20"/>
  <c r="V432" i="20"/>
  <c r="V389" i="20"/>
  <c r="V341" i="20"/>
  <c r="V256" i="20"/>
  <c r="V171" i="20"/>
  <c r="V85" i="20"/>
  <c r="V462" i="20"/>
  <c r="V420" i="20"/>
  <c r="V377" i="20"/>
  <c r="V319" i="20"/>
  <c r="V233" i="20"/>
  <c r="V148" i="20"/>
  <c r="V63" i="20"/>
  <c r="V376" i="20"/>
  <c r="V346" i="20"/>
  <c r="V493" i="20"/>
  <c r="V293" i="20"/>
  <c r="V466" i="20"/>
  <c r="V240" i="20"/>
  <c r="V50" i="20"/>
  <c r="V82" i="20"/>
  <c r="V114" i="20"/>
  <c r="V146" i="20"/>
  <c r="V178" i="20"/>
  <c r="V210" i="20"/>
  <c r="V242" i="20"/>
  <c r="V274" i="20"/>
  <c r="V306" i="20"/>
  <c r="V338" i="20"/>
  <c r="V39" i="20"/>
  <c r="V81" i="20"/>
  <c r="V124" i="20"/>
  <c r="V167" i="20"/>
  <c r="V209" i="20"/>
  <c r="V252" i="20"/>
  <c r="V295" i="20"/>
  <c r="V337" i="20"/>
  <c r="V371" i="20"/>
  <c r="V403" i="20"/>
  <c r="V435" i="20"/>
  <c r="V467" i="20"/>
  <c r="V499" i="20"/>
  <c r="V40" i="20"/>
  <c r="V83" i="20"/>
  <c r="V125" i="20"/>
  <c r="V168" i="20"/>
  <c r="V211" i="20"/>
  <c r="V253" i="20"/>
  <c r="V296" i="20"/>
  <c r="V339" i="20"/>
  <c r="V481" i="20"/>
  <c r="V438" i="20"/>
  <c r="V396" i="20"/>
  <c r="V353" i="20"/>
  <c r="V271" i="20"/>
  <c r="V185" i="20"/>
  <c r="V100" i="20"/>
  <c r="V464" i="20"/>
  <c r="V421" i="20"/>
  <c r="V378" i="20"/>
  <c r="V320" i="20"/>
  <c r="V235" i="20"/>
  <c r="V149" i="20"/>
  <c r="V334" i="20"/>
  <c r="V270" i="20"/>
  <c r="V206" i="20"/>
  <c r="V9" i="20"/>
  <c r="V95" i="20"/>
  <c r="V180" i="20"/>
  <c r="V265" i="20"/>
  <c r="V349" i="20"/>
  <c r="V393" i="20"/>
  <c r="V436" i="20"/>
  <c r="V478" i="20"/>
  <c r="V32" i="20"/>
  <c r="V117" i="20"/>
  <c r="V203" i="20"/>
  <c r="V288" i="20"/>
  <c r="V362" i="20"/>
  <c r="V405" i="20"/>
  <c r="V448" i="20"/>
  <c r="V490" i="20"/>
  <c r="V68" i="20"/>
  <c r="V153" i="20"/>
  <c r="V239" i="20"/>
  <c r="V324" i="20"/>
  <c r="V380" i="20"/>
  <c r="V422" i="20"/>
  <c r="V465" i="20"/>
  <c r="V352" i="20"/>
  <c r="V312" i="20"/>
  <c r="V269" i="20"/>
  <c r="V227" i="20"/>
  <c r="V184" i="20"/>
  <c r="V141" i="20"/>
  <c r="V99" i="20"/>
  <c r="V56" i="20"/>
  <c r="V13" i="20"/>
  <c r="V479" i="20"/>
  <c r="V447" i="20"/>
  <c r="V415" i="20"/>
  <c r="V383" i="20"/>
  <c r="V351" i="20"/>
  <c r="V311" i="20"/>
  <c r="V268" i="20"/>
  <c r="V225" i="20"/>
  <c r="V183" i="20"/>
  <c r="V140" i="20"/>
  <c r="V97" i="20"/>
  <c r="V55" i="20"/>
  <c r="V12" i="20"/>
  <c r="V318" i="20"/>
  <c r="V286" i="20"/>
  <c r="V254" i="20"/>
  <c r="V222" i="20"/>
  <c r="V190" i="20"/>
  <c r="V158" i="20"/>
  <c r="V126" i="20"/>
  <c r="V94" i="20"/>
  <c r="V62" i="20"/>
  <c r="V30" i="20"/>
  <c r="V112" i="20"/>
  <c r="V402" i="20"/>
  <c r="V165" i="20"/>
  <c r="V429" i="20"/>
  <c r="V219" i="20"/>
  <c r="V456" i="20"/>
  <c r="V482" i="20"/>
  <c r="R13" i="23"/>
  <c r="R11" i="23"/>
  <c r="R9" i="23"/>
  <c r="R7" i="23"/>
  <c r="R5" i="23"/>
  <c r="P13" i="23"/>
  <c r="J11" i="23"/>
  <c r="K11" i="23" s="1"/>
  <c r="P10" i="23"/>
  <c r="L7" i="23"/>
  <c r="M7" i="23" s="1"/>
  <c r="R6" i="23"/>
  <c r="L4" i="23"/>
  <c r="M4" i="23" s="1"/>
  <c r="L13" i="23"/>
  <c r="M13" i="23" s="1"/>
  <c r="R12" i="23"/>
  <c r="L10" i="23"/>
  <c r="M10" i="23" s="1"/>
  <c r="J13" i="23"/>
  <c r="K13" i="23" s="1"/>
  <c r="P12" i="23"/>
  <c r="L9" i="23"/>
  <c r="M9" i="23" s="1"/>
  <c r="R8" i="23"/>
  <c r="L6" i="23"/>
  <c r="M6" i="23" s="1"/>
  <c r="L12" i="23"/>
  <c r="M12" i="23" s="1"/>
  <c r="J6" i="23"/>
  <c r="K6" i="23" s="1"/>
  <c r="P5" i="23"/>
  <c r="J4" i="23"/>
  <c r="K4" i="23" s="1"/>
  <c r="P7" i="23"/>
  <c r="P8" i="23"/>
  <c r="P9" i="23"/>
  <c r="R4" i="23"/>
  <c r="H4" i="22"/>
  <c r="H5" i="22" s="1"/>
  <c r="H6" i="22" s="1"/>
  <c r="H7" i="22" s="1"/>
  <c r="H8" i="22" s="1"/>
  <c r="H9" i="22" s="1"/>
  <c r="H10" i="22" s="1"/>
  <c r="H11" i="22" s="1"/>
  <c r="H12" i="22" s="1"/>
  <c r="H13" i="22" s="1"/>
  <c r="H14" i="22" s="1"/>
  <c r="H15" i="22" s="1"/>
  <c r="H16" i="22" s="1"/>
  <c r="H17" i="22" s="1"/>
  <c r="H18" i="22" s="1"/>
  <c r="H19" i="22" s="1"/>
  <c r="H20" i="22" s="1"/>
  <c r="H21" i="22" s="1"/>
  <c r="H22" i="22" s="1"/>
  <c r="H23" i="22" s="1"/>
  <c r="H24" i="22" s="1"/>
  <c r="H25" i="22" s="1"/>
  <c r="H26" i="22" s="1"/>
  <c r="H27" i="22" s="1"/>
  <c r="H28" i="22" s="1"/>
  <c r="H29" i="22" s="1"/>
  <c r="H30" i="22" s="1"/>
  <c r="H31" i="22" s="1"/>
  <c r="H32" i="22" s="1"/>
  <c r="H33" i="22" s="1"/>
  <c r="H34" i="22" s="1"/>
  <c r="H35" i="22" s="1"/>
  <c r="H36" i="22" s="1"/>
  <c r="H37" i="22" s="1"/>
  <c r="H38" i="22" s="1"/>
  <c r="H39" i="22" s="1"/>
  <c r="H40" i="22" s="1"/>
  <c r="H41" i="22" s="1"/>
  <c r="H42" i="22" s="1"/>
  <c r="H43" i="22" s="1"/>
  <c r="H44" i="22" s="1"/>
  <c r="H45" i="22" s="1"/>
  <c r="H46" i="22" s="1"/>
  <c r="H47" i="22" s="1"/>
  <c r="H48" i="22" s="1"/>
  <c r="H49" i="22" s="1"/>
  <c r="H50" i="22" s="1"/>
  <c r="H51" i="22" s="1"/>
  <c r="H52" i="22" s="1"/>
  <c r="H53" i="22" s="1"/>
  <c r="H54" i="22" s="1"/>
  <c r="H55" i="22" s="1"/>
  <c r="H56" i="22" s="1"/>
  <c r="H57" i="22" s="1"/>
  <c r="H58" i="22" s="1"/>
  <c r="H59" i="22" s="1"/>
  <c r="H60" i="22" s="1"/>
  <c r="H61" i="22" s="1"/>
  <c r="H62" i="22" s="1"/>
  <c r="H63" i="22" s="1"/>
  <c r="H64" i="22" s="1"/>
  <c r="H65" i="22" s="1"/>
  <c r="H66" i="22" s="1"/>
  <c r="H67" i="22" s="1"/>
  <c r="H68" i="22" s="1"/>
  <c r="H69" i="22" s="1"/>
  <c r="H70" i="22" s="1"/>
  <c r="H71" i="22" s="1"/>
  <c r="H72" i="22" s="1"/>
  <c r="H73" i="22" s="1"/>
  <c r="H74" i="22" s="1"/>
  <c r="H75" i="22" s="1"/>
  <c r="H76" i="22" s="1"/>
  <c r="H77" i="22" s="1"/>
  <c r="H78" i="22" s="1"/>
  <c r="H79" i="22" s="1"/>
  <c r="H80" i="22" s="1"/>
  <c r="H81" i="22" s="1"/>
  <c r="H82" i="22" s="1"/>
  <c r="H83" i="22" s="1"/>
  <c r="H84" i="22" s="1"/>
  <c r="H85" i="22" s="1"/>
  <c r="H86" i="22" s="1"/>
  <c r="H87" i="22" s="1"/>
  <c r="H88" i="22" s="1"/>
  <c r="H89" i="22" s="1"/>
  <c r="H90" i="22" s="1"/>
  <c r="H91" i="22" s="1"/>
  <c r="H92" i="22" s="1"/>
  <c r="H93" i="22" s="1"/>
  <c r="H94" i="22" s="1"/>
  <c r="H95" i="22" s="1"/>
  <c r="H96" i="22" s="1"/>
  <c r="H97" i="22" s="1"/>
  <c r="H98" i="22" s="1"/>
  <c r="H99" i="22" s="1"/>
  <c r="H100" i="22" s="1"/>
  <c r="H101" i="22" s="1"/>
  <c r="H102" i="22" s="1"/>
  <c r="H103" i="22" s="1"/>
  <c r="H104" i="22" s="1"/>
  <c r="H105" i="22" s="1"/>
  <c r="H106" i="22" s="1"/>
  <c r="H107" i="22" s="1"/>
  <c r="H108" i="22" s="1"/>
  <c r="H109" i="22" s="1"/>
  <c r="H110" i="22" s="1"/>
  <c r="H111" i="22" s="1"/>
  <c r="H112" i="22" s="1"/>
  <c r="H113" i="22" s="1"/>
  <c r="H114" i="22" s="1"/>
  <c r="H115" i="22" s="1"/>
  <c r="H116" i="22" s="1"/>
  <c r="H117" i="22" s="1"/>
  <c r="H118" i="22" s="1"/>
  <c r="H119" i="22" s="1"/>
  <c r="H120" i="22" s="1"/>
  <c r="H121" i="22" s="1"/>
  <c r="H122" i="22" s="1"/>
  <c r="H123" i="22" s="1"/>
  <c r="H124" i="22" s="1"/>
  <c r="H125" i="22" s="1"/>
  <c r="H126" i="22" s="1"/>
  <c r="H127" i="22" s="1"/>
  <c r="H128" i="22" s="1"/>
  <c r="H129" i="22" s="1"/>
  <c r="H130" i="22" s="1"/>
  <c r="H131" i="22" s="1"/>
  <c r="H132" i="22" s="1"/>
  <c r="H133" i="22" s="1"/>
  <c r="H134" i="22" s="1"/>
  <c r="H135" i="22" s="1"/>
  <c r="H136" i="22" s="1"/>
  <c r="H137" i="22" s="1"/>
  <c r="H138" i="22" s="1"/>
  <c r="H139" i="22" s="1"/>
  <c r="H140" i="22" s="1"/>
  <c r="H141" i="22" s="1"/>
  <c r="H142" i="22" s="1"/>
  <c r="H143" i="22" s="1"/>
  <c r="H144" i="22" s="1"/>
  <c r="H145" i="22" s="1"/>
  <c r="H146" i="22" s="1"/>
  <c r="H147" i="22" s="1"/>
  <c r="H148" i="22" s="1"/>
  <c r="H149" i="22" s="1"/>
  <c r="H150" i="22" s="1"/>
  <c r="H151" i="22" s="1"/>
  <c r="H152" i="22" s="1"/>
  <c r="H153" i="22" s="1"/>
  <c r="H154" i="22" s="1"/>
  <c r="H155" i="22" s="1"/>
  <c r="H156" i="22" s="1"/>
  <c r="H157" i="22" s="1"/>
  <c r="H158" i="22" s="1"/>
  <c r="H159" i="22" s="1"/>
  <c r="H160" i="22" s="1"/>
  <c r="H161" i="22" s="1"/>
  <c r="H162" i="22" s="1"/>
  <c r="H163" i="22" s="1"/>
  <c r="H164" i="22" s="1"/>
  <c r="H165" i="22" s="1"/>
  <c r="H166" i="22" s="1"/>
  <c r="H167" i="22" s="1"/>
  <c r="H168" i="22" s="1"/>
  <c r="H169" i="22" s="1"/>
  <c r="H170" i="22" s="1"/>
  <c r="H171" i="22" s="1"/>
  <c r="H172" i="22" s="1"/>
  <c r="H173" i="22" s="1"/>
  <c r="H174" i="22" s="1"/>
  <c r="H175" i="22" s="1"/>
  <c r="H176" i="22" s="1"/>
  <c r="H177" i="22" s="1"/>
  <c r="H178" i="22" s="1"/>
  <c r="H179" i="22" s="1"/>
  <c r="H180" i="22" s="1"/>
  <c r="H181" i="22" s="1"/>
  <c r="H182" i="22" s="1"/>
  <c r="H183" i="22" s="1"/>
  <c r="H184" i="22" s="1"/>
  <c r="H185" i="22" s="1"/>
  <c r="H186" i="22" s="1"/>
  <c r="H187" i="22" s="1"/>
  <c r="H188" i="22" s="1"/>
  <c r="H189" i="22" s="1"/>
  <c r="H190" i="22" s="1"/>
  <c r="H191" i="22" s="1"/>
  <c r="H192" i="22" s="1"/>
  <c r="H193" i="22" s="1"/>
  <c r="H194" i="22" s="1"/>
  <c r="H195" i="22" s="1"/>
  <c r="H196" i="22" s="1"/>
  <c r="H197" i="22" s="1"/>
  <c r="H198" i="22" s="1"/>
  <c r="H199" i="22" s="1"/>
  <c r="H200" i="22" s="1"/>
  <c r="H201" i="22" s="1"/>
  <c r="H202" i="22" s="1"/>
  <c r="H203" i="22" s="1"/>
  <c r="H204" i="22" s="1"/>
  <c r="H205" i="22" s="1"/>
  <c r="H206" i="22" s="1"/>
  <c r="H207" i="22" s="1"/>
  <c r="H208" i="22" s="1"/>
  <c r="H209" i="22" s="1"/>
  <c r="H210" i="22" s="1"/>
  <c r="H211" i="22" s="1"/>
  <c r="H212" i="22" s="1"/>
  <c r="H213" i="22" s="1"/>
  <c r="H214" i="22" s="1"/>
  <c r="H215" i="22" s="1"/>
  <c r="H216" i="22" s="1"/>
  <c r="H217" i="22" s="1"/>
  <c r="H218" i="22" s="1"/>
  <c r="H219" i="22" s="1"/>
  <c r="H220" i="22" s="1"/>
  <c r="H221" i="22" s="1"/>
  <c r="H222" i="22" s="1"/>
  <c r="H223" i="22" s="1"/>
  <c r="H224" i="22" s="1"/>
  <c r="H225" i="22" s="1"/>
  <c r="H226" i="22" s="1"/>
  <c r="H227" i="22" s="1"/>
  <c r="H228" i="22" s="1"/>
  <c r="H229" i="22" s="1"/>
  <c r="H230" i="22" s="1"/>
  <c r="H231" i="22" s="1"/>
  <c r="H232" i="22" s="1"/>
  <c r="H233" i="22" s="1"/>
  <c r="H234" i="22" s="1"/>
  <c r="H235" i="22" s="1"/>
  <c r="H236" i="22" s="1"/>
  <c r="H237" i="22" s="1"/>
  <c r="H238" i="22" s="1"/>
  <c r="H239" i="22" s="1"/>
  <c r="H240" i="22" s="1"/>
  <c r="H241" i="22" s="1"/>
  <c r="H242" i="22" s="1"/>
  <c r="H243" i="22" s="1"/>
  <c r="H244" i="22" s="1"/>
  <c r="H245" i="22" s="1"/>
  <c r="H246" i="22" s="1"/>
  <c r="H247" i="22" s="1"/>
  <c r="H248" i="22" s="1"/>
  <c r="H249" i="22" s="1"/>
  <c r="H250" i="22" s="1"/>
  <c r="H251" i="22" s="1"/>
  <c r="H252" i="22" s="1"/>
  <c r="H253" i="22" s="1"/>
  <c r="H254" i="22" s="1"/>
  <c r="H255" i="22" s="1"/>
  <c r="H256" i="22" s="1"/>
  <c r="H257" i="22" s="1"/>
  <c r="H258" i="22" s="1"/>
  <c r="H259" i="22" s="1"/>
  <c r="H260" i="22" s="1"/>
  <c r="H261" i="22" s="1"/>
  <c r="H262" i="22" s="1"/>
  <c r="H263" i="22" s="1"/>
  <c r="H264" i="22" s="1"/>
  <c r="H265" i="22" s="1"/>
  <c r="H266" i="22" s="1"/>
  <c r="H267" i="22" s="1"/>
  <c r="H268" i="22" s="1"/>
  <c r="H269" i="22" s="1"/>
  <c r="H270" i="22" s="1"/>
  <c r="H271" i="22" s="1"/>
  <c r="H272" i="22" s="1"/>
  <c r="H273" i="22" s="1"/>
  <c r="H274" i="22" s="1"/>
  <c r="H275" i="22" s="1"/>
  <c r="H276" i="22" s="1"/>
  <c r="H277" i="22" s="1"/>
  <c r="H278" i="22" s="1"/>
  <c r="H279" i="22" s="1"/>
  <c r="H280" i="22" s="1"/>
  <c r="H281" i="22" s="1"/>
  <c r="H282" i="22" s="1"/>
  <c r="H283" i="22" s="1"/>
  <c r="H284" i="22" s="1"/>
  <c r="H285" i="22" s="1"/>
  <c r="H286" i="22" s="1"/>
  <c r="H287" i="22" s="1"/>
  <c r="H288" i="22" s="1"/>
  <c r="H289" i="22" s="1"/>
  <c r="H290" i="22" s="1"/>
  <c r="H291" i="22" s="1"/>
  <c r="H292" i="22" s="1"/>
  <c r="H293" i="22" s="1"/>
  <c r="H294" i="22" s="1"/>
  <c r="H295" i="22" s="1"/>
  <c r="H296" i="22" s="1"/>
  <c r="H297" i="22" s="1"/>
  <c r="H298" i="22" s="1"/>
  <c r="H299" i="22" s="1"/>
  <c r="H300" i="22" s="1"/>
  <c r="H301" i="22" s="1"/>
  <c r="H302" i="22" s="1"/>
  <c r="H303" i="22" s="1"/>
  <c r="H304" i="22" s="1"/>
  <c r="H305" i="22" s="1"/>
  <c r="H306" i="22" s="1"/>
  <c r="H307" i="22" s="1"/>
  <c r="H308" i="22" s="1"/>
  <c r="H309" i="22" s="1"/>
  <c r="H310" i="22" s="1"/>
  <c r="H311" i="22" s="1"/>
  <c r="H312" i="22" s="1"/>
  <c r="H313" i="22" s="1"/>
  <c r="H314" i="22" s="1"/>
  <c r="H315" i="22" s="1"/>
  <c r="H316" i="22" s="1"/>
  <c r="H317" i="22" s="1"/>
  <c r="H318" i="22" s="1"/>
  <c r="H319" i="22" s="1"/>
  <c r="H320" i="22" s="1"/>
  <c r="H321" i="22" s="1"/>
  <c r="H322" i="22" s="1"/>
  <c r="H323" i="22" s="1"/>
  <c r="H324" i="22" s="1"/>
  <c r="H325" i="22" s="1"/>
  <c r="H326" i="22" s="1"/>
  <c r="H327" i="22" s="1"/>
  <c r="H328" i="22" s="1"/>
  <c r="H329" i="22" s="1"/>
  <c r="H330" i="22" s="1"/>
  <c r="H331" i="22" s="1"/>
  <c r="H332" i="22" s="1"/>
  <c r="H333" i="22" s="1"/>
  <c r="H334" i="22" s="1"/>
  <c r="H335" i="22" s="1"/>
  <c r="H336" i="22" s="1"/>
  <c r="H337" i="22" s="1"/>
  <c r="H338" i="22" s="1"/>
  <c r="H339" i="22" s="1"/>
  <c r="H340" i="22" s="1"/>
  <c r="H341" i="22" s="1"/>
  <c r="H342" i="22" s="1"/>
  <c r="H343" i="22" s="1"/>
  <c r="H344" i="22" s="1"/>
  <c r="H345" i="22" s="1"/>
  <c r="H346" i="22" s="1"/>
  <c r="H347" i="22" s="1"/>
  <c r="H348" i="22" s="1"/>
  <c r="H349" i="22" s="1"/>
  <c r="H350" i="22" s="1"/>
  <c r="H351" i="22" s="1"/>
  <c r="H352" i="22" s="1"/>
  <c r="H353" i="22" s="1"/>
  <c r="H354" i="22" s="1"/>
  <c r="H355" i="22" s="1"/>
  <c r="H356" i="22" s="1"/>
  <c r="H357" i="22" s="1"/>
  <c r="H358" i="22" s="1"/>
  <c r="H359" i="22" s="1"/>
  <c r="H360" i="22" s="1"/>
  <c r="H361" i="22" s="1"/>
  <c r="H362" i="22" s="1"/>
  <c r="H363" i="22" s="1"/>
  <c r="H364" i="22" s="1"/>
  <c r="H365" i="22" s="1"/>
  <c r="H366" i="22" s="1"/>
  <c r="H367" i="22" s="1"/>
  <c r="H368" i="22" s="1"/>
  <c r="H369" i="22" s="1"/>
  <c r="H370" i="22" s="1"/>
  <c r="H371" i="22" s="1"/>
  <c r="H372" i="22" s="1"/>
  <c r="H373" i="22" s="1"/>
  <c r="H374" i="22" s="1"/>
  <c r="H375" i="22" s="1"/>
  <c r="H376" i="22" s="1"/>
  <c r="H377" i="22" s="1"/>
  <c r="H378" i="22" s="1"/>
  <c r="H379" i="22" s="1"/>
  <c r="H380" i="22" s="1"/>
  <c r="H381" i="22" s="1"/>
  <c r="H382" i="22" s="1"/>
  <c r="H383" i="22" s="1"/>
  <c r="H384" i="22" s="1"/>
  <c r="H385" i="22" s="1"/>
  <c r="H386" i="22" s="1"/>
  <c r="H387" i="22" s="1"/>
  <c r="H388" i="22" s="1"/>
  <c r="H389" i="22" s="1"/>
  <c r="H390" i="22" s="1"/>
  <c r="H391" i="22" s="1"/>
  <c r="H392" i="22" s="1"/>
  <c r="H393" i="22" s="1"/>
  <c r="H394" i="22" s="1"/>
  <c r="H395" i="22" s="1"/>
  <c r="H396" i="22" s="1"/>
  <c r="H397" i="22" s="1"/>
  <c r="H398" i="22" s="1"/>
  <c r="H399" i="22" s="1"/>
  <c r="H400" i="22" s="1"/>
  <c r="H401" i="22" s="1"/>
  <c r="H402" i="22" s="1"/>
  <c r="H403" i="22" s="1"/>
  <c r="H404" i="22" s="1"/>
  <c r="H405" i="22" s="1"/>
  <c r="H406" i="22" s="1"/>
  <c r="H407" i="22" s="1"/>
  <c r="H408" i="22" s="1"/>
  <c r="H409" i="22" s="1"/>
  <c r="H410" i="22" s="1"/>
  <c r="H411" i="22" s="1"/>
  <c r="H412" i="22" s="1"/>
  <c r="H413" i="22" s="1"/>
  <c r="H414" i="22" s="1"/>
  <c r="H415" i="22" s="1"/>
  <c r="H416" i="22" s="1"/>
  <c r="H417" i="22" s="1"/>
  <c r="H418" i="22" s="1"/>
  <c r="H419" i="22" s="1"/>
  <c r="H420" i="22" s="1"/>
  <c r="H421" i="22" s="1"/>
  <c r="H422" i="22" s="1"/>
  <c r="H423" i="22" s="1"/>
  <c r="H424" i="22" s="1"/>
  <c r="H425" i="22" s="1"/>
  <c r="H426" i="22" s="1"/>
  <c r="H427" i="22" s="1"/>
  <c r="H428" i="22" s="1"/>
  <c r="H429" i="22" s="1"/>
  <c r="H430" i="22" s="1"/>
  <c r="H431" i="22" s="1"/>
  <c r="H432" i="22" s="1"/>
  <c r="H433" i="22" s="1"/>
  <c r="H434" i="22" s="1"/>
  <c r="H435" i="22" s="1"/>
  <c r="H436" i="22" s="1"/>
  <c r="H437" i="22" s="1"/>
  <c r="H438" i="22" s="1"/>
  <c r="H439" i="22" s="1"/>
  <c r="H440" i="22" s="1"/>
  <c r="H441" i="22" s="1"/>
  <c r="H442" i="22" s="1"/>
  <c r="H443" i="22" s="1"/>
  <c r="H444" i="22" s="1"/>
  <c r="H445" i="22" s="1"/>
  <c r="H446" i="22" s="1"/>
  <c r="H447" i="22" s="1"/>
  <c r="H448" i="22" s="1"/>
  <c r="H449" i="22" s="1"/>
  <c r="H450" i="22" s="1"/>
  <c r="H451" i="22" s="1"/>
  <c r="H452" i="22" s="1"/>
  <c r="H453" i="22" s="1"/>
  <c r="H454" i="22" s="1"/>
  <c r="H455" i="22" s="1"/>
  <c r="H456" i="22" s="1"/>
  <c r="H457" i="22" s="1"/>
  <c r="H458" i="22" s="1"/>
  <c r="H459" i="22" s="1"/>
  <c r="H460" i="22" s="1"/>
  <c r="H461" i="22" s="1"/>
  <c r="H462" i="22" s="1"/>
  <c r="H463" i="22" s="1"/>
  <c r="H464" i="22" s="1"/>
  <c r="H465" i="22" s="1"/>
  <c r="H466" i="22" s="1"/>
  <c r="H467" i="22" s="1"/>
  <c r="H468" i="22" s="1"/>
  <c r="H469" i="22" s="1"/>
  <c r="H470" i="22" s="1"/>
  <c r="H471" i="22" s="1"/>
  <c r="H472" i="22" s="1"/>
  <c r="H473" i="22" s="1"/>
  <c r="H474" i="22" s="1"/>
  <c r="H475" i="22" s="1"/>
  <c r="H476" i="22" s="1"/>
  <c r="H477" i="22" s="1"/>
  <c r="H478" i="22" s="1"/>
  <c r="H479" i="22" s="1"/>
  <c r="H480" i="22" s="1"/>
  <c r="H481" i="22" s="1"/>
  <c r="H482" i="22" s="1"/>
  <c r="H483" i="22" s="1"/>
  <c r="H484" i="22" s="1"/>
  <c r="H485" i="22" s="1"/>
  <c r="H486" i="22" s="1"/>
  <c r="H487" i="22" s="1"/>
  <c r="H488" i="22" s="1"/>
  <c r="H489" i="22" s="1"/>
  <c r="H490" i="22" s="1"/>
  <c r="H491" i="22" s="1"/>
  <c r="H492" i="22" s="1"/>
  <c r="H493" i="22" s="1"/>
  <c r="H494" i="22" s="1"/>
  <c r="H495" i="22" s="1"/>
  <c r="H496" i="22" s="1"/>
  <c r="H497" i="22" s="1"/>
  <c r="H498" i="22" s="1"/>
  <c r="H499" i="22" s="1"/>
  <c r="H500" i="22" s="1"/>
  <c r="H501" i="22" s="1"/>
  <c r="H502" i="22" s="1"/>
  <c r="H503" i="22" s="1"/>
  <c r="H504" i="22" s="1"/>
  <c r="U6" i="22" s="1"/>
  <c r="C15" i="23"/>
  <c r="D15" i="23" s="1"/>
  <c r="C17" i="23"/>
  <c r="D17" i="23" s="1"/>
  <c r="C19" i="23"/>
  <c r="D19" i="23" s="1"/>
  <c r="C21" i="23"/>
  <c r="D21" i="23" s="1"/>
  <c r="C23" i="23"/>
  <c r="D23" i="23" s="1"/>
  <c r="C25" i="23"/>
  <c r="D25" i="23" s="1"/>
  <c r="C27" i="23"/>
  <c r="D27" i="23" s="1"/>
  <c r="C29" i="23"/>
  <c r="D29" i="23" s="1"/>
  <c r="C31" i="23"/>
  <c r="D31" i="23" s="1"/>
  <c r="C33" i="23"/>
  <c r="D33" i="23" s="1"/>
  <c r="C35" i="23"/>
  <c r="D35" i="23" s="1"/>
  <c r="C37" i="23"/>
  <c r="D37" i="23" s="1"/>
  <c r="C39" i="23"/>
  <c r="D39" i="23" s="1"/>
  <c r="C41" i="23"/>
  <c r="D41" i="23" s="1"/>
  <c r="C43" i="23"/>
  <c r="D43" i="23" s="1"/>
  <c r="C45" i="23"/>
  <c r="D45" i="23" s="1"/>
  <c r="C47" i="23"/>
  <c r="D47" i="23" s="1"/>
  <c r="C49" i="23"/>
  <c r="D49" i="23" s="1"/>
  <c r="C51" i="23"/>
  <c r="D51" i="23" s="1"/>
  <c r="C53" i="23"/>
  <c r="D53" i="23" s="1"/>
  <c r="C55" i="23"/>
  <c r="D55" i="23" s="1"/>
  <c r="C57" i="23"/>
  <c r="D57" i="23" s="1"/>
  <c r="C59" i="23"/>
  <c r="D59" i="23" s="1"/>
  <c r="C61" i="23"/>
  <c r="D61" i="23" s="1"/>
  <c r="C63" i="23"/>
  <c r="D63" i="23" s="1"/>
  <c r="C65" i="23"/>
  <c r="D65" i="23" s="1"/>
  <c r="C67" i="23"/>
  <c r="D67" i="23" s="1"/>
  <c r="C69" i="23"/>
  <c r="D69" i="23" s="1"/>
  <c r="C71" i="23"/>
  <c r="D71" i="23" s="1"/>
  <c r="C73" i="23"/>
  <c r="D73" i="23" s="1"/>
  <c r="C75" i="23"/>
  <c r="D75" i="23" s="1"/>
  <c r="C77" i="23"/>
  <c r="D77" i="23" s="1"/>
  <c r="C79" i="23"/>
  <c r="D79" i="23" s="1"/>
  <c r="C81" i="23"/>
  <c r="D81" i="23" s="1"/>
  <c r="C83" i="23"/>
  <c r="D83" i="23" s="1"/>
  <c r="C85" i="23"/>
  <c r="D85" i="23" s="1"/>
  <c r="C87" i="23"/>
  <c r="D87" i="23" s="1"/>
  <c r="C89" i="23"/>
  <c r="D89" i="23" s="1"/>
  <c r="C91" i="23"/>
  <c r="D91" i="23" s="1"/>
  <c r="C93" i="23"/>
  <c r="D93" i="23" s="1"/>
  <c r="C95" i="23"/>
  <c r="D95" i="23" s="1"/>
  <c r="C97" i="23"/>
  <c r="D97" i="23" s="1"/>
  <c r="C99" i="23"/>
  <c r="D99" i="23" s="1"/>
  <c r="C101" i="23"/>
  <c r="D101" i="23" s="1"/>
  <c r="C103" i="23"/>
  <c r="D103" i="23" s="1"/>
  <c r="T5" i="24"/>
  <c r="U5" i="24" s="1"/>
  <c r="T11" i="24"/>
  <c r="U11" i="24" s="1"/>
  <c r="T15" i="24"/>
  <c r="U15" i="24" s="1"/>
  <c r="T19" i="24"/>
  <c r="U19" i="24" s="1"/>
  <c r="T25" i="24"/>
  <c r="U25" i="24" s="1"/>
  <c r="T8" i="24"/>
  <c r="U8" i="24" s="1"/>
  <c r="E45" i="23"/>
  <c r="F45" i="23" s="1"/>
  <c r="E47" i="23"/>
  <c r="F47" i="23" s="1"/>
  <c r="E49" i="23"/>
  <c r="F49" i="23" s="1"/>
  <c r="E51" i="23"/>
  <c r="F51" i="23" s="1"/>
  <c r="E53" i="23"/>
  <c r="F53" i="23" s="1"/>
  <c r="E55" i="23"/>
  <c r="F55" i="23" s="1"/>
  <c r="E57" i="23"/>
  <c r="F57" i="23" s="1"/>
  <c r="E59" i="23"/>
  <c r="F59" i="23" s="1"/>
  <c r="E61" i="23"/>
  <c r="F61" i="23" s="1"/>
  <c r="E63" i="23"/>
  <c r="F63" i="23" s="1"/>
  <c r="E65" i="23"/>
  <c r="F65" i="23" s="1"/>
  <c r="E67" i="23"/>
  <c r="F67" i="23" s="1"/>
  <c r="E69" i="23"/>
  <c r="F69" i="23" s="1"/>
  <c r="E71" i="23"/>
  <c r="F71" i="23" s="1"/>
  <c r="E73" i="23"/>
  <c r="F73" i="23" s="1"/>
  <c r="E75" i="23"/>
  <c r="F75" i="23" s="1"/>
  <c r="E77" i="23"/>
  <c r="F77" i="23" s="1"/>
  <c r="E79" i="23"/>
  <c r="F79" i="23" s="1"/>
  <c r="E81" i="23"/>
  <c r="F81" i="23" s="1"/>
  <c r="E83" i="23"/>
  <c r="F83" i="23" s="1"/>
  <c r="E85" i="23"/>
  <c r="F85" i="23" s="1"/>
  <c r="E87" i="23"/>
  <c r="F87" i="23" s="1"/>
  <c r="E89" i="23"/>
  <c r="F89" i="23" s="1"/>
  <c r="E91" i="23"/>
  <c r="F91" i="23" s="1"/>
  <c r="E93" i="23"/>
  <c r="F93" i="23" s="1"/>
  <c r="E95" i="23"/>
  <c r="F95" i="23" s="1"/>
  <c r="E97" i="23"/>
  <c r="F97" i="23" s="1"/>
  <c r="E99" i="23"/>
  <c r="F99" i="23" s="1"/>
  <c r="E101" i="23"/>
  <c r="F101" i="23" s="1"/>
  <c r="T12" i="24"/>
  <c r="U12" i="24" s="1"/>
  <c r="T16" i="24"/>
  <c r="U16" i="24" s="1"/>
  <c r="T20" i="24"/>
  <c r="U20" i="24" s="1"/>
  <c r="T24" i="24"/>
  <c r="U24" i="24" s="1"/>
  <c r="T6" i="24"/>
  <c r="U6" i="24" s="1"/>
  <c r="T9" i="24"/>
  <c r="U9" i="24" s="1"/>
  <c r="T13" i="24"/>
  <c r="U13" i="24" s="1"/>
  <c r="T17" i="24"/>
  <c r="U17" i="24" s="1"/>
  <c r="T21" i="24"/>
  <c r="U21" i="24" s="1"/>
  <c r="T23" i="24"/>
  <c r="U23" i="24" s="1"/>
  <c r="K493" i="13"/>
  <c r="N493" i="13" s="1"/>
  <c r="O493" i="13" s="1"/>
  <c r="P493" i="13" s="1"/>
  <c r="K494" i="13"/>
  <c r="K488" i="13"/>
  <c r="K489" i="13"/>
  <c r="M483" i="13"/>
  <c r="L482" i="13"/>
  <c r="N482" i="13" s="1"/>
  <c r="O482" i="13" s="1"/>
  <c r="P482" i="13" s="1"/>
  <c r="K481" i="13"/>
  <c r="N442" i="13"/>
  <c r="O442" i="13" s="1"/>
  <c r="P442" i="13" s="1"/>
  <c r="M440" i="13"/>
  <c r="N440" i="13" s="1"/>
  <c r="O440" i="13" s="1"/>
  <c r="P440" i="13" s="1"/>
  <c r="M441" i="13"/>
  <c r="N490" i="13"/>
  <c r="O490" i="13" s="1"/>
  <c r="P490" i="13" s="1"/>
  <c r="L483" i="13"/>
  <c r="L472" i="13"/>
  <c r="L459" i="13"/>
  <c r="K443" i="13"/>
  <c r="N436" i="13"/>
  <c r="O436" i="13" s="1"/>
  <c r="P436" i="13" s="1"/>
  <c r="M434" i="13"/>
  <c r="M429" i="13"/>
  <c r="M430" i="13"/>
  <c r="M474" i="13"/>
  <c r="L473" i="13"/>
  <c r="M466" i="13"/>
  <c r="N466" i="13" s="1"/>
  <c r="O466" i="13" s="1"/>
  <c r="P466" i="13" s="1"/>
  <c r="K465" i="13"/>
  <c r="N465" i="13" s="1"/>
  <c r="O465" i="13" s="1"/>
  <c r="P465" i="13" s="1"/>
  <c r="N464" i="13"/>
  <c r="O464" i="13" s="1"/>
  <c r="P464" i="13" s="1"/>
  <c r="M461" i="13"/>
  <c r="M450" i="13"/>
  <c r="K449" i="13"/>
  <c r="N448" i="13"/>
  <c r="O448" i="13" s="1"/>
  <c r="P448" i="13" s="1"/>
  <c r="M445" i="13"/>
  <c r="N445" i="13" s="1"/>
  <c r="O445" i="13" s="1"/>
  <c r="P445" i="13" s="1"/>
  <c r="N408" i="13"/>
  <c r="O408" i="13" s="1"/>
  <c r="P408" i="13" s="1"/>
  <c r="L405" i="13"/>
  <c r="K473" i="13"/>
  <c r="N455" i="13"/>
  <c r="O455" i="13" s="1"/>
  <c r="P455" i="13" s="1"/>
  <c r="M424" i="13"/>
  <c r="M425" i="13"/>
  <c r="K504" i="13"/>
  <c r="N504" i="13" s="1"/>
  <c r="O504" i="13" s="1"/>
  <c r="P504" i="13" s="1"/>
  <c r="K495" i="13"/>
  <c r="N495" i="13" s="1"/>
  <c r="O495" i="13" s="1"/>
  <c r="P495" i="13" s="1"/>
  <c r="M475" i="13"/>
  <c r="M469" i="13"/>
  <c r="N469" i="13" s="1"/>
  <c r="O469" i="13" s="1"/>
  <c r="P469" i="13" s="1"/>
  <c r="M467" i="13"/>
  <c r="L456" i="13"/>
  <c r="K434" i="13"/>
  <c r="M406" i="13"/>
  <c r="L475" i="13"/>
  <c r="L451" i="13"/>
  <c r="L430" i="13"/>
  <c r="L431" i="13"/>
  <c r="N409" i="13"/>
  <c r="O409" i="13" s="1"/>
  <c r="P409" i="13" s="1"/>
  <c r="N501" i="13"/>
  <c r="O501" i="13" s="1"/>
  <c r="P501" i="13" s="1"/>
  <c r="M485" i="13"/>
  <c r="N485" i="13" s="1"/>
  <c r="O485" i="13" s="1"/>
  <c r="P485" i="13" s="1"/>
  <c r="L480" i="13"/>
  <c r="N480" i="13" s="1"/>
  <c r="O480" i="13" s="1"/>
  <c r="P480" i="13" s="1"/>
  <c r="K478" i="13"/>
  <c r="N478" i="13" s="1"/>
  <c r="O478" i="13" s="1"/>
  <c r="P478" i="13" s="1"/>
  <c r="M458" i="13"/>
  <c r="N458" i="13" s="1"/>
  <c r="O458" i="13" s="1"/>
  <c r="P458" i="13" s="1"/>
  <c r="K457" i="13"/>
  <c r="N457" i="13" s="1"/>
  <c r="O457" i="13" s="1"/>
  <c r="P457" i="13" s="1"/>
  <c r="M453" i="13"/>
  <c r="N453" i="13" s="1"/>
  <c r="O453" i="13" s="1"/>
  <c r="P453" i="13" s="1"/>
  <c r="K416" i="13"/>
  <c r="N416" i="13" s="1"/>
  <c r="O416" i="13" s="1"/>
  <c r="P416" i="13" s="1"/>
  <c r="K417" i="13"/>
  <c r="M435" i="13"/>
  <c r="N435" i="13" s="1"/>
  <c r="O435" i="13" s="1"/>
  <c r="P435" i="13" s="1"/>
  <c r="M423" i="13"/>
  <c r="L406" i="13"/>
  <c r="M399" i="13"/>
  <c r="N372" i="13"/>
  <c r="O372" i="13" s="1"/>
  <c r="P372" i="13" s="1"/>
  <c r="K444" i="13"/>
  <c r="N444" i="13" s="1"/>
  <c r="O444" i="13" s="1"/>
  <c r="P444" i="13" s="1"/>
  <c r="L443" i="13"/>
  <c r="M390" i="13"/>
  <c r="N390" i="13" s="1"/>
  <c r="O390" i="13" s="1"/>
  <c r="P390" i="13" s="1"/>
  <c r="M382" i="13"/>
  <c r="M374" i="13"/>
  <c r="K353" i="13"/>
  <c r="N353" i="13" s="1"/>
  <c r="O353" i="13" s="1"/>
  <c r="P353" i="13" s="1"/>
  <c r="K354" i="13"/>
  <c r="N354" i="13" s="1"/>
  <c r="O354" i="13" s="1"/>
  <c r="P354" i="13" s="1"/>
  <c r="M415" i="13"/>
  <c r="M413" i="13"/>
  <c r="N413" i="13" s="1"/>
  <c r="O413" i="13" s="1"/>
  <c r="P413" i="13" s="1"/>
  <c r="L412" i="13"/>
  <c r="N412" i="13" s="1"/>
  <c r="O412" i="13" s="1"/>
  <c r="P412" i="13" s="1"/>
  <c r="K411" i="13"/>
  <c r="K394" i="13"/>
  <c r="N394" i="13" s="1"/>
  <c r="O394" i="13" s="1"/>
  <c r="P394" i="13" s="1"/>
  <c r="K386" i="13"/>
  <c r="N386" i="13" s="1"/>
  <c r="O386" i="13" s="1"/>
  <c r="P386" i="13" s="1"/>
  <c r="K378" i="13"/>
  <c r="N378" i="13" s="1"/>
  <c r="O378" i="13" s="1"/>
  <c r="P378" i="13" s="1"/>
  <c r="K370" i="13"/>
  <c r="N370" i="13" s="1"/>
  <c r="O370" i="13" s="1"/>
  <c r="P370" i="13" s="1"/>
  <c r="M358" i="13"/>
  <c r="K360" i="13"/>
  <c r="K361" i="13"/>
  <c r="L438" i="13"/>
  <c r="N438" i="13" s="1"/>
  <c r="O438" i="13" s="1"/>
  <c r="P438" i="13" s="1"/>
  <c r="K427" i="13"/>
  <c r="N427" i="13" s="1"/>
  <c r="O427" i="13" s="1"/>
  <c r="P427" i="13" s="1"/>
  <c r="K403" i="13"/>
  <c r="L396" i="13"/>
  <c r="N396" i="13" s="1"/>
  <c r="O396" i="13" s="1"/>
  <c r="P396" i="13" s="1"/>
  <c r="N387" i="13"/>
  <c r="O387" i="13" s="1"/>
  <c r="P387" i="13" s="1"/>
  <c r="K291" i="13"/>
  <c r="N291" i="13" s="1"/>
  <c r="O291" i="13" s="1"/>
  <c r="P291" i="13" s="1"/>
  <c r="K292" i="13"/>
  <c r="M367" i="13"/>
  <c r="K364" i="13"/>
  <c r="M361" i="13"/>
  <c r="L357" i="13"/>
  <c r="N357" i="13" s="1"/>
  <c r="O357" i="13" s="1"/>
  <c r="P357" i="13" s="1"/>
  <c r="M342" i="13"/>
  <c r="N342" i="13" s="1"/>
  <c r="O342" i="13" s="1"/>
  <c r="P342" i="13" s="1"/>
  <c r="L341" i="13"/>
  <c r="K340" i="13"/>
  <c r="N340" i="13" s="1"/>
  <c r="O340" i="13" s="1"/>
  <c r="P340" i="13" s="1"/>
  <c r="N316" i="13"/>
  <c r="O316" i="13" s="1"/>
  <c r="P316" i="13" s="1"/>
  <c r="K368" i="13"/>
  <c r="L367" i="13"/>
  <c r="M318" i="13"/>
  <c r="K350" i="13"/>
  <c r="N350" i="13" s="1"/>
  <c r="O350" i="13" s="1"/>
  <c r="P350" i="13" s="1"/>
  <c r="L348" i="13"/>
  <c r="L331" i="13"/>
  <c r="N330" i="13"/>
  <c r="O330" i="13" s="1"/>
  <c r="P330" i="13" s="1"/>
  <c r="K295" i="13"/>
  <c r="K296" i="13"/>
  <c r="N296" i="13" s="1"/>
  <c r="O296" i="13" s="1"/>
  <c r="P296" i="13" s="1"/>
  <c r="K215" i="13"/>
  <c r="K216" i="13"/>
  <c r="N216" i="13" s="1"/>
  <c r="O216" i="13" s="1"/>
  <c r="P216" i="13" s="1"/>
  <c r="L201" i="13"/>
  <c r="L202" i="13"/>
  <c r="M360" i="13"/>
  <c r="M335" i="13"/>
  <c r="M333" i="13"/>
  <c r="L332" i="13"/>
  <c r="N332" i="13" s="1"/>
  <c r="O332" i="13" s="1"/>
  <c r="P332" i="13" s="1"/>
  <c r="K331" i="13"/>
  <c r="L323" i="13"/>
  <c r="L308" i="13"/>
  <c r="M297" i="13"/>
  <c r="M298" i="13"/>
  <c r="M352" i="13"/>
  <c r="N352" i="13" s="1"/>
  <c r="O352" i="13" s="1"/>
  <c r="P352" i="13" s="1"/>
  <c r="K347" i="13"/>
  <c r="N347" i="13" s="1"/>
  <c r="O347" i="13" s="1"/>
  <c r="P347" i="13" s="1"/>
  <c r="L334" i="13"/>
  <c r="N334" i="13" s="1"/>
  <c r="O334" i="13" s="1"/>
  <c r="P334" i="13" s="1"/>
  <c r="N315" i="13"/>
  <c r="O315" i="13" s="1"/>
  <c r="P315" i="13" s="1"/>
  <c r="N301" i="13"/>
  <c r="O301" i="13" s="1"/>
  <c r="P301" i="13" s="1"/>
  <c r="L281" i="13"/>
  <c r="N281" i="13" s="1"/>
  <c r="O281" i="13" s="1"/>
  <c r="P281" i="13" s="1"/>
  <c r="L282" i="13"/>
  <c r="N282" i="13" s="1"/>
  <c r="O282" i="13" s="1"/>
  <c r="P282" i="13" s="1"/>
  <c r="L365" i="13"/>
  <c r="M344" i="13"/>
  <c r="N338" i="13"/>
  <c r="O338" i="13" s="1"/>
  <c r="P338" i="13" s="1"/>
  <c r="K337" i="13"/>
  <c r="N337" i="13" s="1"/>
  <c r="O337" i="13" s="1"/>
  <c r="P337" i="13" s="1"/>
  <c r="M326" i="13"/>
  <c r="N324" i="13"/>
  <c r="O324" i="13" s="1"/>
  <c r="P324" i="13" s="1"/>
  <c r="N290" i="13"/>
  <c r="O290" i="13" s="1"/>
  <c r="P290" i="13" s="1"/>
  <c r="M231" i="13"/>
  <c r="M232" i="13"/>
  <c r="N232" i="13" s="1"/>
  <c r="O232" i="13" s="1"/>
  <c r="P232" i="13" s="1"/>
  <c r="L297" i="13"/>
  <c r="K294" i="13"/>
  <c r="K280" i="13"/>
  <c r="L221" i="13"/>
  <c r="L222" i="13"/>
  <c r="K251" i="13"/>
  <c r="N251" i="13" s="1"/>
  <c r="O251" i="13" s="1"/>
  <c r="P251" i="13" s="1"/>
  <c r="K252" i="13"/>
  <c r="N252" i="13" s="1"/>
  <c r="O252" i="13" s="1"/>
  <c r="P252" i="13" s="1"/>
  <c r="L245" i="13"/>
  <c r="L246" i="13"/>
  <c r="N246" i="13" s="1"/>
  <c r="O246" i="13" s="1"/>
  <c r="P246" i="13" s="1"/>
  <c r="M191" i="13"/>
  <c r="N191" i="13" s="1"/>
  <c r="O191" i="13" s="1"/>
  <c r="P191" i="13" s="1"/>
  <c r="M192" i="13"/>
  <c r="K260" i="13"/>
  <c r="M239" i="13"/>
  <c r="N239" i="13" s="1"/>
  <c r="O239" i="13" s="1"/>
  <c r="P239" i="13" s="1"/>
  <c r="M240" i="13"/>
  <c r="N240" i="13" s="1"/>
  <c r="O240" i="13" s="1"/>
  <c r="P240" i="13" s="1"/>
  <c r="M292" i="13"/>
  <c r="N284" i="13"/>
  <c r="O284" i="13" s="1"/>
  <c r="P284" i="13" s="1"/>
  <c r="L278" i="13"/>
  <c r="N271" i="13"/>
  <c r="O271" i="13" s="1"/>
  <c r="P271" i="13" s="1"/>
  <c r="L262" i="13"/>
  <c r="K235" i="13"/>
  <c r="K236" i="13"/>
  <c r="L229" i="13"/>
  <c r="L230" i="13"/>
  <c r="N230" i="13" s="1"/>
  <c r="O230" i="13" s="1"/>
  <c r="P230" i="13" s="1"/>
  <c r="M220" i="13"/>
  <c r="K179" i="13"/>
  <c r="K180" i="13"/>
  <c r="K272" i="13"/>
  <c r="L253" i="13"/>
  <c r="L254" i="13"/>
  <c r="L295" i="13"/>
  <c r="L288" i="13"/>
  <c r="N288" i="13" s="1"/>
  <c r="O288" i="13" s="1"/>
  <c r="P288" i="13" s="1"/>
  <c r="N286" i="13"/>
  <c r="O286" i="13" s="1"/>
  <c r="P286" i="13" s="1"/>
  <c r="M280" i="13"/>
  <c r="L274" i="13"/>
  <c r="N274" i="13" s="1"/>
  <c r="O274" i="13" s="1"/>
  <c r="P274" i="13" s="1"/>
  <c r="M264" i="13"/>
  <c r="L258" i="13"/>
  <c r="N258" i="13" s="1"/>
  <c r="O258" i="13" s="1"/>
  <c r="P258" i="13" s="1"/>
  <c r="M247" i="13"/>
  <c r="M248" i="13"/>
  <c r="N256" i="13"/>
  <c r="O256" i="13" s="1"/>
  <c r="P256" i="13" s="1"/>
  <c r="K243" i="13"/>
  <c r="N243" i="13" s="1"/>
  <c r="O243" i="13" s="1"/>
  <c r="P243" i="13" s="1"/>
  <c r="K244" i="13"/>
  <c r="N244" i="13" s="1"/>
  <c r="O244" i="13" s="1"/>
  <c r="P244" i="13" s="1"/>
  <c r="L237" i="13"/>
  <c r="L238" i="13"/>
  <c r="N238" i="13" s="1"/>
  <c r="O238" i="13" s="1"/>
  <c r="P238" i="13" s="1"/>
  <c r="L218" i="13"/>
  <c r="N226" i="13"/>
  <c r="O226" i="13" s="1"/>
  <c r="P226" i="13" s="1"/>
  <c r="K225" i="13"/>
  <c r="L198" i="13"/>
  <c r="M183" i="13"/>
  <c r="M184" i="13"/>
  <c r="N184" i="13" s="1"/>
  <c r="O184" i="13" s="1"/>
  <c r="P184" i="13" s="1"/>
  <c r="K171" i="13"/>
  <c r="N171" i="13" s="1"/>
  <c r="O171" i="13" s="1"/>
  <c r="P171" i="13" s="1"/>
  <c r="K172" i="13"/>
  <c r="M212" i="13"/>
  <c r="L189" i="13"/>
  <c r="L190" i="13"/>
  <c r="L165" i="13"/>
  <c r="N165" i="13" s="1"/>
  <c r="O165" i="13" s="1"/>
  <c r="P165" i="13" s="1"/>
  <c r="L166" i="13"/>
  <c r="L203" i="13"/>
  <c r="N203" i="13" s="1"/>
  <c r="O203" i="13" s="1"/>
  <c r="P203" i="13" s="1"/>
  <c r="L204" i="13"/>
  <c r="K195" i="13"/>
  <c r="N195" i="13" s="1"/>
  <c r="O195" i="13" s="1"/>
  <c r="P195" i="13" s="1"/>
  <c r="K196" i="13"/>
  <c r="M175" i="13"/>
  <c r="M176" i="13"/>
  <c r="K27" i="13"/>
  <c r="K28" i="13"/>
  <c r="L181" i="13"/>
  <c r="L182" i="13"/>
  <c r="K147" i="13"/>
  <c r="N147" i="13" s="1"/>
  <c r="O147" i="13" s="1"/>
  <c r="P147" i="13" s="1"/>
  <c r="K148" i="13"/>
  <c r="M218" i="13"/>
  <c r="K210" i="13"/>
  <c r="N210" i="13" s="1"/>
  <c r="O210" i="13" s="1"/>
  <c r="P210" i="13" s="1"/>
  <c r="N208" i="13"/>
  <c r="O208" i="13" s="1"/>
  <c r="P208" i="13" s="1"/>
  <c r="M205" i="13"/>
  <c r="N205" i="13" s="1"/>
  <c r="O205" i="13" s="1"/>
  <c r="P205" i="13" s="1"/>
  <c r="M206" i="13"/>
  <c r="N206" i="13" s="1"/>
  <c r="O206" i="13" s="1"/>
  <c r="P206" i="13" s="1"/>
  <c r="K187" i="13"/>
  <c r="K188" i="13"/>
  <c r="M154" i="13"/>
  <c r="N154" i="13" s="1"/>
  <c r="O154" i="13" s="1"/>
  <c r="P154" i="13" s="1"/>
  <c r="M155" i="13"/>
  <c r="K204" i="13"/>
  <c r="L173" i="13"/>
  <c r="L174" i="13"/>
  <c r="M167" i="13"/>
  <c r="M168" i="13"/>
  <c r="N168" i="13" s="1"/>
  <c r="O168" i="13" s="1"/>
  <c r="P168" i="13" s="1"/>
  <c r="K163" i="13"/>
  <c r="K164" i="13"/>
  <c r="N162" i="13"/>
  <c r="O162" i="13" s="1"/>
  <c r="P162" i="13" s="1"/>
  <c r="N157" i="13"/>
  <c r="O157" i="13" s="1"/>
  <c r="P157" i="13" s="1"/>
  <c r="N122" i="13"/>
  <c r="O122" i="13" s="1"/>
  <c r="P122" i="13" s="1"/>
  <c r="K107" i="13"/>
  <c r="N107" i="13" s="1"/>
  <c r="O107" i="13" s="1"/>
  <c r="P107" i="13" s="1"/>
  <c r="K108" i="13"/>
  <c r="N108" i="13" s="1"/>
  <c r="O108" i="13" s="1"/>
  <c r="P108" i="13" s="1"/>
  <c r="K202" i="13"/>
  <c r="M198" i="13"/>
  <c r="L196" i="13"/>
  <c r="K194" i="13"/>
  <c r="M190" i="13"/>
  <c r="L188" i="13"/>
  <c r="K186" i="13"/>
  <c r="N186" i="13" s="1"/>
  <c r="O186" i="13" s="1"/>
  <c r="P186" i="13" s="1"/>
  <c r="M182" i="13"/>
  <c r="L180" i="13"/>
  <c r="K178" i="13"/>
  <c r="N178" i="13" s="1"/>
  <c r="O178" i="13" s="1"/>
  <c r="P178" i="13" s="1"/>
  <c r="M174" i="13"/>
  <c r="L172" i="13"/>
  <c r="K170" i="13"/>
  <c r="M166" i="13"/>
  <c r="L164" i="13"/>
  <c r="M160" i="13"/>
  <c r="N160" i="13" s="1"/>
  <c r="O160" i="13" s="1"/>
  <c r="P160" i="13" s="1"/>
  <c r="K140" i="13"/>
  <c r="N140" i="13" s="1"/>
  <c r="O140" i="13" s="1"/>
  <c r="P140" i="13" s="1"/>
  <c r="K132" i="13"/>
  <c r="M111" i="13"/>
  <c r="N111" i="13" s="1"/>
  <c r="O111" i="13" s="1"/>
  <c r="P111" i="13" s="1"/>
  <c r="M112" i="13"/>
  <c r="N150" i="13"/>
  <c r="O150" i="13" s="1"/>
  <c r="P150" i="13" s="1"/>
  <c r="M128" i="13"/>
  <c r="N128" i="13" s="1"/>
  <c r="O128" i="13" s="1"/>
  <c r="P128" i="13" s="1"/>
  <c r="L117" i="13"/>
  <c r="N117" i="13" s="1"/>
  <c r="O117" i="13" s="1"/>
  <c r="P117" i="13" s="1"/>
  <c r="L118" i="13"/>
  <c r="K99" i="13"/>
  <c r="K100" i="13"/>
  <c r="N100" i="13" s="1"/>
  <c r="O100" i="13" s="1"/>
  <c r="P100" i="13" s="1"/>
  <c r="K87" i="13"/>
  <c r="K88" i="13"/>
  <c r="M85" i="13"/>
  <c r="N85" i="13" s="1"/>
  <c r="O85" i="13" s="1"/>
  <c r="P85" i="13" s="1"/>
  <c r="M86" i="13"/>
  <c r="N86" i="13" s="1"/>
  <c r="O86" i="13" s="1"/>
  <c r="P86" i="13" s="1"/>
  <c r="N158" i="13"/>
  <c r="O158" i="13" s="1"/>
  <c r="P158" i="13" s="1"/>
  <c r="M103" i="13"/>
  <c r="M104" i="13"/>
  <c r="N104" i="13" s="1"/>
  <c r="O104" i="13" s="1"/>
  <c r="P104" i="13" s="1"/>
  <c r="M91" i="13"/>
  <c r="M92" i="13"/>
  <c r="K11" i="13"/>
  <c r="K12" i="13"/>
  <c r="N12" i="13" s="1"/>
  <c r="O12" i="13" s="1"/>
  <c r="P12" i="13" s="1"/>
  <c r="M145" i="13"/>
  <c r="N145" i="13" s="1"/>
  <c r="O145" i="13" s="1"/>
  <c r="P145" i="13" s="1"/>
  <c r="L109" i="13"/>
  <c r="N109" i="13" s="1"/>
  <c r="O109" i="13" s="1"/>
  <c r="P109" i="13" s="1"/>
  <c r="L110" i="13"/>
  <c r="K43" i="13"/>
  <c r="K44" i="13"/>
  <c r="L159" i="13"/>
  <c r="L151" i="13"/>
  <c r="K144" i="13"/>
  <c r="N144" i="13" s="1"/>
  <c r="O144" i="13" s="1"/>
  <c r="P144" i="13" s="1"/>
  <c r="M140" i="13"/>
  <c r="L138" i="13"/>
  <c r="N138" i="13" s="1"/>
  <c r="O138" i="13" s="1"/>
  <c r="P138" i="13" s="1"/>
  <c r="K136" i="13"/>
  <c r="N136" i="13" s="1"/>
  <c r="O136" i="13" s="1"/>
  <c r="P136" i="13" s="1"/>
  <c r="M132" i="13"/>
  <c r="L130" i="13"/>
  <c r="N130" i="13" s="1"/>
  <c r="O130" i="13" s="1"/>
  <c r="P130" i="13" s="1"/>
  <c r="M119" i="13"/>
  <c r="N119" i="13" s="1"/>
  <c r="O119" i="13" s="1"/>
  <c r="P119" i="13" s="1"/>
  <c r="M120" i="13"/>
  <c r="N120" i="13" s="1"/>
  <c r="O120" i="13" s="1"/>
  <c r="P120" i="13" s="1"/>
  <c r="K115" i="13"/>
  <c r="N115" i="13" s="1"/>
  <c r="O115" i="13" s="1"/>
  <c r="P115" i="13" s="1"/>
  <c r="K116" i="13"/>
  <c r="L91" i="13"/>
  <c r="M79" i="13"/>
  <c r="K97" i="13"/>
  <c r="N97" i="13" s="1"/>
  <c r="O97" i="13" s="1"/>
  <c r="P97" i="13" s="1"/>
  <c r="L96" i="13"/>
  <c r="N96" i="13" s="1"/>
  <c r="O96" i="13" s="1"/>
  <c r="P96" i="13" s="1"/>
  <c r="M95" i="13"/>
  <c r="N95" i="13" s="1"/>
  <c r="O95" i="13" s="1"/>
  <c r="P95" i="13" s="1"/>
  <c r="K91" i="13"/>
  <c r="M88" i="13"/>
  <c r="K81" i="13"/>
  <c r="M78" i="13"/>
  <c r="M72" i="13"/>
  <c r="N72" i="13" s="1"/>
  <c r="O72" i="13" s="1"/>
  <c r="P72" i="13" s="1"/>
  <c r="L45" i="13"/>
  <c r="L46" i="13"/>
  <c r="L29" i="13"/>
  <c r="L30" i="13"/>
  <c r="N30" i="13" s="1"/>
  <c r="O30" i="13" s="1"/>
  <c r="P30" i="13" s="1"/>
  <c r="L13" i="13"/>
  <c r="L14" i="13"/>
  <c r="L78" i="13"/>
  <c r="K65" i="13"/>
  <c r="N65" i="13" s="1"/>
  <c r="O65" i="13" s="1"/>
  <c r="P65" i="13" s="1"/>
  <c r="K57" i="13"/>
  <c r="N57" i="13" s="1"/>
  <c r="O57" i="13" s="1"/>
  <c r="P57" i="13" s="1"/>
  <c r="M47" i="13"/>
  <c r="M48" i="13"/>
  <c r="N48" i="13" s="1"/>
  <c r="O48" i="13" s="1"/>
  <c r="P48" i="13" s="1"/>
  <c r="M31" i="13"/>
  <c r="M32" i="13"/>
  <c r="N32" i="13" s="1"/>
  <c r="O32" i="13" s="1"/>
  <c r="P32" i="13" s="1"/>
  <c r="L19" i="13"/>
  <c r="M15" i="13"/>
  <c r="N15" i="13" s="1"/>
  <c r="O15" i="13" s="1"/>
  <c r="P15" i="13" s="1"/>
  <c r="M16" i="13"/>
  <c r="K51" i="13"/>
  <c r="N51" i="13" s="1"/>
  <c r="O51" i="13" s="1"/>
  <c r="P51" i="13" s="1"/>
  <c r="K52" i="13"/>
  <c r="N52" i="13" s="1"/>
  <c r="O52" i="13" s="1"/>
  <c r="P52" i="13" s="1"/>
  <c r="K35" i="13"/>
  <c r="N35" i="13" s="1"/>
  <c r="O35" i="13" s="1"/>
  <c r="P35" i="13" s="1"/>
  <c r="K36" i="13"/>
  <c r="N36" i="13" s="1"/>
  <c r="O36" i="13" s="1"/>
  <c r="P36" i="13" s="1"/>
  <c r="K19" i="13"/>
  <c r="N19" i="13" s="1"/>
  <c r="O19" i="13" s="1"/>
  <c r="P19" i="13" s="1"/>
  <c r="K20" i="13"/>
  <c r="N20" i="13" s="1"/>
  <c r="O20" i="13" s="1"/>
  <c r="P20" i="13" s="1"/>
  <c r="L69" i="13"/>
  <c r="N69" i="13" s="1"/>
  <c r="O69" i="13" s="1"/>
  <c r="P69" i="13" s="1"/>
  <c r="K67" i="13"/>
  <c r="N67" i="13" s="1"/>
  <c r="O67" i="13" s="1"/>
  <c r="P67" i="13" s="1"/>
  <c r="N66" i="13"/>
  <c r="O66" i="13" s="1"/>
  <c r="P66" i="13" s="1"/>
  <c r="K59" i="13"/>
  <c r="N59" i="13" s="1"/>
  <c r="O59" i="13" s="1"/>
  <c r="P59" i="13" s="1"/>
  <c r="K60" i="13"/>
  <c r="N75" i="13"/>
  <c r="O75" i="13" s="1"/>
  <c r="P75" i="13" s="1"/>
  <c r="M61" i="13"/>
  <c r="L53" i="13"/>
  <c r="L54" i="13"/>
  <c r="N54" i="13" s="1"/>
  <c r="O54" i="13" s="1"/>
  <c r="P54" i="13" s="1"/>
  <c r="L37" i="13"/>
  <c r="L38" i="13"/>
  <c r="N38" i="13" s="1"/>
  <c r="O38" i="13" s="1"/>
  <c r="P38" i="13" s="1"/>
  <c r="L21" i="13"/>
  <c r="L22" i="13"/>
  <c r="N22" i="13" s="1"/>
  <c r="O22" i="13" s="1"/>
  <c r="P22" i="13" s="1"/>
  <c r="L99" i="13"/>
  <c r="L93" i="13"/>
  <c r="M63" i="13"/>
  <c r="N63" i="13" s="1"/>
  <c r="O63" i="13" s="1"/>
  <c r="P63" i="13" s="1"/>
  <c r="M64" i="13"/>
  <c r="L61" i="13"/>
  <c r="L62" i="13"/>
  <c r="M55" i="13"/>
  <c r="N55" i="13" s="1"/>
  <c r="O55" i="13" s="1"/>
  <c r="P55" i="13" s="1"/>
  <c r="M56" i="13"/>
  <c r="L43" i="13"/>
  <c r="M39" i="13"/>
  <c r="M40" i="13"/>
  <c r="N40" i="13" s="1"/>
  <c r="O40" i="13" s="1"/>
  <c r="P40" i="13" s="1"/>
  <c r="L27" i="13"/>
  <c r="N26" i="13"/>
  <c r="O26" i="13" s="1"/>
  <c r="P26" i="13" s="1"/>
  <c r="M23" i="13"/>
  <c r="N23" i="13" s="1"/>
  <c r="O23" i="13" s="1"/>
  <c r="P23" i="13" s="1"/>
  <c r="M24" i="13"/>
  <c r="L11" i="13"/>
  <c r="M7" i="13"/>
  <c r="M8" i="13"/>
  <c r="M6" i="13"/>
  <c r="N6" i="13" s="1"/>
  <c r="O6" i="13" s="1"/>
  <c r="P6" i="13" s="1"/>
  <c r="N103" i="13" l="1"/>
  <c r="O103" i="13" s="1"/>
  <c r="P103" i="13" s="1"/>
  <c r="N358" i="13"/>
  <c r="O358" i="13" s="1"/>
  <c r="P358" i="13" s="1"/>
  <c r="N268" i="13"/>
  <c r="O268" i="13" s="1"/>
  <c r="P268" i="13" s="1"/>
  <c r="N62" i="13"/>
  <c r="O62" i="13" s="1"/>
  <c r="P62" i="13" s="1"/>
  <c r="N188" i="13"/>
  <c r="O188" i="13" s="1"/>
  <c r="P188" i="13" s="1"/>
  <c r="N260" i="13"/>
  <c r="O260" i="13" s="1"/>
  <c r="P260" i="13" s="1"/>
  <c r="J260" i="24" s="1"/>
  <c r="N233" i="13"/>
  <c r="O233" i="13" s="1"/>
  <c r="P233" i="13" s="1"/>
  <c r="N18" i="13"/>
  <c r="O18" i="13" s="1"/>
  <c r="P18" i="13" s="1"/>
  <c r="P18" i="18" s="1"/>
  <c r="N270" i="13"/>
  <c r="O270" i="13" s="1"/>
  <c r="P270" i="13" s="1"/>
  <c r="N209" i="13"/>
  <c r="O209" i="13" s="1"/>
  <c r="P209" i="13" s="1"/>
  <c r="N247" i="13"/>
  <c r="O247" i="13" s="1"/>
  <c r="P247" i="13" s="1"/>
  <c r="N236" i="13"/>
  <c r="O236" i="13" s="1"/>
  <c r="P236" i="13" s="1"/>
  <c r="J236" i="10" s="1"/>
  <c r="N382" i="13"/>
  <c r="O382" i="13" s="1"/>
  <c r="P382" i="13" s="1"/>
  <c r="N450" i="13"/>
  <c r="O450" i="13" s="1"/>
  <c r="P450" i="13" s="1"/>
  <c r="J450" i="24" s="1"/>
  <c r="N287" i="13"/>
  <c r="O287" i="13" s="1"/>
  <c r="P287" i="13" s="1"/>
  <c r="N389" i="13"/>
  <c r="O389" i="13" s="1"/>
  <c r="P389" i="13" s="1"/>
  <c r="J389" i="24" s="1"/>
  <c r="N272" i="13"/>
  <c r="O272" i="13" s="1"/>
  <c r="P272" i="13" s="1"/>
  <c r="N368" i="13"/>
  <c r="O368" i="13" s="1"/>
  <c r="P368" i="13" s="1"/>
  <c r="N84" i="13"/>
  <c r="O84" i="13" s="1"/>
  <c r="P84" i="13" s="1"/>
  <c r="N355" i="13"/>
  <c r="O355" i="13" s="1"/>
  <c r="P355" i="13" s="1"/>
  <c r="P355" i="18" s="1"/>
  <c r="N454" i="13"/>
  <c r="O454" i="13" s="1"/>
  <c r="P454" i="13" s="1"/>
  <c r="N212" i="13"/>
  <c r="O212" i="13" s="1"/>
  <c r="P212" i="13" s="1"/>
  <c r="J212" i="24" s="1"/>
  <c r="N363" i="13"/>
  <c r="O363" i="13" s="1"/>
  <c r="P363" i="13" s="1"/>
  <c r="N219" i="13"/>
  <c r="O219" i="13" s="1"/>
  <c r="P219" i="13" s="1"/>
  <c r="J219" i="24" s="1"/>
  <c r="N237" i="13"/>
  <c r="O237" i="13" s="1"/>
  <c r="P237" i="13" s="1"/>
  <c r="N278" i="13"/>
  <c r="O278" i="13" s="1"/>
  <c r="P278" i="13" s="1"/>
  <c r="N14" i="13"/>
  <c r="O14" i="13" s="1"/>
  <c r="P14" i="13" s="1"/>
  <c r="N298" i="13"/>
  <c r="O298" i="13" s="1"/>
  <c r="P298" i="13" s="1"/>
  <c r="J298" i="24" s="1"/>
  <c r="N336" i="13"/>
  <c r="O336" i="13" s="1"/>
  <c r="P336" i="13" s="1"/>
  <c r="P336" i="18" s="1"/>
  <c r="N134" i="13"/>
  <c r="O134" i="13" s="1"/>
  <c r="P134" i="13" s="1"/>
  <c r="J134" i="24" s="1"/>
  <c r="N231" i="13"/>
  <c r="O231" i="13" s="1"/>
  <c r="P231" i="13" s="1"/>
  <c r="N399" i="13"/>
  <c r="O399" i="13" s="1"/>
  <c r="P399" i="13" s="1"/>
  <c r="J399" i="10" s="1"/>
  <c r="N151" i="13"/>
  <c r="O151" i="13" s="1"/>
  <c r="P151" i="13" s="1"/>
  <c r="N94" i="13"/>
  <c r="O94" i="13" s="1"/>
  <c r="P94" i="13" s="1"/>
  <c r="N25" i="13"/>
  <c r="O25" i="13" s="1"/>
  <c r="P25" i="13" s="1"/>
  <c r="N7" i="13"/>
  <c r="O7" i="13" s="1"/>
  <c r="P7" i="13" s="1"/>
  <c r="J7" i="24" s="1"/>
  <c r="N317" i="13"/>
  <c r="O317" i="13" s="1"/>
  <c r="P317" i="13" s="1"/>
  <c r="P317" i="18" s="1"/>
  <c r="N332" i="20"/>
  <c r="O332" i="20" s="1"/>
  <c r="P332" i="20" s="1"/>
  <c r="N492" i="13"/>
  <c r="O492" i="13" s="1"/>
  <c r="P492" i="13" s="1"/>
  <c r="N56" i="13"/>
  <c r="O56" i="13" s="1"/>
  <c r="P56" i="13" s="1"/>
  <c r="J56" i="24" s="1"/>
  <c r="N132" i="13"/>
  <c r="O132" i="13" s="1"/>
  <c r="P132" i="13" s="1"/>
  <c r="N276" i="13"/>
  <c r="O276" i="13" s="1"/>
  <c r="P276" i="13" s="1"/>
  <c r="N276" i="16" s="1"/>
  <c r="N339" i="13"/>
  <c r="O339" i="13" s="1"/>
  <c r="P339" i="13" s="1"/>
  <c r="N418" i="13"/>
  <c r="O418" i="13" s="1"/>
  <c r="P418" i="13" s="1"/>
  <c r="J418" i="24" s="1"/>
  <c r="N414" i="13"/>
  <c r="O414" i="13" s="1"/>
  <c r="P414" i="13" s="1"/>
  <c r="J414" i="24" s="1"/>
  <c r="N73" i="13"/>
  <c r="O73" i="13" s="1"/>
  <c r="P73" i="13" s="1"/>
  <c r="J73" i="10" s="1"/>
  <c r="N264" i="13"/>
  <c r="O264" i="13" s="1"/>
  <c r="P264" i="13" s="1"/>
  <c r="N235" i="13"/>
  <c r="O235" i="13" s="1"/>
  <c r="P235" i="13" s="1"/>
  <c r="J235" i="24" s="1"/>
  <c r="N201" i="13"/>
  <c r="O201" i="13" s="1"/>
  <c r="P201" i="13" s="1"/>
  <c r="N28" i="13"/>
  <c r="O28" i="13" s="1"/>
  <c r="P28" i="13" s="1"/>
  <c r="J28" i="10" s="1"/>
  <c r="N88" i="13"/>
  <c r="O88" i="13" s="1"/>
  <c r="P88" i="13" s="1"/>
  <c r="N172" i="13"/>
  <c r="O172" i="13" s="1"/>
  <c r="P172" i="13" s="1"/>
  <c r="P172" i="18" s="1"/>
  <c r="N331" i="13"/>
  <c r="O331" i="13" s="1"/>
  <c r="P331" i="13" s="1"/>
  <c r="J331" i="24" s="1"/>
  <c r="N374" i="13"/>
  <c r="O374" i="13" s="1"/>
  <c r="P374" i="13" s="1"/>
  <c r="P374" i="18" s="1"/>
  <c r="N489" i="13"/>
  <c r="O489" i="13" s="1"/>
  <c r="P489" i="13" s="1"/>
  <c r="N164" i="13"/>
  <c r="O164" i="13" s="1"/>
  <c r="P164" i="13" s="1"/>
  <c r="J164" i="24" s="1"/>
  <c r="N481" i="13"/>
  <c r="O481" i="13" s="1"/>
  <c r="P481" i="13" s="1"/>
  <c r="N8" i="13"/>
  <c r="O8" i="13" s="1"/>
  <c r="P8" i="13" s="1"/>
  <c r="J8" i="10" s="1"/>
  <c r="N53" i="13"/>
  <c r="O53" i="13" s="1"/>
  <c r="P53" i="13" s="1"/>
  <c r="N417" i="13"/>
  <c r="O417" i="13" s="1"/>
  <c r="P417" i="13" s="1"/>
  <c r="J417" i="24" s="1"/>
  <c r="N211" i="13"/>
  <c r="O211" i="13" s="1"/>
  <c r="P211" i="13" s="1"/>
  <c r="J211" i="10" s="1"/>
  <c r="N321" i="13"/>
  <c r="O321" i="13" s="1"/>
  <c r="P321" i="13" s="1"/>
  <c r="P321" i="18" s="1"/>
  <c r="N498" i="13"/>
  <c r="O498" i="13" s="1"/>
  <c r="P498" i="13" s="1"/>
  <c r="N309" i="13"/>
  <c r="O309" i="13" s="1"/>
  <c r="P309" i="13" s="1"/>
  <c r="J309" i="24" s="1"/>
  <c r="N202" i="13"/>
  <c r="O202" i="13" s="1"/>
  <c r="P202" i="13" s="1"/>
  <c r="N319" i="13"/>
  <c r="O319" i="13" s="1"/>
  <c r="P319" i="13" s="1"/>
  <c r="J319" i="10" s="1"/>
  <c r="H19" i="21"/>
  <c r="N393" i="13"/>
  <c r="O393" i="13" s="1"/>
  <c r="P393" i="13" s="1"/>
  <c r="J393" i="24" s="1"/>
  <c r="N380" i="13"/>
  <c r="O380" i="13" s="1"/>
  <c r="P380" i="13" s="1"/>
  <c r="J380" i="24" s="1"/>
  <c r="N463" i="13"/>
  <c r="O463" i="13" s="1"/>
  <c r="P463" i="13" s="1"/>
  <c r="J463" i="24" s="1"/>
  <c r="N183" i="13"/>
  <c r="O183" i="13" s="1"/>
  <c r="P183" i="13" s="1"/>
  <c r="N13" i="13"/>
  <c r="O13" i="13" s="1"/>
  <c r="P13" i="13" s="1"/>
  <c r="J13" i="24" s="1"/>
  <c r="N325" i="13"/>
  <c r="O325" i="13" s="1"/>
  <c r="P325" i="13" s="1"/>
  <c r="N139" i="13"/>
  <c r="O139" i="13" s="1"/>
  <c r="P139" i="13" s="1"/>
  <c r="P139" i="18" s="1"/>
  <c r="N29" i="13"/>
  <c r="O29" i="13" s="1"/>
  <c r="P29" i="13" s="1"/>
  <c r="N254" i="13"/>
  <c r="O254" i="13" s="1"/>
  <c r="P254" i="13" s="1"/>
  <c r="J254" i="24" s="1"/>
  <c r="N341" i="13"/>
  <c r="O341" i="13" s="1"/>
  <c r="P341" i="13" s="1"/>
  <c r="J341" i="24" s="1"/>
  <c r="N269" i="13"/>
  <c r="O269" i="13" s="1"/>
  <c r="P269" i="13" s="1"/>
  <c r="J269" i="24" s="1"/>
  <c r="N310" i="13"/>
  <c r="O310" i="13" s="1"/>
  <c r="P310" i="13" s="1"/>
  <c r="N10" i="13"/>
  <c r="O10" i="13" s="1"/>
  <c r="P10" i="13" s="1"/>
  <c r="J10" i="24" s="1"/>
  <c r="N391" i="13"/>
  <c r="O391" i="13" s="1"/>
  <c r="P391" i="13" s="1"/>
  <c r="N391" i="16" s="1"/>
  <c r="N397" i="13"/>
  <c r="O397" i="13" s="1"/>
  <c r="P397" i="13" s="1"/>
  <c r="J397" i="24" s="1"/>
  <c r="N275" i="13"/>
  <c r="O275" i="13" s="1"/>
  <c r="P275" i="13" s="1"/>
  <c r="N405" i="13"/>
  <c r="O405" i="13" s="1"/>
  <c r="P405" i="13" s="1"/>
  <c r="J405" i="10" s="1"/>
  <c r="N114" i="13"/>
  <c r="O114" i="13" s="1"/>
  <c r="P114" i="13" s="1"/>
  <c r="J114" i="24" s="1"/>
  <c r="N76" i="13"/>
  <c r="O76" i="13" s="1"/>
  <c r="P76" i="13" s="1"/>
  <c r="N76" i="16" s="1"/>
  <c r="N133" i="13"/>
  <c r="O133" i="13" s="1"/>
  <c r="P133" i="13" s="1"/>
  <c r="N471" i="13"/>
  <c r="O471" i="13" s="1"/>
  <c r="P471" i="13" s="1"/>
  <c r="J471" i="24" s="1"/>
  <c r="N50" i="13"/>
  <c r="O50" i="13" s="1"/>
  <c r="P50" i="13" s="1"/>
  <c r="N273" i="13"/>
  <c r="O273" i="13" s="1"/>
  <c r="P273" i="13" s="1"/>
  <c r="P273" i="18" s="1"/>
  <c r="N419" i="13"/>
  <c r="O419" i="13" s="1"/>
  <c r="P419" i="13" s="1"/>
  <c r="N155" i="13"/>
  <c r="O155" i="13" s="1"/>
  <c r="P155" i="13" s="1"/>
  <c r="J155" i="24" s="1"/>
  <c r="N192" i="13"/>
  <c r="O192" i="13" s="1"/>
  <c r="P192" i="13" s="1"/>
  <c r="N192" i="16" s="1"/>
  <c r="J401" i="24"/>
  <c r="N401" i="16"/>
  <c r="N432" i="16"/>
  <c r="J432" i="24"/>
  <c r="J102" i="10"/>
  <c r="J102" i="24"/>
  <c r="N102" i="16"/>
  <c r="N148" i="13"/>
  <c r="O148" i="13" s="1"/>
  <c r="P148" i="13" s="1"/>
  <c r="J148" i="10" s="1"/>
  <c r="N121" i="13"/>
  <c r="O121" i="13" s="1"/>
  <c r="P121" i="13" s="1"/>
  <c r="J121" i="10" s="1"/>
  <c r="N74" i="13"/>
  <c r="O74" i="13" s="1"/>
  <c r="P74" i="13" s="1"/>
  <c r="N377" i="13"/>
  <c r="O377" i="13" s="1"/>
  <c r="P377" i="13" s="1"/>
  <c r="P377" i="18" s="1"/>
  <c r="N259" i="13"/>
  <c r="O259" i="13" s="1"/>
  <c r="P259" i="13" s="1"/>
  <c r="N329" i="13"/>
  <c r="O329" i="13" s="1"/>
  <c r="P329" i="13" s="1"/>
  <c r="J329" i="24" s="1"/>
  <c r="N250" i="13"/>
  <c r="O250" i="13" s="1"/>
  <c r="P250" i="13" s="1"/>
  <c r="N320" i="13"/>
  <c r="O320" i="13" s="1"/>
  <c r="P320" i="13" s="1"/>
  <c r="J320" i="24" s="1"/>
  <c r="N98" i="13"/>
  <c r="O98" i="13" s="1"/>
  <c r="P98" i="13" s="1"/>
  <c r="N98" i="16" s="1"/>
  <c r="N135" i="13"/>
  <c r="O135" i="13" s="1"/>
  <c r="P135" i="13" s="1"/>
  <c r="N135" i="16" s="1"/>
  <c r="N381" i="13"/>
  <c r="O381" i="13" s="1"/>
  <c r="P381" i="13" s="1"/>
  <c r="N503" i="13"/>
  <c r="O503" i="13" s="1"/>
  <c r="P503" i="13" s="1"/>
  <c r="J503" i="24" s="1"/>
  <c r="N220" i="13"/>
  <c r="O220" i="13" s="1"/>
  <c r="P220" i="13" s="1"/>
  <c r="N403" i="13"/>
  <c r="O403" i="13" s="1"/>
  <c r="P403" i="13" s="1"/>
  <c r="J403" i="10" s="1"/>
  <c r="N152" i="13"/>
  <c r="O152" i="13" s="1"/>
  <c r="P152" i="13" s="1"/>
  <c r="P152" i="18" s="1"/>
  <c r="N318" i="13"/>
  <c r="O318" i="13" s="1"/>
  <c r="P318" i="13" s="1"/>
  <c r="J318" i="10" s="1"/>
  <c r="N47" i="13"/>
  <c r="O47" i="13" s="1"/>
  <c r="P47" i="13" s="1"/>
  <c r="P47" i="18" s="1"/>
  <c r="N344" i="13"/>
  <c r="O344" i="13" s="1"/>
  <c r="P344" i="13" s="1"/>
  <c r="P344" i="18" s="1"/>
  <c r="P105" i="18"/>
  <c r="N49" i="13"/>
  <c r="O49" i="13" s="1"/>
  <c r="P49" i="13" s="1"/>
  <c r="P49" i="18" s="1"/>
  <c r="N141" i="13"/>
  <c r="O141" i="13" s="1"/>
  <c r="P141" i="13" s="1"/>
  <c r="N307" i="13"/>
  <c r="O307" i="13" s="1"/>
  <c r="P307" i="13" s="1"/>
  <c r="J307" i="24" s="1"/>
  <c r="N479" i="13"/>
  <c r="O479" i="13" s="1"/>
  <c r="P479" i="13" s="1"/>
  <c r="N462" i="13"/>
  <c r="O462" i="13" s="1"/>
  <c r="P462" i="13" s="1"/>
  <c r="J462" i="10" s="1"/>
  <c r="P470" i="18"/>
  <c r="N112" i="13"/>
  <c r="O112" i="13" s="1"/>
  <c r="P112" i="13" s="1"/>
  <c r="P112" i="18" s="1"/>
  <c r="N364" i="13"/>
  <c r="O364" i="13" s="1"/>
  <c r="P364" i="13" s="1"/>
  <c r="J105" i="10"/>
  <c r="N153" i="13"/>
  <c r="O153" i="13" s="1"/>
  <c r="P153" i="13" s="1"/>
  <c r="N68" i="13"/>
  <c r="O68" i="13" s="1"/>
  <c r="P68" i="13" s="1"/>
  <c r="J68" i="24" s="1"/>
  <c r="N222" i="13"/>
  <c r="O222" i="13" s="1"/>
  <c r="P222" i="13" s="1"/>
  <c r="N182" i="13"/>
  <c r="O182" i="13" s="1"/>
  <c r="P182" i="13" s="1"/>
  <c r="J182" i="24" s="1"/>
  <c r="N297" i="13"/>
  <c r="O297" i="13" s="1"/>
  <c r="P297" i="13" s="1"/>
  <c r="N297" i="16" s="1"/>
  <c r="N323" i="13"/>
  <c r="O323" i="13" s="1"/>
  <c r="P323" i="13" s="1"/>
  <c r="J323" i="24" s="1"/>
  <c r="N60" i="13"/>
  <c r="O60" i="13" s="1"/>
  <c r="P60" i="13" s="1"/>
  <c r="J60" i="24" s="1"/>
  <c r="N215" i="13"/>
  <c r="O215" i="13" s="1"/>
  <c r="P215" i="13" s="1"/>
  <c r="J215" i="24" s="1"/>
  <c r="N461" i="13"/>
  <c r="O461" i="13" s="1"/>
  <c r="P461" i="13" s="1"/>
  <c r="N217" i="13"/>
  <c r="O217" i="13" s="1"/>
  <c r="P217" i="13" s="1"/>
  <c r="N217" i="16" s="1"/>
  <c r="N327" i="13"/>
  <c r="O327" i="13" s="1"/>
  <c r="P327" i="13" s="1"/>
  <c r="P327" i="18" s="1"/>
  <c r="N142" i="13"/>
  <c r="O142" i="13" s="1"/>
  <c r="P142" i="13" s="1"/>
  <c r="J142" i="24" s="1"/>
  <c r="N262" i="13"/>
  <c r="O262" i="13" s="1"/>
  <c r="P262" i="13" s="1"/>
  <c r="N262" i="16" s="1"/>
  <c r="N110" i="13"/>
  <c r="O110" i="13" s="1"/>
  <c r="P110" i="13" s="1"/>
  <c r="J110" i="24" s="1"/>
  <c r="N78" i="13"/>
  <c r="O78" i="13" s="1"/>
  <c r="P78" i="13" s="1"/>
  <c r="J78" i="24" s="1"/>
  <c r="N39" i="13"/>
  <c r="O39" i="13" s="1"/>
  <c r="P39" i="13" s="1"/>
  <c r="J39" i="10" s="1"/>
  <c r="N37" i="13"/>
  <c r="O37" i="13" s="1"/>
  <c r="P37" i="13" s="1"/>
  <c r="N225" i="13"/>
  <c r="O225" i="13" s="1"/>
  <c r="P225" i="13" s="1"/>
  <c r="N225" i="16" s="1"/>
  <c r="N92" i="13"/>
  <c r="O92" i="13" s="1"/>
  <c r="P92" i="13" s="1"/>
  <c r="N173" i="13"/>
  <c r="O173" i="13" s="1"/>
  <c r="P173" i="13" s="1"/>
  <c r="J173" i="24" s="1"/>
  <c r="N253" i="13"/>
  <c r="O253" i="13" s="1"/>
  <c r="P253" i="13" s="1"/>
  <c r="J253" i="24" s="1"/>
  <c r="N415" i="13"/>
  <c r="O415" i="13" s="1"/>
  <c r="P415" i="13" s="1"/>
  <c r="J415" i="10" s="1"/>
  <c r="N473" i="13"/>
  <c r="O473" i="13" s="1"/>
  <c r="P473" i="13" s="1"/>
  <c r="P473" i="18" s="1"/>
  <c r="N487" i="13"/>
  <c r="O487" i="13" s="1"/>
  <c r="P487" i="13" s="1"/>
  <c r="J487" i="10" s="1"/>
  <c r="N234" i="13"/>
  <c r="O234" i="13" s="1"/>
  <c r="P234" i="13" s="1"/>
  <c r="N366" i="13"/>
  <c r="O366" i="13" s="1"/>
  <c r="P366" i="13" s="1"/>
  <c r="J366" i="24" s="1"/>
  <c r="N175" i="13"/>
  <c r="O175" i="13" s="1"/>
  <c r="P175" i="13" s="1"/>
  <c r="N124" i="13"/>
  <c r="O124" i="13" s="1"/>
  <c r="P124" i="13" s="1"/>
  <c r="J124" i="24" s="1"/>
  <c r="N266" i="13"/>
  <c r="O266" i="13" s="1"/>
  <c r="P266" i="13" s="1"/>
  <c r="J266" i="24" s="1"/>
  <c r="N396" i="20"/>
  <c r="O396" i="20" s="1"/>
  <c r="P396" i="20" s="1"/>
  <c r="Y5" i="20" s="1" a="1"/>
  <c r="N80" i="13"/>
  <c r="O80" i="13" s="1"/>
  <c r="P80" i="13" s="1"/>
  <c r="P80" i="18" s="1"/>
  <c r="N126" i="13"/>
  <c r="O126" i="13" s="1"/>
  <c r="P126" i="13" s="1"/>
  <c r="J126" i="24" s="1"/>
  <c r="N462" i="20"/>
  <c r="O462" i="20" s="1"/>
  <c r="P462" i="20" s="1"/>
  <c r="N404" i="13"/>
  <c r="O404" i="13" s="1"/>
  <c r="P404" i="13" s="1"/>
  <c r="P404" i="18" s="1"/>
  <c r="N371" i="13"/>
  <c r="O371" i="13" s="1"/>
  <c r="P371" i="13" s="1"/>
  <c r="N218" i="13"/>
  <c r="O218" i="13" s="1"/>
  <c r="P218" i="13" s="1"/>
  <c r="J218" i="24" s="1"/>
  <c r="N16" i="13"/>
  <c r="O16" i="13" s="1"/>
  <c r="P16" i="13" s="1"/>
  <c r="P16" i="18" s="1"/>
  <c r="N198" i="13"/>
  <c r="O198" i="13" s="1"/>
  <c r="P198" i="13" s="1"/>
  <c r="J198" i="24" s="1"/>
  <c r="N179" i="13"/>
  <c r="O179" i="13" s="1"/>
  <c r="P179" i="13" s="1"/>
  <c r="J179" i="24" s="1"/>
  <c r="N326" i="13"/>
  <c r="O326" i="13" s="1"/>
  <c r="P326" i="13" s="1"/>
  <c r="P326" i="18" s="1"/>
  <c r="N474" i="13"/>
  <c r="O474" i="13" s="1"/>
  <c r="P474" i="13" s="1"/>
  <c r="N472" i="13"/>
  <c r="O472" i="13" s="1"/>
  <c r="P472" i="13" s="1"/>
  <c r="P472" i="18" s="1"/>
  <c r="P102" i="18"/>
  <c r="N83" i="13"/>
  <c r="O83" i="13" s="1"/>
  <c r="P83" i="13" s="1"/>
  <c r="N83" i="16" s="1"/>
  <c r="N58" i="13"/>
  <c r="O58" i="13" s="1"/>
  <c r="P58" i="13" s="1"/>
  <c r="N58" i="16" s="1"/>
  <c r="N180" i="13"/>
  <c r="O180" i="13" s="1"/>
  <c r="P180" i="13" s="1"/>
  <c r="J180" i="24" s="1"/>
  <c r="N294" i="13"/>
  <c r="O294" i="13" s="1"/>
  <c r="P294" i="13" s="1"/>
  <c r="J294" i="24" s="1"/>
  <c r="N411" i="13"/>
  <c r="O411" i="13" s="1"/>
  <c r="P411" i="13" s="1"/>
  <c r="J411" i="24" s="1"/>
  <c r="N434" i="13"/>
  <c r="O434" i="13" s="1"/>
  <c r="P434" i="13" s="1"/>
  <c r="N425" i="13"/>
  <c r="O425" i="13" s="1"/>
  <c r="P425" i="13" s="1"/>
  <c r="J425" i="24" s="1"/>
  <c r="N449" i="13"/>
  <c r="O449" i="13" s="1"/>
  <c r="P449" i="13" s="1"/>
  <c r="N494" i="13"/>
  <c r="O494" i="13" s="1"/>
  <c r="P494" i="13" s="1"/>
  <c r="J494" i="24" s="1"/>
  <c r="N131" i="13"/>
  <c r="O131" i="13" s="1"/>
  <c r="P131" i="13" s="1"/>
  <c r="J131" i="24" s="1"/>
  <c r="N335" i="13"/>
  <c r="O335" i="13" s="1"/>
  <c r="P335" i="13" s="1"/>
  <c r="J335" i="10" s="1"/>
  <c r="N4" i="22"/>
  <c r="N5" i="22" s="1"/>
  <c r="N6" i="22" s="1"/>
  <c r="N7" i="22" s="1"/>
  <c r="N8" i="22" s="1"/>
  <c r="N9" i="22" s="1"/>
  <c r="N10" i="22" s="1"/>
  <c r="N11" i="22" s="1"/>
  <c r="N12" i="22" s="1"/>
  <c r="N13" i="22" s="1"/>
  <c r="N14" i="22" s="1"/>
  <c r="N15" i="22" s="1"/>
  <c r="N16" i="22" s="1"/>
  <c r="N17" i="22" s="1"/>
  <c r="N18" i="22" s="1"/>
  <c r="N19" i="22" s="1"/>
  <c r="N20" i="22" s="1"/>
  <c r="N21" i="22" s="1"/>
  <c r="N22" i="22" s="1"/>
  <c r="N23" i="22" s="1"/>
  <c r="N24" i="22" s="1"/>
  <c r="N25" i="22" s="1"/>
  <c r="N26" i="22" s="1"/>
  <c r="N27" i="22" s="1"/>
  <c r="N28" i="22" s="1"/>
  <c r="N29" i="22" s="1"/>
  <c r="N30" i="22" s="1"/>
  <c r="N31" i="22" s="1"/>
  <c r="N32" i="22" s="1"/>
  <c r="N33" i="22" s="1"/>
  <c r="N34" i="22" s="1"/>
  <c r="N35" i="22" s="1"/>
  <c r="N36" i="22" s="1"/>
  <c r="N37" i="22" s="1"/>
  <c r="N38" i="22" s="1"/>
  <c r="N39" i="22" s="1"/>
  <c r="N40" i="22" s="1"/>
  <c r="N41" i="22" s="1"/>
  <c r="N42" i="22" s="1"/>
  <c r="N43" i="22" s="1"/>
  <c r="N44" i="22" s="1"/>
  <c r="N45" i="22" s="1"/>
  <c r="N46" i="22" s="1"/>
  <c r="N47" i="22" s="1"/>
  <c r="N48" i="22" s="1"/>
  <c r="N49" i="22" s="1"/>
  <c r="N50" i="22" s="1"/>
  <c r="N51" i="22" s="1"/>
  <c r="N52" i="22" s="1"/>
  <c r="N53" i="22" s="1"/>
  <c r="N54" i="22" s="1"/>
  <c r="N55" i="22" s="1"/>
  <c r="N56" i="22" s="1"/>
  <c r="N57" i="22" s="1"/>
  <c r="N58" i="22" s="1"/>
  <c r="N59" i="22" s="1"/>
  <c r="N60" i="22" s="1"/>
  <c r="N61" i="22" s="1"/>
  <c r="N62" i="22" s="1"/>
  <c r="N63" i="22" s="1"/>
  <c r="N64" i="22" s="1"/>
  <c r="N65" i="22" s="1"/>
  <c r="N66" i="22" s="1"/>
  <c r="N67" i="22" s="1"/>
  <c r="N68" i="22" s="1"/>
  <c r="N69" i="22" s="1"/>
  <c r="N70" i="22" s="1"/>
  <c r="N71" i="22" s="1"/>
  <c r="N72" i="22" s="1"/>
  <c r="N73" i="22" s="1"/>
  <c r="N74" i="22" s="1"/>
  <c r="N75" i="22" s="1"/>
  <c r="N76" i="22" s="1"/>
  <c r="N77" i="22" s="1"/>
  <c r="N78" i="22" s="1"/>
  <c r="N79" i="22" s="1"/>
  <c r="N80" i="22" s="1"/>
  <c r="N81" i="22" s="1"/>
  <c r="N82" i="22" s="1"/>
  <c r="N83" i="22" s="1"/>
  <c r="N84" i="22" s="1"/>
  <c r="N85" i="22" s="1"/>
  <c r="N86" i="22" s="1"/>
  <c r="N87" i="22" s="1"/>
  <c r="N88" i="22" s="1"/>
  <c r="N89" i="22" s="1"/>
  <c r="N90" i="22" s="1"/>
  <c r="N91" i="22" s="1"/>
  <c r="N92" i="22" s="1"/>
  <c r="N93" i="22" s="1"/>
  <c r="N94" i="22" s="1"/>
  <c r="N95" i="22" s="1"/>
  <c r="N96" i="22" s="1"/>
  <c r="N97" i="22" s="1"/>
  <c r="N98" i="22" s="1"/>
  <c r="N99" i="22" s="1"/>
  <c r="N100" i="22" s="1"/>
  <c r="N101" i="22" s="1"/>
  <c r="N102" i="22" s="1"/>
  <c r="N103" i="22" s="1"/>
  <c r="N104" i="22" s="1"/>
  <c r="N105" i="22" s="1"/>
  <c r="N106" i="22" s="1"/>
  <c r="N107" i="22" s="1"/>
  <c r="N108" i="22" s="1"/>
  <c r="N109" i="22" s="1"/>
  <c r="N110" i="22" s="1"/>
  <c r="N111" i="22" s="1"/>
  <c r="N112" i="22" s="1"/>
  <c r="N113" i="22" s="1"/>
  <c r="N114" i="22" s="1"/>
  <c r="N115" i="22" s="1"/>
  <c r="N116" i="22" s="1"/>
  <c r="N117" i="22" s="1"/>
  <c r="N118" i="22" s="1"/>
  <c r="N119" i="22" s="1"/>
  <c r="N120" i="22" s="1"/>
  <c r="N121" i="22" s="1"/>
  <c r="N122" i="22" s="1"/>
  <c r="N123" i="22" s="1"/>
  <c r="N124" i="22" s="1"/>
  <c r="N125" i="22" s="1"/>
  <c r="N126" i="22" s="1"/>
  <c r="N127" i="22" s="1"/>
  <c r="N128" i="22" s="1"/>
  <c r="N129" i="22" s="1"/>
  <c r="N130" i="22" s="1"/>
  <c r="N131" i="22" s="1"/>
  <c r="N132" i="22" s="1"/>
  <c r="N133" i="22" s="1"/>
  <c r="N134" i="22" s="1"/>
  <c r="N135" i="22" s="1"/>
  <c r="N136" i="22" s="1"/>
  <c r="N137" i="22" s="1"/>
  <c r="N138" i="22" s="1"/>
  <c r="N139" i="22" s="1"/>
  <c r="N140" i="22" s="1"/>
  <c r="N141" i="22" s="1"/>
  <c r="N142" i="22" s="1"/>
  <c r="N143" i="22" s="1"/>
  <c r="N144" i="22" s="1"/>
  <c r="N145" i="22" s="1"/>
  <c r="N146" i="22" s="1"/>
  <c r="N147" i="22" s="1"/>
  <c r="N148" i="22" s="1"/>
  <c r="N149" i="22" s="1"/>
  <c r="N150" i="22" s="1"/>
  <c r="N151" i="22" s="1"/>
  <c r="N152" i="22" s="1"/>
  <c r="N153" i="22" s="1"/>
  <c r="N154" i="22" s="1"/>
  <c r="N155" i="22" s="1"/>
  <c r="N156" i="22" s="1"/>
  <c r="N157" i="22" s="1"/>
  <c r="N158" i="22" s="1"/>
  <c r="N159" i="22" s="1"/>
  <c r="N160" i="22" s="1"/>
  <c r="N161" i="22" s="1"/>
  <c r="N162" i="22" s="1"/>
  <c r="N163" i="22" s="1"/>
  <c r="N164" i="22" s="1"/>
  <c r="N165" i="22" s="1"/>
  <c r="N166" i="22" s="1"/>
  <c r="N167" i="22" s="1"/>
  <c r="N168" i="22" s="1"/>
  <c r="N169" i="22" s="1"/>
  <c r="N170" i="22" s="1"/>
  <c r="N171" i="22" s="1"/>
  <c r="N172" i="22" s="1"/>
  <c r="N173" i="22" s="1"/>
  <c r="N174" i="22" s="1"/>
  <c r="N175" i="22" s="1"/>
  <c r="N176" i="22" s="1"/>
  <c r="N177" i="22" s="1"/>
  <c r="N178" i="22" s="1"/>
  <c r="N179" i="22" s="1"/>
  <c r="N180" i="22" s="1"/>
  <c r="N181" i="22" s="1"/>
  <c r="N182" i="22" s="1"/>
  <c r="N183" i="22" s="1"/>
  <c r="N184" i="22" s="1"/>
  <c r="N185" i="22" s="1"/>
  <c r="N186" i="22" s="1"/>
  <c r="N187" i="22" s="1"/>
  <c r="N188" i="22" s="1"/>
  <c r="N189" i="22" s="1"/>
  <c r="N190" i="22" s="1"/>
  <c r="N191" i="22" s="1"/>
  <c r="N192" i="22" s="1"/>
  <c r="N193" i="22" s="1"/>
  <c r="N194" i="22" s="1"/>
  <c r="N195" i="22" s="1"/>
  <c r="N196" i="22" s="1"/>
  <c r="N197" i="22" s="1"/>
  <c r="N198" i="22" s="1"/>
  <c r="N199" i="22" s="1"/>
  <c r="N200" i="22" s="1"/>
  <c r="N201" i="22" s="1"/>
  <c r="N202" i="22" s="1"/>
  <c r="N203" i="22" s="1"/>
  <c r="N204" i="22" s="1"/>
  <c r="N205" i="22" s="1"/>
  <c r="N206" i="22" s="1"/>
  <c r="N207" i="22" s="1"/>
  <c r="N208" i="22" s="1"/>
  <c r="N209" i="22" s="1"/>
  <c r="N210" i="22" s="1"/>
  <c r="N211" i="22" s="1"/>
  <c r="N212" i="22" s="1"/>
  <c r="N213" i="22" s="1"/>
  <c r="N214" i="22" s="1"/>
  <c r="N215" i="22" s="1"/>
  <c r="N216" i="22" s="1"/>
  <c r="N217" i="22" s="1"/>
  <c r="N218" i="22" s="1"/>
  <c r="N219" i="22" s="1"/>
  <c r="N220" i="22" s="1"/>
  <c r="N221" i="22" s="1"/>
  <c r="N222" i="22" s="1"/>
  <c r="N223" i="22" s="1"/>
  <c r="N224" i="22" s="1"/>
  <c r="N225" i="22" s="1"/>
  <c r="N226" i="22" s="1"/>
  <c r="N227" i="22" s="1"/>
  <c r="N228" i="22" s="1"/>
  <c r="N229" i="22" s="1"/>
  <c r="N230" i="22" s="1"/>
  <c r="N231" i="22" s="1"/>
  <c r="N232" i="22" s="1"/>
  <c r="N233" i="22" s="1"/>
  <c r="N234" i="22" s="1"/>
  <c r="N235" i="22" s="1"/>
  <c r="N236" i="22" s="1"/>
  <c r="N237" i="22" s="1"/>
  <c r="N238" i="22" s="1"/>
  <c r="N239" i="22" s="1"/>
  <c r="N240" i="22" s="1"/>
  <c r="N241" i="22" s="1"/>
  <c r="N242" i="22" s="1"/>
  <c r="N243" i="22" s="1"/>
  <c r="N244" i="22" s="1"/>
  <c r="N245" i="22" s="1"/>
  <c r="N246" i="22" s="1"/>
  <c r="N247" i="22" s="1"/>
  <c r="N248" i="22" s="1"/>
  <c r="N249" i="22" s="1"/>
  <c r="N250" i="22" s="1"/>
  <c r="N251" i="22" s="1"/>
  <c r="N252" i="22" s="1"/>
  <c r="N253" i="22" s="1"/>
  <c r="N254" i="22" s="1"/>
  <c r="N255" i="22" s="1"/>
  <c r="N256" i="22" s="1"/>
  <c r="N257" i="22" s="1"/>
  <c r="N258" i="22" s="1"/>
  <c r="N259" i="22" s="1"/>
  <c r="N260" i="22" s="1"/>
  <c r="N261" i="22" s="1"/>
  <c r="N262" i="22" s="1"/>
  <c r="N263" i="22" s="1"/>
  <c r="N264" i="22" s="1"/>
  <c r="N265" i="22" s="1"/>
  <c r="N266" i="22" s="1"/>
  <c r="N267" i="22" s="1"/>
  <c r="N268" i="22" s="1"/>
  <c r="N269" i="22" s="1"/>
  <c r="N270" i="22" s="1"/>
  <c r="N271" i="22" s="1"/>
  <c r="N272" i="22" s="1"/>
  <c r="N273" i="22" s="1"/>
  <c r="N274" i="22" s="1"/>
  <c r="N275" i="22" s="1"/>
  <c r="N276" i="22" s="1"/>
  <c r="N277" i="22" s="1"/>
  <c r="N278" i="22" s="1"/>
  <c r="N279" i="22" s="1"/>
  <c r="N280" i="22" s="1"/>
  <c r="N281" i="22" s="1"/>
  <c r="N282" i="22" s="1"/>
  <c r="N283" i="22" s="1"/>
  <c r="N284" i="22" s="1"/>
  <c r="N285" i="22" s="1"/>
  <c r="N286" i="22" s="1"/>
  <c r="N287" i="22" s="1"/>
  <c r="N288" i="22" s="1"/>
  <c r="N289" i="22" s="1"/>
  <c r="N290" i="22" s="1"/>
  <c r="N291" i="22" s="1"/>
  <c r="N292" i="22" s="1"/>
  <c r="N293" i="22" s="1"/>
  <c r="N294" i="22" s="1"/>
  <c r="N295" i="22" s="1"/>
  <c r="N296" i="22" s="1"/>
  <c r="N297" i="22" s="1"/>
  <c r="N298" i="22" s="1"/>
  <c r="N299" i="22" s="1"/>
  <c r="N300" i="22" s="1"/>
  <c r="N301" i="22" s="1"/>
  <c r="N302" i="22" s="1"/>
  <c r="N303" i="22" s="1"/>
  <c r="N304" i="22" s="1"/>
  <c r="N305" i="22" s="1"/>
  <c r="N306" i="22" s="1"/>
  <c r="N307" i="22" s="1"/>
  <c r="N308" i="22" s="1"/>
  <c r="N309" i="22" s="1"/>
  <c r="N310" i="22" s="1"/>
  <c r="N311" i="22" s="1"/>
  <c r="N312" i="22" s="1"/>
  <c r="N313" i="22" s="1"/>
  <c r="N314" i="22" s="1"/>
  <c r="N315" i="22" s="1"/>
  <c r="N316" i="22" s="1"/>
  <c r="N317" i="22" s="1"/>
  <c r="N318" i="22" s="1"/>
  <c r="N319" i="22" s="1"/>
  <c r="N320" i="22" s="1"/>
  <c r="N321" i="22" s="1"/>
  <c r="N322" i="22" s="1"/>
  <c r="N323" i="22" s="1"/>
  <c r="N324" i="22" s="1"/>
  <c r="N325" i="22" s="1"/>
  <c r="N326" i="22" s="1"/>
  <c r="N327" i="22" s="1"/>
  <c r="N328" i="22" s="1"/>
  <c r="N329" i="22" s="1"/>
  <c r="N330" i="22" s="1"/>
  <c r="N331" i="22" s="1"/>
  <c r="N332" i="22" s="1"/>
  <c r="N333" i="22" s="1"/>
  <c r="N334" i="22" s="1"/>
  <c r="N335" i="22" s="1"/>
  <c r="N336" i="22" s="1"/>
  <c r="N337" i="22" s="1"/>
  <c r="N338" i="22" s="1"/>
  <c r="N339" i="22" s="1"/>
  <c r="N340" i="22" s="1"/>
  <c r="N341" i="22" s="1"/>
  <c r="N342" i="22" s="1"/>
  <c r="N343" i="22" s="1"/>
  <c r="N344" i="22" s="1"/>
  <c r="N345" i="22" s="1"/>
  <c r="N346" i="22" s="1"/>
  <c r="N347" i="22" s="1"/>
  <c r="N348" i="22" s="1"/>
  <c r="N349" i="22" s="1"/>
  <c r="N350" i="22" s="1"/>
  <c r="N351" i="22" s="1"/>
  <c r="N352" i="22" s="1"/>
  <c r="N353" i="22" s="1"/>
  <c r="N354" i="22" s="1"/>
  <c r="N355" i="22" s="1"/>
  <c r="N356" i="22" s="1"/>
  <c r="N357" i="22" s="1"/>
  <c r="N358" i="22" s="1"/>
  <c r="N359" i="22" s="1"/>
  <c r="N360" i="22" s="1"/>
  <c r="N361" i="22" s="1"/>
  <c r="N362" i="22" s="1"/>
  <c r="N363" i="22" s="1"/>
  <c r="N364" i="22" s="1"/>
  <c r="N365" i="22" s="1"/>
  <c r="N366" i="22" s="1"/>
  <c r="N367" i="22" s="1"/>
  <c r="N368" i="22" s="1"/>
  <c r="N369" i="22" s="1"/>
  <c r="N370" i="22" s="1"/>
  <c r="N371" i="22" s="1"/>
  <c r="N372" i="22" s="1"/>
  <c r="N373" i="22" s="1"/>
  <c r="N374" i="22" s="1"/>
  <c r="N375" i="22" s="1"/>
  <c r="N376" i="22" s="1"/>
  <c r="N377" i="22" s="1"/>
  <c r="N378" i="22" s="1"/>
  <c r="N379" i="22" s="1"/>
  <c r="N380" i="22" s="1"/>
  <c r="N381" i="22" s="1"/>
  <c r="N382" i="22" s="1"/>
  <c r="N383" i="22" s="1"/>
  <c r="N384" i="22" s="1"/>
  <c r="N385" i="22" s="1"/>
  <c r="N386" i="22" s="1"/>
  <c r="N387" i="22" s="1"/>
  <c r="N388" i="22" s="1"/>
  <c r="N389" i="22" s="1"/>
  <c r="N390" i="22" s="1"/>
  <c r="N391" i="22" s="1"/>
  <c r="N392" i="22" s="1"/>
  <c r="N393" i="22" s="1"/>
  <c r="N394" i="22" s="1"/>
  <c r="N395" i="22" s="1"/>
  <c r="N396" i="22" s="1"/>
  <c r="N397" i="22" s="1"/>
  <c r="N398" i="22" s="1"/>
  <c r="N399" i="22" s="1"/>
  <c r="N400" i="22" s="1"/>
  <c r="N401" i="22" s="1"/>
  <c r="N402" i="22" s="1"/>
  <c r="N403" i="22" s="1"/>
  <c r="N404" i="22" s="1"/>
  <c r="N405" i="22" s="1"/>
  <c r="N406" i="22" s="1"/>
  <c r="N407" i="22" s="1"/>
  <c r="N408" i="22" s="1"/>
  <c r="N409" i="22" s="1"/>
  <c r="N410" i="22" s="1"/>
  <c r="N411" i="22" s="1"/>
  <c r="N412" i="22" s="1"/>
  <c r="N413" i="22" s="1"/>
  <c r="N414" i="22" s="1"/>
  <c r="N415" i="22" s="1"/>
  <c r="N416" i="22" s="1"/>
  <c r="N417" i="22" s="1"/>
  <c r="N418" i="22" s="1"/>
  <c r="N419" i="22" s="1"/>
  <c r="N420" i="22" s="1"/>
  <c r="N421" i="22" s="1"/>
  <c r="N422" i="22" s="1"/>
  <c r="N423" i="22" s="1"/>
  <c r="N424" i="22" s="1"/>
  <c r="N425" i="22" s="1"/>
  <c r="N426" i="22" s="1"/>
  <c r="N427" i="22" s="1"/>
  <c r="N428" i="22" s="1"/>
  <c r="N429" i="22" s="1"/>
  <c r="N430" i="22" s="1"/>
  <c r="N431" i="22" s="1"/>
  <c r="N432" i="22" s="1"/>
  <c r="N433" i="22" s="1"/>
  <c r="N434" i="22" s="1"/>
  <c r="N435" i="22" s="1"/>
  <c r="N436" i="22" s="1"/>
  <c r="N437" i="22" s="1"/>
  <c r="N438" i="22" s="1"/>
  <c r="N439" i="22" s="1"/>
  <c r="N440" i="22" s="1"/>
  <c r="N441" i="22" s="1"/>
  <c r="N442" i="22" s="1"/>
  <c r="N443" i="22" s="1"/>
  <c r="N444" i="22" s="1"/>
  <c r="N445" i="22" s="1"/>
  <c r="N446" i="22" s="1"/>
  <c r="N447" i="22" s="1"/>
  <c r="N448" i="22" s="1"/>
  <c r="N449" i="22" s="1"/>
  <c r="N450" i="22" s="1"/>
  <c r="N451" i="22" s="1"/>
  <c r="N452" i="22" s="1"/>
  <c r="N453" i="22" s="1"/>
  <c r="N454" i="22" s="1"/>
  <c r="N455" i="22" s="1"/>
  <c r="N456" i="22" s="1"/>
  <c r="N457" i="22" s="1"/>
  <c r="N458" i="22" s="1"/>
  <c r="N459" i="22" s="1"/>
  <c r="N460" i="22" s="1"/>
  <c r="N461" i="22" s="1"/>
  <c r="N462" i="22" s="1"/>
  <c r="N463" i="22" s="1"/>
  <c r="N464" i="22" s="1"/>
  <c r="N465" i="22" s="1"/>
  <c r="N466" i="22" s="1"/>
  <c r="N467" i="22" s="1"/>
  <c r="N468" i="22" s="1"/>
  <c r="N469" i="22" s="1"/>
  <c r="N470" i="22" s="1"/>
  <c r="N471" i="22" s="1"/>
  <c r="N472" i="22" s="1"/>
  <c r="N473" i="22" s="1"/>
  <c r="N474" i="22" s="1"/>
  <c r="N475" i="22" s="1"/>
  <c r="N476" i="22" s="1"/>
  <c r="N477" i="22" s="1"/>
  <c r="N478" i="22" s="1"/>
  <c r="N479" i="22" s="1"/>
  <c r="N480" i="22" s="1"/>
  <c r="N481" i="22" s="1"/>
  <c r="N482" i="22" s="1"/>
  <c r="N483" i="22" s="1"/>
  <c r="N484" i="22" s="1"/>
  <c r="N485" i="22" s="1"/>
  <c r="N486" i="22" s="1"/>
  <c r="N487" i="22" s="1"/>
  <c r="N488" i="22" s="1"/>
  <c r="N489" i="22" s="1"/>
  <c r="N490" i="22" s="1"/>
  <c r="N491" i="22" s="1"/>
  <c r="N492" i="22" s="1"/>
  <c r="N493" i="22" s="1"/>
  <c r="N494" i="22" s="1"/>
  <c r="N495" i="22" s="1"/>
  <c r="N496" i="22" s="1"/>
  <c r="N497" i="22" s="1"/>
  <c r="N498" i="22" s="1"/>
  <c r="N499" i="22" s="1"/>
  <c r="N500" i="22" s="1"/>
  <c r="N501" i="22" s="1"/>
  <c r="N502" i="22" s="1"/>
  <c r="N503" i="22" s="1"/>
  <c r="N504" i="22" s="1"/>
  <c r="W6" i="22" s="1"/>
  <c r="U8" i="22" s="1"/>
  <c r="U23" i="22" s="1"/>
  <c r="J4" i="22"/>
  <c r="J5" i="22" s="1"/>
  <c r="J6" i="22" s="1"/>
  <c r="J7" i="22" s="1"/>
  <c r="J8" i="22" s="1"/>
  <c r="J9" i="22" s="1"/>
  <c r="J10" i="22" s="1"/>
  <c r="J11" i="22" s="1"/>
  <c r="J12" i="22" s="1"/>
  <c r="J13" i="22" s="1"/>
  <c r="J14" i="22" s="1"/>
  <c r="J15" i="22" s="1"/>
  <c r="J16" i="22" s="1"/>
  <c r="J17" i="22" s="1"/>
  <c r="J18" i="22" s="1"/>
  <c r="J19" i="22" s="1"/>
  <c r="J20" i="22" s="1"/>
  <c r="J21" i="22" s="1"/>
  <c r="J22" i="22" s="1"/>
  <c r="J23" i="22" s="1"/>
  <c r="J24" i="22" s="1"/>
  <c r="J25" i="22" s="1"/>
  <c r="J26" i="22" s="1"/>
  <c r="J27" i="22" s="1"/>
  <c r="J28" i="22" s="1"/>
  <c r="J29" i="22" s="1"/>
  <c r="J30" i="22" s="1"/>
  <c r="J31" i="22" s="1"/>
  <c r="J32" i="22" s="1"/>
  <c r="J33" i="22" s="1"/>
  <c r="J34" i="22" s="1"/>
  <c r="J35" i="22" s="1"/>
  <c r="J36" i="22" s="1"/>
  <c r="J37" i="22" s="1"/>
  <c r="J38" i="22" s="1"/>
  <c r="J39" i="22" s="1"/>
  <c r="J40" i="22" s="1"/>
  <c r="J41" i="22" s="1"/>
  <c r="J42" i="22" s="1"/>
  <c r="J43" i="22" s="1"/>
  <c r="J44" i="22" s="1"/>
  <c r="J45" i="22" s="1"/>
  <c r="J46" i="22" s="1"/>
  <c r="J47" i="22" s="1"/>
  <c r="J48" i="22" s="1"/>
  <c r="J49" i="22" s="1"/>
  <c r="J50" i="22" s="1"/>
  <c r="J51" i="22" s="1"/>
  <c r="J52" i="22" s="1"/>
  <c r="J53" i="22" s="1"/>
  <c r="J54" i="22" s="1"/>
  <c r="J55" i="22" s="1"/>
  <c r="J56" i="22" s="1"/>
  <c r="J57" i="22" s="1"/>
  <c r="J58" i="22" s="1"/>
  <c r="J59" i="22" s="1"/>
  <c r="J60" i="22" s="1"/>
  <c r="J61" i="22" s="1"/>
  <c r="J62" i="22" s="1"/>
  <c r="J63" i="22" s="1"/>
  <c r="J64" i="22" s="1"/>
  <c r="J65" i="22" s="1"/>
  <c r="J66" i="22" s="1"/>
  <c r="J67" i="22" s="1"/>
  <c r="J68" i="22" s="1"/>
  <c r="J69" i="22" s="1"/>
  <c r="J70" i="22" s="1"/>
  <c r="J71" i="22" s="1"/>
  <c r="J72" i="22" s="1"/>
  <c r="J73" i="22" s="1"/>
  <c r="J74" i="22" s="1"/>
  <c r="J75" i="22" s="1"/>
  <c r="J76" i="22" s="1"/>
  <c r="J77" i="22" s="1"/>
  <c r="J78" i="22" s="1"/>
  <c r="J79" i="22" s="1"/>
  <c r="J80" i="22" s="1"/>
  <c r="J81" i="22" s="1"/>
  <c r="J82" i="22" s="1"/>
  <c r="J83" i="22" s="1"/>
  <c r="J84" i="22" s="1"/>
  <c r="J85" i="22" s="1"/>
  <c r="J86" i="22" s="1"/>
  <c r="J87" i="22" s="1"/>
  <c r="J88" i="22" s="1"/>
  <c r="J89" i="22" s="1"/>
  <c r="J90" i="22" s="1"/>
  <c r="J91" i="22" s="1"/>
  <c r="J92" i="22" s="1"/>
  <c r="J93" i="22" s="1"/>
  <c r="J94" i="22" s="1"/>
  <c r="J95" i="22" s="1"/>
  <c r="J96" i="22" s="1"/>
  <c r="J97" i="22" s="1"/>
  <c r="J98" i="22" s="1"/>
  <c r="J99" i="22" s="1"/>
  <c r="J100" i="22" s="1"/>
  <c r="J101" i="22" s="1"/>
  <c r="J102" i="22" s="1"/>
  <c r="J103" i="22" s="1"/>
  <c r="J104" i="22" s="1"/>
  <c r="J105" i="22" s="1"/>
  <c r="J106" i="22" s="1"/>
  <c r="J107" i="22" s="1"/>
  <c r="J108" i="22" s="1"/>
  <c r="J109" i="22" s="1"/>
  <c r="J110" i="22" s="1"/>
  <c r="J111" i="22" s="1"/>
  <c r="J112" i="22" s="1"/>
  <c r="J113" i="22" s="1"/>
  <c r="J114" i="22" s="1"/>
  <c r="J115" i="22" s="1"/>
  <c r="J116" i="22" s="1"/>
  <c r="J117" i="22" s="1"/>
  <c r="J118" i="22" s="1"/>
  <c r="J119" i="22" s="1"/>
  <c r="J120" i="22" s="1"/>
  <c r="J121" i="22" s="1"/>
  <c r="J122" i="22" s="1"/>
  <c r="J123" i="22" s="1"/>
  <c r="J124" i="22" s="1"/>
  <c r="J125" i="22" s="1"/>
  <c r="J126" i="22" s="1"/>
  <c r="J127" i="22" s="1"/>
  <c r="J128" i="22" s="1"/>
  <c r="J129" i="22" s="1"/>
  <c r="J130" i="22" s="1"/>
  <c r="J131" i="22" s="1"/>
  <c r="J132" i="22" s="1"/>
  <c r="J133" i="22" s="1"/>
  <c r="J134" i="22" s="1"/>
  <c r="J135" i="22" s="1"/>
  <c r="J136" i="22" s="1"/>
  <c r="J137" i="22" s="1"/>
  <c r="J138" i="22" s="1"/>
  <c r="J139" i="22" s="1"/>
  <c r="J140" i="22" s="1"/>
  <c r="J141" i="22" s="1"/>
  <c r="J142" i="22" s="1"/>
  <c r="J143" i="22" s="1"/>
  <c r="J144" i="22" s="1"/>
  <c r="J145" i="22" s="1"/>
  <c r="J146" i="22" s="1"/>
  <c r="J147" i="22" s="1"/>
  <c r="J148" i="22" s="1"/>
  <c r="J149" i="22" s="1"/>
  <c r="J150" i="22" s="1"/>
  <c r="J151" i="22" s="1"/>
  <c r="J152" i="22" s="1"/>
  <c r="J153" i="22" s="1"/>
  <c r="J154" i="22" s="1"/>
  <c r="J155" i="22" s="1"/>
  <c r="J156" i="22" s="1"/>
  <c r="J157" i="22" s="1"/>
  <c r="J158" i="22" s="1"/>
  <c r="J159" i="22" s="1"/>
  <c r="J160" i="22" s="1"/>
  <c r="J161" i="22" s="1"/>
  <c r="J162" i="22" s="1"/>
  <c r="J163" i="22" s="1"/>
  <c r="J164" i="22" s="1"/>
  <c r="J165" i="22" s="1"/>
  <c r="J166" i="22" s="1"/>
  <c r="J167" i="22" s="1"/>
  <c r="J168" i="22" s="1"/>
  <c r="J169" i="22" s="1"/>
  <c r="J170" i="22" s="1"/>
  <c r="J171" i="22" s="1"/>
  <c r="J172" i="22" s="1"/>
  <c r="J173" i="22" s="1"/>
  <c r="J174" i="22" s="1"/>
  <c r="J175" i="22" s="1"/>
  <c r="J176" i="22" s="1"/>
  <c r="J177" i="22" s="1"/>
  <c r="J178" i="22" s="1"/>
  <c r="J179" i="22" s="1"/>
  <c r="J180" i="22" s="1"/>
  <c r="J181" i="22" s="1"/>
  <c r="J182" i="22" s="1"/>
  <c r="J183" i="22" s="1"/>
  <c r="J184" i="22" s="1"/>
  <c r="J185" i="22" s="1"/>
  <c r="J186" i="22" s="1"/>
  <c r="J187" i="22" s="1"/>
  <c r="J188" i="22" s="1"/>
  <c r="J189" i="22" s="1"/>
  <c r="J190" i="22" s="1"/>
  <c r="J191" i="22" s="1"/>
  <c r="J192" i="22" s="1"/>
  <c r="J193" i="22" s="1"/>
  <c r="J194" i="22" s="1"/>
  <c r="J195" i="22" s="1"/>
  <c r="J196" i="22" s="1"/>
  <c r="J197" i="22" s="1"/>
  <c r="J198" i="22" s="1"/>
  <c r="J199" i="22" s="1"/>
  <c r="J200" i="22" s="1"/>
  <c r="J201" i="22" s="1"/>
  <c r="J202" i="22" s="1"/>
  <c r="J203" i="22" s="1"/>
  <c r="J204" i="22" s="1"/>
  <c r="J205" i="22" s="1"/>
  <c r="J206" i="22" s="1"/>
  <c r="J207" i="22" s="1"/>
  <c r="J208" i="22" s="1"/>
  <c r="J209" i="22" s="1"/>
  <c r="J210" i="22" s="1"/>
  <c r="J211" i="22" s="1"/>
  <c r="J212" i="22" s="1"/>
  <c r="J213" i="22" s="1"/>
  <c r="J214" i="22" s="1"/>
  <c r="J215" i="22" s="1"/>
  <c r="J216" i="22" s="1"/>
  <c r="J217" i="22" s="1"/>
  <c r="J218" i="22" s="1"/>
  <c r="J219" i="22" s="1"/>
  <c r="J220" i="22" s="1"/>
  <c r="J221" i="22" s="1"/>
  <c r="J222" i="22" s="1"/>
  <c r="J223" i="22" s="1"/>
  <c r="J224" i="22" s="1"/>
  <c r="J225" i="22" s="1"/>
  <c r="J226" i="22" s="1"/>
  <c r="J227" i="22" s="1"/>
  <c r="J228" i="22" s="1"/>
  <c r="J229" i="22" s="1"/>
  <c r="J230" i="22" s="1"/>
  <c r="J231" i="22" s="1"/>
  <c r="J232" i="22" s="1"/>
  <c r="J233" i="22" s="1"/>
  <c r="J234" i="22" s="1"/>
  <c r="J235" i="22" s="1"/>
  <c r="J236" i="22" s="1"/>
  <c r="J237" i="22" s="1"/>
  <c r="J238" i="22" s="1"/>
  <c r="J239" i="22" s="1"/>
  <c r="J240" i="22" s="1"/>
  <c r="J241" i="22" s="1"/>
  <c r="J242" i="22" s="1"/>
  <c r="J243" i="22" s="1"/>
  <c r="J244" i="22" s="1"/>
  <c r="J245" i="22" s="1"/>
  <c r="J246" i="22" s="1"/>
  <c r="J247" i="22" s="1"/>
  <c r="J248" i="22" s="1"/>
  <c r="J249" i="22" s="1"/>
  <c r="J250" i="22" s="1"/>
  <c r="J251" i="22" s="1"/>
  <c r="J252" i="22" s="1"/>
  <c r="J253" i="22" s="1"/>
  <c r="J254" i="22" s="1"/>
  <c r="J255" i="22" s="1"/>
  <c r="J256" i="22" s="1"/>
  <c r="J257" i="22" s="1"/>
  <c r="J258" i="22" s="1"/>
  <c r="J259" i="22" s="1"/>
  <c r="J260" i="22" s="1"/>
  <c r="J261" i="22" s="1"/>
  <c r="J262" i="22" s="1"/>
  <c r="J263" i="22" s="1"/>
  <c r="J264" i="22" s="1"/>
  <c r="J265" i="22" s="1"/>
  <c r="J266" i="22" s="1"/>
  <c r="J267" i="22" s="1"/>
  <c r="J268" i="22" s="1"/>
  <c r="J269" i="22" s="1"/>
  <c r="J270" i="22" s="1"/>
  <c r="J271" i="22" s="1"/>
  <c r="J272" i="22" s="1"/>
  <c r="J273" i="22" s="1"/>
  <c r="J274" i="22" s="1"/>
  <c r="J275" i="22" s="1"/>
  <c r="J276" i="22" s="1"/>
  <c r="J277" i="22" s="1"/>
  <c r="J278" i="22" s="1"/>
  <c r="J279" i="22" s="1"/>
  <c r="J280" i="22" s="1"/>
  <c r="J281" i="22" s="1"/>
  <c r="J282" i="22" s="1"/>
  <c r="J283" i="22" s="1"/>
  <c r="J284" i="22" s="1"/>
  <c r="J285" i="22" s="1"/>
  <c r="J286" i="22" s="1"/>
  <c r="J287" i="22" s="1"/>
  <c r="J288" i="22" s="1"/>
  <c r="J289" i="22" s="1"/>
  <c r="J290" i="22" s="1"/>
  <c r="J291" i="22" s="1"/>
  <c r="J292" i="22" s="1"/>
  <c r="J293" i="22" s="1"/>
  <c r="J294" i="22" s="1"/>
  <c r="J295" i="22" s="1"/>
  <c r="J296" i="22" s="1"/>
  <c r="J297" i="22" s="1"/>
  <c r="J298" i="22" s="1"/>
  <c r="J299" i="22" s="1"/>
  <c r="J300" i="22" s="1"/>
  <c r="J301" i="22" s="1"/>
  <c r="J302" i="22" s="1"/>
  <c r="J303" i="22" s="1"/>
  <c r="J304" i="22" s="1"/>
  <c r="J305" i="22" s="1"/>
  <c r="J306" i="22" s="1"/>
  <c r="J307" i="22" s="1"/>
  <c r="J308" i="22" s="1"/>
  <c r="J309" i="22" s="1"/>
  <c r="J310" i="22" s="1"/>
  <c r="J311" i="22" s="1"/>
  <c r="J312" i="22" s="1"/>
  <c r="J313" i="22" s="1"/>
  <c r="J314" i="22" s="1"/>
  <c r="J315" i="22" s="1"/>
  <c r="J316" i="22" s="1"/>
  <c r="J317" i="22" s="1"/>
  <c r="J318" i="22" s="1"/>
  <c r="J319" i="22" s="1"/>
  <c r="J320" i="22" s="1"/>
  <c r="J321" i="22" s="1"/>
  <c r="J322" i="22" s="1"/>
  <c r="J323" i="22" s="1"/>
  <c r="J324" i="22" s="1"/>
  <c r="J325" i="22" s="1"/>
  <c r="J326" i="22" s="1"/>
  <c r="J327" i="22" s="1"/>
  <c r="J328" i="22" s="1"/>
  <c r="J329" i="22" s="1"/>
  <c r="J330" i="22" s="1"/>
  <c r="J331" i="22" s="1"/>
  <c r="J332" i="22" s="1"/>
  <c r="J333" i="22" s="1"/>
  <c r="J334" i="22" s="1"/>
  <c r="J335" i="22" s="1"/>
  <c r="J336" i="22" s="1"/>
  <c r="J337" i="22" s="1"/>
  <c r="J338" i="22" s="1"/>
  <c r="J339" i="22" s="1"/>
  <c r="J340" i="22" s="1"/>
  <c r="J341" i="22" s="1"/>
  <c r="J342" i="22" s="1"/>
  <c r="J343" i="22" s="1"/>
  <c r="J344" i="22" s="1"/>
  <c r="J345" i="22" s="1"/>
  <c r="J346" i="22" s="1"/>
  <c r="J347" i="22" s="1"/>
  <c r="J348" i="22" s="1"/>
  <c r="J349" i="22" s="1"/>
  <c r="J350" i="22" s="1"/>
  <c r="J351" i="22" s="1"/>
  <c r="J352" i="22" s="1"/>
  <c r="J353" i="22" s="1"/>
  <c r="J354" i="22" s="1"/>
  <c r="J355" i="22" s="1"/>
  <c r="J356" i="22" s="1"/>
  <c r="J357" i="22" s="1"/>
  <c r="J358" i="22" s="1"/>
  <c r="J359" i="22" s="1"/>
  <c r="J360" i="22" s="1"/>
  <c r="J361" i="22" s="1"/>
  <c r="J362" i="22" s="1"/>
  <c r="J363" i="22" s="1"/>
  <c r="J364" i="22" s="1"/>
  <c r="J365" i="22" s="1"/>
  <c r="J366" i="22" s="1"/>
  <c r="J367" i="22" s="1"/>
  <c r="J368" i="22" s="1"/>
  <c r="J369" i="22" s="1"/>
  <c r="J370" i="22" s="1"/>
  <c r="J371" i="22" s="1"/>
  <c r="J372" i="22" s="1"/>
  <c r="J373" i="22" s="1"/>
  <c r="J374" i="22" s="1"/>
  <c r="J375" i="22" s="1"/>
  <c r="J376" i="22" s="1"/>
  <c r="J377" i="22" s="1"/>
  <c r="J378" i="22" s="1"/>
  <c r="J379" i="22" s="1"/>
  <c r="J380" i="22" s="1"/>
  <c r="J381" i="22" s="1"/>
  <c r="J382" i="22" s="1"/>
  <c r="J383" i="22" s="1"/>
  <c r="J384" i="22" s="1"/>
  <c r="J385" i="22" s="1"/>
  <c r="J386" i="22" s="1"/>
  <c r="J387" i="22" s="1"/>
  <c r="J388" i="22" s="1"/>
  <c r="J389" i="22" s="1"/>
  <c r="J390" i="22" s="1"/>
  <c r="J391" i="22" s="1"/>
  <c r="J392" i="22" s="1"/>
  <c r="J393" i="22" s="1"/>
  <c r="J394" i="22" s="1"/>
  <c r="J395" i="22" s="1"/>
  <c r="J396" i="22" s="1"/>
  <c r="J397" i="22" s="1"/>
  <c r="J398" i="22" s="1"/>
  <c r="J399" i="22" s="1"/>
  <c r="J400" i="22" s="1"/>
  <c r="J401" i="22" s="1"/>
  <c r="J402" i="22" s="1"/>
  <c r="J403" i="22" s="1"/>
  <c r="J404" i="22" s="1"/>
  <c r="J405" i="22" s="1"/>
  <c r="J406" i="22" s="1"/>
  <c r="J407" i="22" s="1"/>
  <c r="J408" i="22" s="1"/>
  <c r="J409" i="22" s="1"/>
  <c r="J410" i="22" s="1"/>
  <c r="J411" i="22" s="1"/>
  <c r="J412" i="22" s="1"/>
  <c r="J413" i="22" s="1"/>
  <c r="J414" i="22" s="1"/>
  <c r="J415" i="22" s="1"/>
  <c r="J416" i="22" s="1"/>
  <c r="J417" i="22" s="1"/>
  <c r="J418" i="22" s="1"/>
  <c r="J419" i="22" s="1"/>
  <c r="J420" i="22" s="1"/>
  <c r="J421" i="22" s="1"/>
  <c r="J422" i="22" s="1"/>
  <c r="J423" i="22" s="1"/>
  <c r="J424" i="22" s="1"/>
  <c r="J425" i="22" s="1"/>
  <c r="J426" i="22" s="1"/>
  <c r="J427" i="22" s="1"/>
  <c r="J428" i="22" s="1"/>
  <c r="J429" i="22" s="1"/>
  <c r="J430" i="22" s="1"/>
  <c r="J431" i="22" s="1"/>
  <c r="J432" i="22" s="1"/>
  <c r="J433" i="22" s="1"/>
  <c r="J434" i="22" s="1"/>
  <c r="J435" i="22" s="1"/>
  <c r="J436" i="22" s="1"/>
  <c r="J437" i="22" s="1"/>
  <c r="J438" i="22" s="1"/>
  <c r="J439" i="22" s="1"/>
  <c r="J440" i="22" s="1"/>
  <c r="J441" i="22" s="1"/>
  <c r="J442" i="22" s="1"/>
  <c r="J443" i="22" s="1"/>
  <c r="J444" i="22" s="1"/>
  <c r="J445" i="22" s="1"/>
  <c r="J446" i="22" s="1"/>
  <c r="J447" i="22" s="1"/>
  <c r="J448" i="22" s="1"/>
  <c r="J449" i="22" s="1"/>
  <c r="J450" i="22" s="1"/>
  <c r="J451" i="22" s="1"/>
  <c r="J452" i="22" s="1"/>
  <c r="J453" i="22" s="1"/>
  <c r="J454" i="22" s="1"/>
  <c r="J455" i="22" s="1"/>
  <c r="J456" i="22" s="1"/>
  <c r="J457" i="22" s="1"/>
  <c r="J458" i="22" s="1"/>
  <c r="J459" i="22" s="1"/>
  <c r="J460" i="22" s="1"/>
  <c r="J461" i="22" s="1"/>
  <c r="J462" i="22" s="1"/>
  <c r="J463" i="22" s="1"/>
  <c r="J464" i="22" s="1"/>
  <c r="J465" i="22" s="1"/>
  <c r="J466" i="22" s="1"/>
  <c r="J467" i="22" s="1"/>
  <c r="J468" i="22" s="1"/>
  <c r="J469" i="22" s="1"/>
  <c r="J470" i="22" s="1"/>
  <c r="J471" i="22" s="1"/>
  <c r="J472" i="22" s="1"/>
  <c r="J473" i="22" s="1"/>
  <c r="J474" i="22" s="1"/>
  <c r="J475" i="22" s="1"/>
  <c r="J476" i="22" s="1"/>
  <c r="J477" i="22" s="1"/>
  <c r="J478" i="22" s="1"/>
  <c r="J479" i="22" s="1"/>
  <c r="J480" i="22" s="1"/>
  <c r="J481" i="22" s="1"/>
  <c r="J482" i="22" s="1"/>
  <c r="J483" i="22" s="1"/>
  <c r="J484" i="22" s="1"/>
  <c r="J485" i="22" s="1"/>
  <c r="J486" i="22" s="1"/>
  <c r="J487" i="22" s="1"/>
  <c r="J488" i="22" s="1"/>
  <c r="J489" i="22" s="1"/>
  <c r="J490" i="22" s="1"/>
  <c r="J491" i="22" s="1"/>
  <c r="J492" i="22" s="1"/>
  <c r="J493" i="22" s="1"/>
  <c r="J494" i="22" s="1"/>
  <c r="J495" i="22" s="1"/>
  <c r="J496" i="22" s="1"/>
  <c r="J497" i="22" s="1"/>
  <c r="J498" i="22" s="1"/>
  <c r="J499" i="22" s="1"/>
  <c r="J500" i="22" s="1"/>
  <c r="J501" i="22" s="1"/>
  <c r="J502" i="22" s="1"/>
  <c r="J503" i="22" s="1"/>
  <c r="J504" i="22" s="1"/>
  <c r="W8" i="22" s="1"/>
  <c r="U43" i="22" s="1"/>
  <c r="W41" i="22" s="1"/>
  <c r="N279" i="13"/>
  <c r="O279" i="13" s="1"/>
  <c r="P279" i="13" s="1"/>
  <c r="J279" i="10" s="1"/>
  <c r="N127" i="13"/>
  <c r="O127" i="13" s="1"/>
  <c r="P127" i="13" s="1"/>
  <c r="J127" i="24" s="1"/>
  <c r="N410" i="13"/>
  <c r="O410" i="13" s="1"/>
  <c r="P410" i="13" s="1"/>
  <c r="J285" i="10"/>
  <c r="N407" i="13"/>
  <c r="O407" i="13" s="1"/>
  <c r="P407" i="13" s="1"/>
  <c r="J407" i="24" s="1"/>
  <c r="N314" i="13"/>
  <c r="O314" i="13" s="1"/>
  <c r="P314" i="13" s="1"/>
  <c r="J314" i="24" s="1"/>
  <c r="N197" i="13"/>
  <c r="O197" i="13" s="1"/>
  <c r="P197" i="13" s="1"/>
  <c r="J197" i="24" s="1"/>
  <c r="N24" i="13"/>
  <c r="O24" i="13" s="1"/>
  <c r="P24" i="13" s="1"/>
  <c r="J24" i="24" s="1"/>
  <c r="N193" i="13"/>
  <c r="O193" i="13" s="1"/>
  <c r="P193" i="13" s="1"/>
  <c r="J193" i="24" s="1"/>
  <c r="P17" i="18"/>
  <c r="N11" i="13"/>
  <c r="O11" i="13" s="1"/>
  <c r="P11" i="13" s="1"/>
  <c r="J11" i="24" s="1"/>
  <c r="N81" i="13"/>
  <c r="O81" i="13" s="1"/>
  <c r="P81" i="13" s="1"/>
  <c r="J81" i="24" s="1"/>
  <c r="N44" i="13"/>
  <c r="O44" i="13" s="1"/>
  <c r="P44" i="13" s="1"/>
  <c r="J44" i="24" s="1"/>
  <c r="N91" i="13"/>
  <c r="O91" i="13" s="1"/>
  <c r="P91" i="13" s="1"/>
  <c r="J91" i="24" s="1"/>
  <c r="N116" i="13"/>
  <c r="O116" i="13" s="1"/>
  <c r="P116" i="13" s="1"/>
  <c r="J116" i="24" s="1"/>
  <c r="N43" i="13"/>
  <c r="O43" i="13" s="1"/>
  <c r="P43" i="13" s="1"/>
  <c r="J43" i="24" s="1"/>
  <c r="N170" i="13"/>
  <c r="O170" i="13" s="1"/>
  <c r="P170" i="13" s="1"/>
  <c r="P170" i="18" s="1"/>
  <c r="N423" i="13"/>
  <c r="O423" i="13" s="1"/>
  <c r="P423" i="13" s="1"/>
  <c r="N305" i="13"/>
  <c r="O305" i="13" s="1"/>
  <c r="P305" i="13" s="1"/>
  <c r="J305" i="24" s="1"/>
  <c r="N227" i="13"/>
  <c r="O227" i="13" s="1"/>
  <c r="P227" i="13" s="1"/>
  <c r="P227" i="18" s="1"/>
  <c r="N299" i="13"/>
  <c r="O299" i="13" s="1"/>
  <c r="P299" i="13" s="1"/>
  <c r="J299" i="24" s="1"/>
  <c r="N496" i="13"/>
  <c r="O496" i="13" s="1"/>
  <c r="P496" i="13" s="1"/>
  <c r="J496" i="24" s="1"/>
  <c r="N196" i="13"/>
  <c r="O196" i="13" s="1"/>
  <c r="P196" i="13" s="1"/>
  <c r="P196" i="18" s="1"/>
  <c r="N190" i="13"/>
  <c r="O190" i="13" s="1"/>
  <c r="P190" i="13" s="1"/>
  <c r="N190" i="16" s="1"/>
  <c r="N99" i="13"/>
  <c r="O99" i="13" s="1"/>
  <c r="P99" i="13" s="1"/>
  <c r="N99" i="16" s="1"/>
  <c r="N388" i="13"/>
  <c r="O388" i="13" s="1"/>
  <c r="P388" i="13" s="1"/>
  <c r="N245" i="13"/>
  <c r="O245" i="13" s="1"/>
  <c r="P245" i="13" s="1"/>
  <c r="J245" i="24" s="1"/>
  <c r="J470" i="24"/>
  <c r="N470" i="16"/>
  <c r="J50" i="21"/>
  <c r="N475" i="13"/>
  <c r="O475" i="13" s="1"/>
  <c r="P475" i="13" s="1"/>
  <c r="N475" i="16" s="1"/>
  <c r="H6" i="21"/>
  <c r="N45" i="13"/>
  <c r="O45" i="13" s="1"/>
  <c r="P45" i="13" s="1"/>
  <c r="J45" i="10" s="1"/>
  <c r="J14" i="21"/>
  <c r="N456" i="13"/>
  <c r="O456" i="13" s="1"/>
  <c r="P456" i="13" s="1"/>
  <c r="N431" i="13"/>
  <c r="O431" i="13" s="1"/>
  <c r="P431" i="13" s="1"/>
  <c r="J431" i="10" s="1"/>
  <c r="N229" i="13"/>
  <c r="O229" i="13" s="1"/>
  <c r="P229" i="13" s="1"/>
  <c r="J229" i="24" s="1"/>
  <c r="J401" i="10"/>
  <c r="N105" i="16"/>
  <c r="N263" i="13"/>
  <c r="O263" i="13" s="1"/>
  <c r="P263" i="13" s="1"/>
  <c r="P263" i="18" s="1"/>
  <c r="N223" i="13"/>
  <c r="O223" i="13" s="1"/>
  <c r="P223" i="13" s="1"/>
  <c r="J223" i="24" s="1"/>
  <c r="P401" i="18"/>
  <c r="N467" i="13"/>
  <c r="O467" i="13" s="1"/>
  <c r="P467" i="13" s="1"/>
  <c r="N467" i="16" s="1"/>
  <c r="N283" i="13"/>
  <c r="O283" i="13" s="1"/>
  <c r="P283" i="13" s="1"/>
  <c r="J283" i="24" s="1"/>
  <c r="N167" i="13"/>
  <c r="O167" i="13" s="1"/>
  <c r="P167" i="13" s="1"/>
  <c r="P167" i="18" s="1"/>
  <c r="N429" i="13"/>
  <c r="O429" i="13" s="1"/>
  <c r="P429" i="13" s="1"/>
  <c r="J429" i="24" s="1"/>
  <c r="J156" i="10"/>
  <c r="N499" i="16"/>
  <c r="N488" i="13"/>
  <c r="O488" i="13" s="1"/>
  <c r="P488" i="13" s="1"/>
  <c r="P488" i="18" s="1"/>
  <c r="N483" i="13"/>
  <c r="O483" i="13" s="1"/>
  <c r="P483" i="13" s="1"/>
  <c r="J483" i="10" s="1"/>
  <c r="N468" i="13"/>
  <c r="O468" i="13" s="1"/>
  <c r="P468" i="13" s="1"/>
  <c r="J468" i="24" s="1"/>
  <c r="N451" i="13"/>
  <c r="O451" i="13" s="1"/>
  <c r="P451" i="13" s="1"/>
  <c r="J451" i="24" s="1"/>
  <c r="J446" i="24"/>
  <c r="P446" i="18"/>
  <c r="P432" i="18"/>
  <c r="J432" i="10"/>
  <c r="N213" i="16"/>
  <c r="J213" i="24"/>
  <c r="J213" i="10"/>
  <c r="P213" i="18"/>
  <c r="J428" i="24"/>
  <c r="P428" i="18"/>
  <c r="J77" i="24"/>
  <c r="N77" i="16"/>
  <c r="P77" i="18"/>
  <c r="J77" i="10"/>
  <c r="J207" i="10"/>
  <c r="N189" i="13"/>
  <c r="O189" i="13" s="1"/>
  <c r="P189" i="13" s="1"/>
  <c r="N189" i="16" s="1"/>
  <c r="J207" i="24"/>
  <c r="P285" i="18"/>
  <c r="J17" i="10"/>
  <c r="N181" i="13"/>
  <c r="O181" i="13" s="1"/>
  <c r="P181" i="13" s="1"/>
  <c r="N181" i="16" s="1"/>
  <c r="N308" i="13"/>
  <c r="O308" i="13" s="1"/>
  <c r="P308" i="13" s="1"/>
  <c r="N308" i="16" s="1"/>
  <c r="N61" i="13"/>
  <c r="O61" i="13" s="1"/>
  <c r="P61" i="13" s="1"/>
  <c r="J61" i="24" s="1"/>
  <c r="N79" i="13"/>
  <c r="O79" i="13" s="1"/>
  <c r="P79" i="13" s="1"/>
  <c r="J79" i="10" s="1"/>
  <c r="N248" i="13"/>
  <c r="O248" i="13" s="1"/>
  <c r="P248" i="13" s="1"/>
  <c r="J248" i="24" s="1"/>
  <c r="N365" i="13"/>
  <c r="O365" i="13" s="1"/>
  <c r="P365" i="13" s="1"/>
  <c r="J365" i="24" s="1"/>
  <c r="N424" i="13"/>
  <c r="O424" i="13" s="1"/>
  <c r="P424" i="13" s="1"/>
  <c r="J424" i="10" s="1"/>
  <c r="N285" i="16"/>
  <c r="N311" i="13"/>
  <c r="O311" i="13" s="1"/>
  <c r="P311" i="13" s="1"/>
  <c r="J311" i="24" s="1"/>
  <c r="N146" i="13"/>
  <c r="O146" i="13" s="1"/>
  <c r="P146" i="13" s="1"/>
  <c r="J146" i="24" s="1"/>
  <c r="N369" i="13"/>
  <c r="O369" i="13" s="1"/>
  <c r="P369" i="13" s="1"/>
  <c r="J369" i="24" s="1"/>
  <c r="J17" i="24"/>
  <c r="N31" i="13"/>
  <c r="O31" i="13" s="1"/>
  <c r="P31" i="13" s="1"/>
  <c r="P31" i="18" s="1"/>
  <c r="N221" i="13"/>
  <c r="O221" i="13" s="1"/>
  <c r="P221" i="13" s="1"/>
  <c r="P221" i="18" s="1"/>
  <c r="P156" i="18"/>
  <c r="J156" i="24"/>
  <c r="J293" i="24"/>
  <c r="P293" i="18"/>
  <c r="N293" i="16"/>
  <c r="P207" i="18"/>
  <c r="J152" i="24"/>
  <c r="N152" i="16"/>
  <c r="J70" i="24"/>
  <c r="P70" i="18"/>
  <c r="J70" i="10"/>
  <c r="N70" i="16"/>
  <c r="N177" i="16"/>
  <c r="P177" i="18"/>
  <c r="J177" i="24"/>
  <c r="J177" i="10"/>
  <c r="J383" i="24"/>
  <c r="J383" i="10"/>
  <c r="P383" i="18"/>
  <c r="N383" i="16"/>
  <c r="J33" i="24"/>
  <c r="N33" i="16"/>
  <c r="P33" i="18"/>
  <c r="J33" i="10"/>
  <c r="J327" i="10"/>
  <c r="P127" i="18"/>
  <c r="J25" i="24"/>
  <c r="N25" i="16"/>
  <c r="J25" i="10"/>
  <c r="P25" i="18"/>
  <c r="N64" i="13"/>
  <c r="O64" i="13" s="1"/>
  <c r="P64" i="13" s="1"/>
  <c r="J64" i="24" s="1"/>
  <c r="N176" i="13"/>
  <c r="O176" i="13" s="1"/>
  <c r="P176" i="13" s="1"/>
  <c r="J176" i="10" s="1"/>
  <c r="I13" i="21"/>
  <c r="I39" i="21" s="1"/>
  <c r="H5" i="21"/>
  <c r="B7" i="22"/>
  <c r="I6" i="21"/>
  <c r="N211" i="16"/>
  <c r="J428" i="10"/>
  <c r="N194" i="13"/>
  <c r="O194" i="13" s="1"/>
  <c r="P194" i="13" s="1"/>
  <c r="J194" i="24" s="1"/>
  <c r="P499" i="18"/>
  <c r="J476" i="24"/>
  <c r="N476" i="16"/>
  <c r="J476" i="10"/>
  <c r="P476" i="18"/>
  <c r="I50" i="21"/>
  <c r="N428" i="16"/>
  <c r="N348" i="13"/>
  <c r="O348" i="13" s="1"/>
  <c r="P348" i="13" s="1"/>
  <c r="J348" i="24" s="1"/>
  <c r="J499" i="24"/>
  <c r="J9" i="24"/>
  <c r="N9" i="16"/>
  <c r="J9" i="10"/>
  <c r="P9" i="18"/>
  <c r="J277" i="24"/>
  <c r="P277" i="18"/>
  <c r="J277" i="10"/>
  <c r="N277" i="16"/>
  <c r="J303" i="24"/>
  <c r="J303" i="10"/>
  <c r="P303" i="18"/>
  <c r="N303" i="16"/>
  <c r="N333" i="13"/>
  <c r="O333" i="13" s="1"/>
  <c r="P333" i="13" s="1"/>
  <c r="J333" i="10" s="1"/>
  <c r="N441" i="13"/>
  <c r="O441" i="13" s="1"/>
  <c r="P441" i="13" s="1"/>
  <c r="J441" i="10" s="1"/>
  <c r="N27" i="13"/>
  <c r="O27" i="13" s="1"/>
  <c r="P27" i="13" s="1"/>
  <c r="J27" i="24" s="1"/>
  <c r="N204" i="13"/>
  <c r="O204" i="13" s="1"/>
  <c r="P204" i="13" s="1"/>
  <c r="N204" i="16" s="1"/>
  <c r="J49" i="24"/>
  <c r="J41" i="24"/>
  <c r="P41" i="18"/>
  <c r="N41" i="16"/>
  <c r="J41" i="10"/>
  <c r="J185" i="24"/>
  <c r="N185" i="16"/>
  <c r="J185" i="10"/>
  <c r="P185" i="18"/>
  <c r="J137" i="24"/>
  <c r="P137" i="18"/>
  <c r="J137" i="10"/>
  <c r="N137" i="16"/>
  <c r="N161" i="16"/>
  <c r="J161" i="24"/>
  <c r="J161" i="10"/>
  <c r="P161" i="18"/>
  <c r="J71" i="24"/>
  <c r="J71" i="10"/>
  <c r="N71" i="16"/>
  <c r="P71" i="18"/>
  <c r="N279" i="16"/>
  <c r="J289" i="24"/>
  <c r="J289" i="10"/>
  <c r="P289" i="18"/>
  <c r="N289" i="16"/>
  <c r="J362" i="24"/>
  <c r="J362" i="10"/>
  <c r="N362" i="16"/>
  <c r="P362" i="18"/>
  <c r="J422" i="10"/>
  <c r="J422" i="24"/>
  <c r="N422" i="16"/>
  <c r="P422" i="18"/>
  <c r="J336" i="10"/>
  <c r="J391" i="24"/>
  <c r="N93" i="13"/>
  <c r="O93" i="13" s="1"/>
  <c r="P93" i="13" s="1"/>
  <c r="J93" i="24" s="1"/>
  <c r="N159" i="13"/>
  <c r="O159" i="13" s="1"/>
  <c r="P159" i="13" s="1"/>
  <c r="N159" i="16" s="1"/>
  <c r="N174" i="13"/>
  <c r="O174" i="13" s="1"/>
  <c r="P174" i="13" s="1"/>
  <c r="J174" i="24" s="1"/>
  <c r="N295" i="13"/>
  <c r="O295" i="13" s="1"/>
  <c r="P295" i="13" s="1"/>
  <c r="N295" i="16" s="1"/>
  <c r="J446" i="10"/>
  <c r="J486" i="24"/>
  <c r="P486" i="18"/>
  <c r="N486" i="16"/>
  <c r="J486" i="10"/>
  <c r="N118" i="13"/>
  <c r="O118" i="13" s="1"/>
  <c r="P118" i="13" s="1"/>
  <c r="J118" i="10" s="1"/>
  <c r="N459" i="13"/>
  <c r="O459" i="13" s="1"/>
  <c r="P459" i="13" s="1"/>
  <c r="J459" i="10" s="1"/>
  <c r="N446" i="16"/>
  <c r="J477" i="24"/>
  <c r="J477" i="10"/>
  <c r="N477" i="16"/>
  <c r="P477" i="18"/>
  <c r="J228" i="24"/>
  <c r="P228" i="18"/>
  <c r="N228" i="16"/>
  <c r="J228" i="10"/>
  <c r="N187" i="13"/>
  <c r="O187" i="13" s="1"/>
  <c r="P187" i="13" s="1"/>
  <c r="J187" i="24" s="1"/>
  <c r="N327" i="16"/>
  <c r="J273" i="10"/>
  <c r="N261" i="16"/>
  <c r="J447" i="24"/>
  <c r="J447" i="10"/>
  <c r="N447" i="16"/>
  <c r="P447" i="18"/>
  <c r="J306" i="24"/>
  <c r="J306" i="10"/>
  <c r="N306" i="16"/>
  <c r="P306" i="18"/>
  <c r="J400" i="24"/>
  <c r="J400" i="10"/>
  <c r="N400" i="16"/>
  <c r="P400" i="18"/>
  <c r="J426" i="24"/>
  <c r="P426" i="18"/>
  <c r="J426" i="10"/>
  <c r="N426" i="16"/>
  <c r="J123" i="24"/>
  <c r="J123" i="10"/>
  <c r="P123" i="18"/>
  <c r="N123" i="16"/>
  <c r="J487" i="24"/>
  <c r="J345" i="24"/>
  <c r="P345" i="18"/>
  <c r="J345" i="10"/>
  <c r="N345" i="16"/>
  <c r="N21" i="13"/>
  <c r="O21" i="13" s="1"/>
  <c r="P21" i="13" s="1"/>
  <c r="J21" i="24" s="1"/>
  <c r="N87" i="13"/>
  <c r="O87" i="13" s="1"/>
  <c r="P87" i="13" s="1"/>
  <c r="J87" i="10" s="1"/>
  <c r="J391" i="10"/>
  <c r="P261" i="18"/>
  <c r="J234" i="24"/>
  <c r="J234" i="10"/>
  <c r="P234" i="18"/>
  <c r="N234" i="16"/>
  <c r="J139" i="24"/>
  <c r="N139" i="16"/>
  <c r="J129" i="24"/>
  <c r="J129" i="10"/>
  <c r="P129" i="18"/>
  <c r="N129" i="16"/>
  <c r="J257" i="24"/>
  <c r="J257" i="10"/>
  <c r="N257" i="16"/>
  <c r="P257" i="18"/>
  <c r="J385" i="24"/>
  <c r="J385" i="10"/>
  <c r="P385" i="18"/>
  <c r="N385" i="16"/>
  <c r="N46" i="13"/>
  <c r="O46" i="13" s="1"/>
  <c r="P46" i="13" s="1"/>
  <c r="J46" i="24" s="1"/>
  <c r="N163" i="13"/>
  <c r="O163" i="13" s="1"/>
  <c r="P163" i="13" s="1"/>
  <c r="N163" i="16" s="1"/>
  <c r="N166" i="13"/>
  <c r="O166" i="13" s="1"/>
  <c r="P166" i="13" s="1"/>
  <c r="J166" i="24" s="1"/>
  <c r="N280" i="13"/>
  <c r="O280" i="13" s="1"/>
  <c r="P280" i="13" s="1"/>
  <c r="J280" i="10" s="1"/>
  <c r="N430" i="13"/>
  <c r="O430" i="13" s="1"/>
  <c r="P430" i="13" s="1"/>
  <c r="P430" i="18" s="1"/>
  <c r="P391" i="18"/>
  <c r="J261" i="10"/>
  <c r="J305" i="10"/>
  <c r="J259" i="24"/>
  <c r="P259" i="18"/>
  <c r="N259" i="16"/>
  <c r="J259" i="10"/>
  <c r="J375" i="24"/>
  <c r="J375" i="10"/>
  <c r="N375" i="16"/>
  <c r="P375" i="18"/>
  <c r="J454" i="24"/>
  <c r="P454" i="18"/>
  <c r="N454" i="16"/>
  <c r="J454" i="10"/>
  <c r="D4" i="22"/>
  <c r="H7" i="21"/>
  <c r="I7" i="21"/>
  <c r="J7" i="21"/>
  <c r="K15" i="21"/>
  <c r="K50" i="21"/>
  <c r="J149" i="24"/>
  <c r="P149" i="18"/>
  <c r="N149" i="16"/>
  <c r="J149" i="10"/>
  <c r="J265" i="24"/>
  <c r="J265" i="10"/>
  <c r="N265" i="16"/>
  <c r="P265" i="18"/>
  <c r="J377" i="24"/>
  <c r="J275" i="24"/>
  <c r="P275" i="18"/>
  <c r="J275" i="10"/>
  <c r="N275" i="16"/>
  <c r="J141" i="24"/>
  <c r="P141" i="18"/>
  <c r="J141" i="10"/>
  <c r="N141" i="16"/>
  <c r="J133" i="24"/>
  <c r="J133" i="10"/>
  <c r="P133" i="18"/>
  <c r="N133" i="16"/>
  <c r="J73" i="24"/>
  <c r="J452" i="24"/>
  <c r="J452" i="10"/>
  <c r="P452" i="18"/>
  <c r="N452" i="16"/>
  <c r="J322" i="24"/>
  <c r="P322" i="18"/>
  <c r="N322" i="16"/>
  <c r="J322" i="10"/>
  <c r="J209" i="24"/>
  <c r="P209" i="18"/>
  <c r="N209" i="16"/>
  <c r="J209" i="10"/>
  <c r="J249" i="24"/>
  <c r="N249" i="16"/>
  <c r="P249" i="18"/>
  <c r="J249" i="10"/>
  <c r="P503" i="18"/>
  <c r="J169" i="24"/>
  <c r="P169" i="18"/>
  <c r="N169" i="16"/>
  <c r="J169" i="10"/>
  <c r="J233" i="24"/>
  <c r="N233" i="16"/>
  <c r="J233" i="10"/>
  <c r="P233" i="18"/>
  <c r="J80" i="24"/>
  <c r="N80" i="16"/>
  <c r="J346" i="24"/>
  <c r="N346" i="16"/>
  <c r="J346" i="10"/>
  <c r="P346" i="18"/>
  <c r="J363" i="24"/>
  <c r="P363" i="18"/>
  <c r="N363" i="16"/>
  <c r="J363" i="10"/>
  <c r="J224" i="24"/>
  <c r="J224" i="10"/>
  <c r="N224" i="16"/>
  <c r="P224" i="18"/>
  <c r="J319" i="24"/>
  <c r="N319" i="16"/>
  <c r="J89" i="24"/>
  <c r="P89" i="18"/>
  <c r="N89" i="16"/>
  <c r="J89" i="10"/>
  <c r="J276" i="24"/>
  <c r="P276" i="18"/>
  <c r="J502" i="24"/>
  <c r="J502" i="10"/>
  <c r="P502" i="18"/>
  <c r="N502" i="16"/>
  <c r="J94" i="24"/>
  <c r="N94" i="16"/>
  <c r="P94" i="18"/>
  <c r="J94" i="10"/>
  <c r="J313" i="24"/>
  <c r="N313" i="16"/>
  <c r="P313" i="18"/>
  <c r="J313" i="10"/>
  <c r="J113" i="24"/>
  <c r="J113" i="10"/>
  <c r="P113" i="18"/>
  <c r="N113" i="16"/>
  <c r="J240" i="24"/>
  <c r="J240" i="10"/>
  <c r="N240" i="16"/>
  <c r="P240" i="18"/>
  <c r="J246" i="24"/>
  <c r="J246" i="10"/>
  <c r="N246" i="16"/>
  <c r="P246" i="18"/>
  <c r="J413" i="24"/>
  <c r="N413" i="16"/>
  <c r="J413" i="10"/>
  <c r="P413" i="18"/>
  <c r="J473" i="24"/>
  <c r="J95" i="24"/>
  <c r="J95" i="10"/>
  <c r="P95" i="18"/>
  <c r="N95" i="16"/>
  <c r="J119" i="24"/>
  <c r="J119" i="10"/>
  <c r="P119" i="18"/>
  <c r="N119" i="16"/>
  <c r="J160" i="24"/>
  <c r="J160" i="10"/>
  <c r="N160" i="16"/>
  <c r="P160" i="18"/>
  <c r="J206" i="24"/>
  <c r="J206" i="10"/>
  <c r="N206" i="16"/>
  <c r="P206" i="18"/>
  <c r="J274" i="24"/>
  <c r="P274" i="18"/>
  <c r="J274" i="10"/>
  <c r="N274" i="16"/>
  <c r="J357" i="24"/>
  <c r="J357" i="10"/>
  <c r="N357" i="16"/>
  <c r="P357" i="18"/>
  <c r="J427" i="24"/>
  <c r="J427" i="10"/>
  <c r="N427" i="16"/>
  <c r="P427" i="18"/>
  <c r="J238" i="24"/>
  <c r="J238" i="10"/>
  <c r="N238" i="16"/>
  <c r="P238" i="18"/>
  <c r="N7" i="16"/>
  <c r="J120" i="24"/>
  <c r="J120" i="10"/>
  <c r="N120" i="16"/>
  <c r="P120" i="18"/>
  <c r="J202" i="24"/>
  <c r="J202" i="10"/>
  <c r="P202" i="18"/>
  <c r="N202" i="16"/>
  <c r="J38" i="24"/>
  <c r="J38" i="10"/>
  <c r="N38" i="16"/>
  <c r="P38" i="18"/>
  <c r="J205" i="24"/>
  <c r="N205" i="16"/>
  <c r="J205" i="10"/>
  <c r="P205" i="18"/>
  <c r="J364" i="24"/>
  <c r="J364" i="10"/>
  <c r="N364" i="16"/>
  <c r="P364" i="18"/>
  <c r="J480" i="24"/>
  <c r="J480" i="10"/>
  <c r="N480" i="16"/>
  <c r="P480" i="18"/>
  <c r="J22" i="24"/>
  <c r="J22" i="10"/>
  <c r="N22" i="16"/>
  <c r="P22" i="18"/>
  <c r="J178" i="24"/>
  <c r="P178" i="18"/>
  <c r="J178" i="10"/>
  <c r="N178" i="16"/>
  <c r="J482" i="24"/>
  <c r="J482" i="10"/>
  <c r="P482" i="18"/>
  <c r="N482" i="16"/>
  <c r="J37" i="24"/>
  <c r="N37" i="16"/>
  <c r="J37" i="10"/>
  <c r="P37" i="18"/>
  <c r="J130" i="24"/>
  <c r="P130" i="18"/>
  <c r="J130" i="10"/>
  <c r="N130" i="16"/>
  <c r="N298" i="16"/>
  <c r="J23" i="24"/>
  <c r="J23" i="10"/>
  <c r="P23" i="18"/>
  <c r="N23" i="16"/>
  <c r="J117" i="24"/>
  <c r="N117" i="16"/>
  <c r="J117" i="10"/>
  <c r="P117" i="18"/>
  <c r="J210" i="24"/>
  <c r="P210" i="18"/>
  <c r="J210" i="10"/>
  <c r="N210" i="16"/>
  <c r="J203" i="24"/>
  <c r="N203" i="16"/>
  <c r="J203" i="10"/>
  <c r="P203" i="18"/>
  <c r="J288" i="24"/>
  <c r="J288" i="10"/>
  <c r="N288" i="16"/>
  <c r="P288" i="18"/>
  <c r="J453" i="24"/>
  <c r="J453" i="10"/>
  <c r="N453" i="16"/>
  <c r="P453" i="18"/>
  <c r="J467" i="24"/>
  <c r="J52" i="24"/>
  <c r="N52" i="16"/>
  <c r="P52" i="18"/>
  <c r="J52" i="10"/>
  <c r="J254" i="10"/>
  <c r="J39" i="24"/>
  <c r="J237" i="24"/>
  <c r="N237" i="16"/>
  <c r="J237" i="10"/>
  <c r="P237" i="18"/>
  <c r="J20" i="24"/>
  <c r="J20" i="10"/>
  <c r="N20" i="16"/>
  <c r="P20" i="18"/>
  <c r="J154" i="24"/>
  <c r="P154" i="18"/>
  <c r="J154" i="10"/>
  <c r="N154" i="16"/>
  <c r="J352" i="24"/>
  <c r="J352" i="10"/>
  <c r="N352" i="16"/>
  <c r="P352" i="18"/>
  <c r="J151" i="24"/>
  <c r="J151" i="10"/>
  <c r="P151" i="18"/>
  <c r="N151" i="16"/>
  <c r="J55" i="24"/>
  <c r="J55" i="10"/>
  <c r="P55" i="18"/>
  <c r="N55" i="16"/>
  <c r="N13" i="16"/>
  <c r="P13" i="18"/>
  <c r="J11" i="10"/>
  <c r="J170" i="24"/>
  <c r="J247" i="24"/>
  <c r="J247" i="10"/>
  <c r="P247" i="18"/>
  <c r="N247" i="16"/>
  <c r="J278" i="24"/>
  <c r="J278" i="10"/>
  <c r="N278" i="16"/>
  <c r="P278" i="18"/>
  <c r="J231" i="24"/>
  <c r="J231" i="10"/>
  <c r="P231" i="18"/>
  <c r="N231" i="16"/>
  <c r="J469" i="24"/>
  <c r="J469" i="10"/>
  <c r="N469" i="16"/>
  <c r="P469" i="18"/>
  <c r="J449" i="24"/>
  <c r="N449" i="16"/>
  <c r="P449" i="18"/>
  <c r="J449" i="10"/>
  <c r="J474" i="24"/>
  <c r="P474" i="18"/>
  <c r="J474" i="10"/>
  <c r="N474" i="16"/>
  <c r="J138" i="24"/>
  <c r="J138" i="10"/>
  <c r="P138" i="18"/>
  <c r="N138" i="16"/>
  <c r="J221" i="10"/>
  <c r="J492" i="24"/>
  <c r="N492" i="16"/>
  <c r="J492" i="10"/>
  <c r="P492" i="18"/>
  <c r="J104" i="24"/>
  <c r="J104" i="10"/>
  <c r="N104" i="16"/>
  <c r="P104" i="18"/>
  <c r="N16" i="16"/>
  <c r="J171" i="24"/>
  <c r="J171" i="10"/>
  <c r="N171" i="16"/>
  <c r="P171" i="18"/>
  <c r="P294" i="18"/>
  <c r="J350" i="24"/>
  <c r="N350" i="16"/>
  <c r="P350" i="18"/>
  <c r="J350" i="10"/>
  <c r="J326" i="24"/>
  <c r="N326" i="16"/>
  <c r="J62" i="24"/>
  <c r="J62" i="10"/>
  <c r="N62" i="16"/>
  <c r="P62" i="18"/>
  <c r="J32" i="24"/>
  <c r="J32" i="10"/>
  <c r="N32" i="16"/>
  <c r="P32" i="18"/>
  <c r="J78" i="10"/>
  <c r="N78" i="16"/>
  <c r="J30" i="24"/>
  <c r="J30" i="10"/>
  <c r="N30" i="16"/>
  <c r="P30" i="18"/>
  <c r="J109" i="24"/>
  <c r="J109" i="10"/>
  <c r="N109" i="16"/>
  <c r="P109" i="18"/>
  <c r="J92" i="24"/>
  <c r="J92" i="10"/>
  <c r="N92" i="16"/>
  <c r="P92" i="18"/>
  <c r="J188" i="24"/>
  <c r="J188" i="10"/>
  <c r="N188" i="16"/>
  <c r="P188" i="18"/>
  <c r="J176" i="24"/>
  <c r="J212" i="10"/>
  <c r="P212" i="18"/>
  <c r="J230" i="24"/>
  <c r="J230" i="10"/>
  <c r="N230" i="16"/>
  <c r="P230" i="18"/>
  <c r="J222" i="24"/>
  <c r="J222" i="10"/>
  <c r="N222" i="16"/>
  <c r="P222" i="18"/>
  <c r="J396" i="24"/>
  <c r="N396" i="16"/>
  <c r="P396" i="18"/>
  <c r="J396" i="10"/>
  <c r="J457" i="24"/>
  <c r="N457" i="16"/>
  <c r="P457" i="18"/>
  <c r="J457" i="10"/>
  <c r="J100" i="24"/>
  <c r="N100" i="16"/>
  <c r="P100" i="18"/>
  <c r="J100" i="10"/>
  <c r="P135" i="18"/>
  <c r="J183" i="24"/>
  <c r="J183" i="10"/>
  <c r="P183" i="18"/>
  <c r="N183" i="16"/>
  <c r="J220" i="24"/>
  <c r="J220" i="10"/>
  <c r="N220" i="16"/>
  <c r="P220" i="18"/>
  <c r="J243" i="24"/>
  <c r="J243" i="10"/>
  <c r="N243" i="16"/>
  <c r="P243" i="18"/>
  <c r="J290" i="24"/>
  <c r="P290" i="18"/>
  <c r="J290" i="10"/>
  <c r="N290" i="16"/>
  <c r="N367" i="13"/>
  <c r="O367" i="13" s="1"/>
  <c r="P367" i="13" s="1"/>
  <c r="J339" i="24"/>
  <c r="N339" i="16"/>
  <c r="P339" i="18"/>
  <c r="J339" i="10"/>
  <c r="N292" i="13"/>
  <c r="O292" i="13" s="1"/>
  <c r="P292" i="13" s="1"/>
  <c r="J390" i="24"/>
  <c r="N390" i="16"/>
  <c r="P390" i="18"/>
  <c r="J390" i="10"/>
  <c r="J384" i="24"/>
  <c r="J384" i="10"/>
  <c r="N384" i="16"/>
  <c r="P384" i="18"/>
  <c r="J389" i="10"/>
  <c r="P389" i="18"/>
  <c r="J461" i="24"/>
  <c r="N461" i="16"/>
  <c r="P461" i="18"/>
  <c r="J461" i="10"/>
  <c r="J493" i="24"/>
  <c r="N493" i="16"/>
  <c r="J493" i="10"/>
  <c r="P493" i="18"/>
  <c r="J36" i="24"/>
  <c r="N36" i="16"/>
  <c r="J36" i="10"/>
  <c r="P36" i="18"/>
  <c r="J132" i="24"/>
  <c r="N132" i="16"/>
  <c r="P132" i="18"/>
  <c r="J132" i="10"/>
  <c r="J122" i="24"/>
  <c r="P122" i="18"/>
  <c r="J122" i="10"/>
  <c r="N122" i="16"/>
  <c r="J184" i="24"/>
  <c r="J184" i="10"/>
  <c r="N184" i="16"/>
  <c r="P184" i="18"/>
  <c r="J245" i="10"/>
  <c r="N245" i="16"/>
  <c r="P245" i="18"/>
  <c r="P295" i="18"/>
  <c r="J374" i="24"/>
  <c r="N374" i="16"/>
  <c r="P450" i="18"/>
  <c r="N450" i="16"/>
  <c r="J144" i="24"/>
  <c r="J144" i="10"/>
  <c r="N144" i="16"/>
  <c r="P144" i="18"/>
  <c r="J214" i="24"/>
  <c r="J214" i="10"/>
  <c r="N214" i="16"/>
  <c r="P214" i="18"/>
  <c r="N317" i="16"/>
  <c r="J8" i="24"/>
  <c r="N28" i="16"/>
  <c r="J175" i="24"/>
  <c r="J175" i="10"/>
  <c r="P175" i="18"/>
  <c r="N175" i="16"/>
  <c r="P225" i="18"/>
  <c r="J286" i="24"/>
  <c r="J286" i="10"/>
  <c r="N286" i="16"/>
  <c r="P286" i="18"/>
  <c r="J264" i="24"/>
  <c r="J264" i="10"/>
  <c r="N264" i="16"/>
  <c r="P264" i="18"/>
  <c r="J340" i="24"/>
  <c r="N340" i="16"/>
  <c r="P340" i="18"/>
  <c r="J340" i="10"/>
  <c r="N355" i="16"/>
  <c r="J15" i="24"/>
  <c r="J15" i="10"/>
  <c r="P15" i="18"/>
  <c r="N15" i="16"/>
  <c r="J63" i="24"/>
  <c r="J63" i="10"/>
  <c r="P63" i="18"/>
  <c r="N63" i="16"/>
  <c r="J86" i="24"/>
  <c r="J86" i="10"/>
  <c r="N86" i="16"/>
  <c r="P86" i="18"/>
  <c r="J162" i="24"/>
  <c r="J162" i="10"/>
  <c r="P162" i="18"/>
  <c r="N162" i="16"/>
  <c r="J186" i="24"/>
  <c r="P186" i="18"/>
  <c r="J186" i="10"/>
  <c r="N186" i="16"/>
  <c r="J216" i="24"/>
  <c r="J216" i="10"/>
  <c r="N216" i="16"/>
  <c r="P216" i="18"/>
  <c r="J244" i="24"/>
  <c r="N244" i="16"/>
  <c r="P244" i="18"/>
  <c r="J244" i="10"/>
  <c r="J282" i="24"/>
  <c r="J282" i="10"/>
  <c r="P282" i="18"/>
  <c r="N282" i="16"/>
  <c r="J270" i="24"/>
  <c r="J270" i="10"/>
  <c r="N270" i="16"/>
  <c r="P270" i="18"/>
  <c r="J338" i="24"/>
  <c r="P338" i="18"/>
  <c r="J338" i="10"/>
  <c r="N338" i="16"/>
  <c r="J330" i="24"/>
  <c r="P330" i="18"/>
  <c r="J330" i="10"/>
  <c r="N330" i="16"/>
  <c r="J386" i="24"/>
  <c r="P386" i="18"/>
  <c r="J386" i="10"/>
  <c r="N386" i="16"/>
  <c r="J19" i="24"/>
  <c r="J19" i="10"/>
  <c r="N19" i="16"/>
  <c r="P19" i="18"/>
  <c r="J66" i="24"/>
  <c r="P66" i="18"/>
  <c r="J66" i="10"/>
  <c r="N66" i="16"/>
  <c r="J50" i="24"/>
  <c r="P50" i="18"/>
  <c r="J50" i="10"/>
  <c r="N50" i="16"/>
  <c r="J136" i="24"/>
  <c r="J136" i="10"/>
  <c r="N136" i="16"/>
  <c r="P136" i="18"/>
  <c r="P124" i="18"/>
  <c r="J153" i="24"/>
  <c r="N153" i="16"/>
  <c r="P153" i="18"/>
  <c r="J153" i="10"/>
  <c r="P219" i="18"/>
  <c r="J179" i="10"/>
  <c r="J255" i="24"/>
  <c r="J255" i="10"/>
  <c r="P255" i="18"/>
  <c r="N255" i="16"/>
  <c r="J258" i="24"/>
  <c r="P258" i="18"/>
  <c r="N258" i="16"/>
  <c r="J258" i="10"/>
  <c r="J250" i="24"/>
  <c r="P250" i="18"/>
  <c r="J250" i="10"/>
  <c r="N250" i="16"/>
  <c r="J332" i="24"/>
  <c r="N332" i="16"/>
  <c r="P332" i="18"/>
  <c r="J332" i="10"/>
  <c r="J368" i="24"/>
  <c r="J368" i="10"/>
  <c r="N368" i="16"/>
  <c r="P368" i="18"/>
  <c r="J291" i="24"/>
  <c r="J291" i="10"/>
  <c r="N291" i="16"/>
  <c r="P291" i="18"/>
  <c r="J392" i="24"/>
  <c r="J392" i="10"/>
  <c r="N392" i="16"/>
  <c r="P392" i="18"/>
  <c r="N361" i="13"/>
  <c r="O361" i="13" s="1"/>
  <c r="P361" i="13" s="1"/>
  <c r="J394" i="24"/>
  <c r="P394" i="18"/>
  <c r="J394" i="10"/>
  <c r="N394" i="16"/>
  <c r="J343" i="24"/>
  <c r="J343" i="10"/>
  <c r="P343" i="18"/>
  <c r="N343" i="16"/>
  <c r="J393" i="10"/>
  <c r="J372" i="24"/>
  <c r="N372" i="16"/>
  <c r="P372" i="18"/>
  <c r="J372" i="10"/>
  <c r="J466" i="24"/>
  <c r="P466" i="18"/>
  <c r="J466" i="10"/>
  <c r="N466" i="16"/>
  <c r="J464" i="24"/>
  <c r="J464" i="10"/>
  <c r="N464" i="16"/>
  <c r="P464" i="18"/>
  <c r="J436" i="24"/>
  <c r="J436" i="10"/>
  <c r="N436" i="16"/>
  <c r="P436" i="18"/>
  <c r="J490" i="24"/>
  <c r="J490" i="10"/>
  <c r="P490" i="18"/>
  <c r="N490" i="16"/>
  <c r="J90" i="24"/>
  <c r="P90" i="18"/>
  <c r="J90" i="10"/>
  <c r="N90" i="16"/>
  <c r="J96" i="24"/>
  <c r="J96" i="10"/>
  <c r="N96" i="16"/>
  <c r="P96" i="18"/>
  <c r="J268" i="24"/>
  <c r="N268" i="16"/>
  <c r="P268" i="18"/>
  <c r="J268" i="10"/>
  <c r="J67" i="24"/>
  <c r="J67" i="10"/>
  <c r="N67" i="16"/>
  <c r="P67" i="18"/>
  <c r="J6" i="24"/>
  <c r="J6" i="10"/>
  <c r="P6" i="18"/>
  <c r="N6" i="16"/>
  <c r="J145" i="24"/>
  <c r="N145" i="16"/>
  <c r="P145" i="18"/>
  <c r="J145" i="10"/>
  <c r="J164" i="10"/>
  <c r="P164" i="18"/>
  <c r="J272" i="24"/>
  <c r="J272" i="10"/>
  <c r="N272" i="16"/>
  <c r="P272" i="18"/>
  <c r="J304" i="24"/>
  <c r="J304" i="10"/>
  <c r="N304" i="16"/>
  <c r="P304" i="18"/>
  <c r="J378" i="24"/>
  <c r="P378" i="18"/>
  <c r="N378" i="16"/>
  <c r="J378" i="10"/>
  <c r="N404" i="16"/>
  <c r="N60" i="16"/>
  <c r="J60" i="10"/>
  <c r="J83" i="24"/>
  <c r="J14" i="24"/>
  <c r="J14" i="10"/>
  <c r="N14" i="16"/>
  <c r="P14" i="18"/>
  <c r="J69" i="24"/>
  <c r="J69" i="10"/>
  <c r="N69" i="16"/>
  <c r="P69" i="18"/>
  <c r="J208" i="24"/>
  <c r="J208" i="10"/>
  <c r="N208" i="16"/>
  <c r="P208" i="18"/>
  <c r="J252" i="24"/>
  <c r="N252" i="16"/>
  <c r="P252" i="18"/>
  <c r="J252" i="10"/>
  <c r="J312" i="24"/>
  <c r="J312" i="10"/>
  <c r="N312" i="16"/>
  <c r="P312" i="18"/>
  <c r="J382" i="24"/>
  <c r="J382" i="10"/>
  <c r="N382" i="16"/>
  <c r="P382" i="18"/>
  <c r="N406" i="13"/>
  <c r="O406" i="13" s="1"/>
  <c r="P406" i="13" s="1"/>
  <c r="J84" i="24"/>
  <c r="N84" i="16"/>
  <c r="P84" i="18"/>
  <c r="J84" i="10"/>
  <c r="J97" i="24"/>
  <c r="N97" i="16"/>
  <c r="P97" i="18"/>
  <c r="J97" i="10"/>
  <c r="J101" i="24"/>
  <c r="J101" i="10"/>
  <c r="N101" i="16"/>
  <c r="P101" i="18"/>
  <c r="J72" i="24"/>
  <c r="J72" i="10"/>
  <c r="N72" i="16"/>
  <c r="P72" i="18"/>
  <c r="J287" i="24"/>
  <c r="J287" i="10"/>
  <c r="P287" i="18"/>
  <c r="N287" i="16"/>
  <c r="J251" i="24"/>
  <c r="N251" i="16"/>
  <c r="P251" i="18"/>
  <c r="J251" i="10"/>
  <c r="J387" i="24"/>
  <c r="N387" i="16"/>
  <c r="P387" i="18"/>
  <c r="J387" i="10"/>
  <c r="J334" i="24"/>
  <c r="N334" i="16"/>
  <c r="P334" i="18"/>
  <c r="J334" i="10"/>
  <c r="J437" i="24"/>
  <c r="J437" i="10"/>
  <c r="N437" i="16"/>
  <c r="P437" i="18"/>
  <c r="J423" i="24"/>
  <c r="P423" i="18"/>
  <c r="J423" i="10"/>
  <c r="N423" i="16"/>
  <c r="J498" i="24"/>
  <c r="P498" i="18"/>
  <c r="J498" i="10"/>
  <c r="N498" i="16"/>
  <c r="J434" i="24"/>
  <c r="P434" i="18"/>
  <c r="J434" i="10"/>
  <c r="N434" i="16"/>
  <c r="J458" i="24"/>
  <c r="P458" i="18"/>
  <c r="J458" i="10"/>
  <c r="N458" i="16"/>
  <c r="P471" i="18"/>
  <c r="J471" i="10"/>
  <c r="J491" i="24"/>
  <c r="N491" i="16"/>
  <c r="J491" i="10"/>
  <c r="P491" i="18"/>
  <c r="P10" i="18"/>
  <c r="J10" i="10"/>
  <c r="J42" i="24"/>
  <c r="J42" i="10"/>
  <c r="P42" i="18"/>
  <c r="N42" i="16"/>
  <c r="J29" i="24"/>
  <c r="N29" i="16"/>
  <c r="P29" i="18"/>
  <c r="J29" i="10"/>
  <c r="J18" i="24"/>
  <c r="J57" i="24"/>
  <c r="N57" i="16"/>
  <c r="P57" i="18"/>
  <c r="J57" i="10"/>
  <c r="J12" i="24"/>
  <c r="N12" i="16"/>
  <c r="P12" i="18"/>
  <c r="J12" i="10"/>
  <c r="J81" i="10"/>
  <c r="J115" i="24"/>
  <c r="N115" i="16"/>
  <c r="J115" i="10"/>
  <c r="P115" i="18"/>
  <c r="J128" i="24"/>
  <c r="J128" i="10"/>
  <c r="N128" i="16"/>
  <c r="P128" i="18"/>
  <c r="J150" i="24"/>
  <c r="J150" i="10"/>
  <c r="N150" i="16"/>
  <c r="P150" i="18"/>
  <c r="J108" i="24"/>
  <c r="N108" i="16"/>
  <c r="P108" i="18"/>
  <c r="J108" i="10"/>
  <c r="J147" i="24"/>
  <c r="J147" i="10"/>
  <c r="N147" i="16"/>
  <c r="P147" i="18"/>
  <c r="J191" i="24"/>
  <c r="J191" i="10"/>
  <c r="P191" i="18"/>
  <c r="N191" i="16"/>
  <c r="J256" i="24"/>
  <c r="J256" i="10"/>
  <c r="N256" i="16"/>
  <c r="P256" i="18"/>
  <c r="P217" i="18"/>
  <c r="J302" i="24"/>
  <c r="J302" i="10"/>
  <c r="N302" i="16"/>
  <c r="P302" i="18"/>
  <c r="J241" i="24"/>
  <c r="N241" i="16"/>
  <c r="P241" i="18"/>
  <c r="J241" i="10"/>
  <c r="N215" i="16"/>
  <c r="J351" i="24"/>
  <c r="P351" i="18"/>
  <c r="J351" i="10"/>
  <c r="N351" i="16"/>
  <c r="J395" i="24"/>
  <c r="N395" i="16"/>
  <c r="P395" i="18"/>
  <c r="J395" i="10"/>
  <c r="N360" i="13"/>
  <c r="O360" i="13" s="1"/>
  <c r="P360" i="13" s="1"/>
  <c r="N405" i="16"/>
  <c r="J354" i="24"/>
  <c r="P354" i="18"/>
  <c r="N354" i="16"/>
  <c r="J354" i="10"/>
  <c r="N397" i="16"/>
  <c r="P397" i="18"/>
  <c r="P380" i="18"/>
  <c r="P417" i="18"/>
  <c r="J409" i="24"/>
  <c r="N409" i="16"/>
  <c r="J409" i="10"/>
  <c r="P409" i="18"/>
  <c r="J408" i="24"/>
  <c r="J408" i="10"/>
  <c r="N408" i="16"/>
  <c r="P408" i="18"/>
  <c r="N443" i="13"/>
  <c r="O443" i="13" s="1"/>
  <c r="P443" i="13" s="1"/>
  <c r="J143" i="24"/>
  <c r="J143" i="10"/>
  <c r="P143" i="18"/>
  <c r="N143" i="16"/>
  <c r="J48" i="24"/>
  <c r="J48" i="10"/>
  <c r="N48" i="16"/>
  <c r="P48" i="18"/>
  <c r="J232" i="24"/>
  <c r="J232" i="10"/>
  <c r="N232" i="16"/>
  <c r="P232" i="18"/>
  <c r="J201" i="24"/>
  <c r="N201" i="16"/>
  <c r="J201" i="10"/>
  <c r="P201" i="18"/>
  <c r="J324" i="24"/>
  <c r="J324" i="10"/>
  <c r="N324" i="16"/>
  <c r="P324" i="18"/>
  <c r="J356" i="24"/>
  <c r="J356" i="10"/>
  <c r="N356" i="16"/>
  <c r="P356" i="18"/>
  <c r="J412" i="24"/>
  <c r="N412" i="16"/>
  <c r="J412" i="10"/>
  <c r="P412" i="18"/>
  <c r="J373" i="24"/>
  <c r="J373" i="10"/>
  <c r="N373" i="16"/>
  <c r="P373" i="18"/>
  <c r="J399" i="24"/>
  <c r="P399" i="18"/>
  <c r="N399" i="16"/>
  <c r="J455" i="24"/>
  <c r="P455" i="18"/>
  <c r="J455" i="10"/>
  <c r="N455" i="16"/>
  <c r="J51" i="24"/>
  <c r="N51" i="16"/>
  <c r="P51" i="18"/>
  <c r="J51" i="10"/>
  <c r="J125" i="24"/>
  <c r="J125" i="10"/>
  <c r="N125" i="16"/>
  <c r="P125" i="18"/>
  <c r="J54" i="24"/>
  <c r="J54" i="10"/>
  <c r="N54" i="16"/>
  <c r="P54" i="18"/>
  <c r="N172" i="16"/>
  <c r="J328" i="24"/>
  <c r="J328" i="10"/>
  <c r="N328" i="16"/>
  <c r="P328" i="18"/>
  <c r="J359" i="24"/>
  <c r="P359" i="18"/>
  <c r="J359" i="10"/>
  <c r="N359" i="16"/>
  <c r="J74" i="24"/>
  <c r="P74" i="18"/>
  <c r="N74" i="16"/>
  <c r="J74" i="10"/>
  <c r="N236" i="16"/>
  <c r="N321" i="16"/>
  <c r="J420" i="24"/>
  <c r="N420" i="16"/>
  <c r="J420" i="10"/>
  <c r="P420" i="18"/>
  <c r="J75" i="24"/>
  <c r="N75" i="16"/>
  <c r="P75" i="18"/>
  <c r="J75" i="10"/>
  <c r="J106" i="24"/>
  <c r="P106" i="18"/>
  <c r="J106" i="10"/>
  <c r="N106" i="16"/>
  <c r="J111" i="24"/>
  <c r="J111" i="10"/>
  <c r="P111" i="18"/>
  <c r="N111" i="16"/>
  <c r="N126" i="16"/>
  <c r="P126" i="18"/>
  <c r="P218" i="18"/>
  <c r="J226" i="24"/>
  <c r="P226" i="18"/>
  <c r="J226" i="10"/>
  <c r="N226" i="16"/>
  <c r="N235" i="16"/>
  <c r="J235" i="10"/>
  <c r="J315" i="24"/>
  <c r="N315" i="16"/>
  <c r="P315" i="18"/>
  <c r="J315" i="10"/>
  <c r="J325" i="24"/>
  <c r="N325" i="16"/>
  <c r="J325" i="10"/>
  <c r="P325" i="18"/>
  <c r="J376" i="24"/>
  <c r="J376" i="10"/>
  <c r="N376" i="16"/>
  <c r="P376" i="18"/>
  <c r="J347" i="24"/>
  <c r="N347" i="16"/>
  <c r="J347" i="10"/>
  <c r="P347" i="18"/>
  <c r="J504" i="24"/>
  <c r="J504" i="10"/>
  <c r="N504" i="16"/>
  <c r="P504" i="18"/>
  <c r="J481" i="24"/>
  <c r="N481" i="16"/>
  <c r="J481" i="10"/>
  <c r="P481" i="18"/>
  <c r="J501" i="24"/>
  <c r="J501" i="10"/>
  <c r="N501" i="16"/>
  <c r="P501" i="18"/>
  <c r="N494" i="16"/>
  <c r="J59" i="24"/>
  <c r="N59" i="16"/>
  <c r="J59" i="10"/>
  <c r="P59" i="18"/>
  <c r="J35" i="24"/>
  <c r="N35" i="16"/>
  <c r="J35" i="10"/>
  <c r="P35" i="18"/>
  <c r="J65" i="24"/>
  <c r="N65" i="16"/>
  <c r="P65" i="18"/>
  <c r="J65" i="10"/>
  <c r="J85" i="24"/>
  <c r="N85" i="16"/>
  <c r="J85" i="10"/>
  <c r="P85" i="18"/>
  <c r="J134" i="10"/>
  <c r="P134" i="18"/>
  <c r="J107" i="24"/>
  <c r="N107" i="16"/>
  <c r="P107" i="18"/>
  <c r="J107" i="10"/>
  <c r="J199" i="24"/>
  <c r="J199" i="10"/>
  <c r="P199" i="18"/>
  <c r="N199" i="16"/>
  <c r="J195" i="24"/>
  <c r="N195" i="16"/>
  <c r="P195" i="18"/>
  <c r="J195" i="10"/>
  <c r="J239" i="24"/>
  <c r="J239" i="10"/>
  <c r="P239" i="18"/>
  <c r="N239" i="16"/>
  <c r="J267" i="24"/>
  <c r="J267" i="10"/>
  <c r="N267" i="16"/>
  <c r="P267" i="18"/>
  <c r="J271" i="24"/>
  <c r="J271" i="10"/>
  <c r="P271" i="18"/>
  <c r="N271" i="16"/>
  <c r="J320" i="10"/>
  <c r="J281" i="24"/>
  <c r="N281" i="16"/>
  <c r="P281" i="18"/>
  <c r="J281" i="10"/>
  <c r="J296" i="24"/>
  <c r="J296" i="10"/>
  <c r="N296" i="16"/>
  <c r="P296" i="18"/>
  <c r="J310" i="24"/>
  <c r="J310" i="10"/>
  <c r="N310" i="16"/>
  <c r="P310" i="18"/>
  <c r="J342" i="24"/>
  <c r="J342" i="10"/>
  <c r="N342" i="16"/>
  <c r="P342" i="18"/>
  <c r="J371" i="24"/>
  <c r="J371" i="10"/>
  <c r="N371" i="16"/>
  <c r="P371" i="18"/>
  <c r="J421" i="24"/>
  <c r="N421" i="16"/>
  <c r="J421" i="10"/>
  <c r="P421" i="18"/>
  <c r="J402" i="24"/>
  <c r="P402" i="18"/>
  <c r="J402" i="10"/>
  <c r="N402" i="16"/>
  <c r="J398" i="24"/>
  <c r="J398" i="10"/>
  <c r="N398" i="16"/>
  <c r="P398" i="18"/>
  <c r="J370" i="24"/>
  <c r="P370" i="18"/>
  <c r="J370" i="10"/>
  <c r="N370" i="16"/>
  <c r="J353" i="24"/>
  <c r="J353" i="10"/>
  <c r="N353" i="16"/>
  <c r="P353" i="18"/>
  <c r="J410" i="24"/>
  <c r="J410" i="10"/>
  <c r="P410" i="18"/>
  <c r="N410" i="16"/>
  <c r="J388" i="24"/>
  <c r="N388" i="16"/>
  <c r="P388" i="18"/>
  <c r="J388" i="10"/>
  <c r="J416" i="24"/>
  <c r="J416" i="10"/>
  <c r="N416" i="16"/>
  <c r="P416" i="18"/>
  <c r="J478" i="24"/>
  <c r="J478" i="10"/>
  <c r="N478" i="16"/>
  <c r="P478" i="18"/>
  <c r="J497" i="24"/>
  <c r="J497" i="10"/>
  <c r="N497" i="16"/>
  <c r="P497" i="18"/>
  <c r="J439" i="24"/>
  <c r="P439" i="18"/>
  <c r="N439" i="16"/>
  <c r="J439" i="10"/>
  <c r="J500" i="24"/>
  <c r="J500" i="10"/>
  <c r="N500" i="16"/>
  <c r="P500" i="18"/>
  <c r="J40" i="24"/>
  <c r="J40" i="10"/>
  <c r="N40" i="16"/>
  <c r="P40" i="18"/>
  <c r="J88" i="24"/>
  <c r="J88" i="10"/>
  <c r="N88" i="16"/>
  <c r="P88" i="18"/>
  <c r="J165" i="24"/>
  <c r="N165" i="16"/>
  <c r="J165" i="10"/>
  <c r="P165" i="18"/>
  <c r="J301" i="24"/>
  <c r="N301" i="16"/>
  <c r="J301" i="10"/>
  <c r="P301" i="18"/>
  <c r="J358" i="24"/>
  <c r="J358" i="10"/>
  <c r="N358" i="16"/>
  <c r="P358" i="18"/>
  <c r="J479" i="24"/>
  <c r="P479" i="18"/>
  <c r="N479" i="16"/>
  <c r="J479" i="10"/>
  <c r="J448" i="24"/>
  <c r="J448" i="10"/>
  <c r="N448" i="16"/>
  <c r="P448" i="18"/>
  <c r="J488" i="24"/>
  <c r="N488" i="16"/>
  <c r="J484" i="24"/>
  <c r="N484" i="16"/>
  <c r="J484" i="10"/>
  <c r="P484" i="18"/>
  <c r="J438" i="24"/>
  <c r="J438" i="10"/>
  <c r="N438" i="16"/>
  <c r="P438" i="18"/>
  <c r="P99" i="18"/>
  <c r="J168" i="24"/>
  <c r="J168" i="10"/>
  <c r="N168" i="16"/>
  <c r="P168" i="18"/>
  <c r="J200" i="24"/>
  <c r="J200" i="10"/>
  <c r="N200" i="16"/>
  <c r="P200" i="18"/>
  <c r="J5" i="24"/>
  <c r="J5" i="10"/>
  <c r="N5" i="16"/>
  <c r="P5" i="18"/>
  <c r="J53" i="24"/>
  <c r="J53" i="10"/>
  <c r="N53" i="16"/>
  <c r="P53" i="18"/>
  <c r="J140" i="24"/>
  <c r="N140" i="16"/>
  <c r="J140" i="10"/>
  <c r="P140" i="18"/>
  <c r="P260" i="18"/>
  <c r="J349" i="24"/>
  <c r="N349" i="16"/>
  <c r="J349" i="10"/>
  <c r="P349" i="18"/>
  <c r="J316" i="24"/>
  <c r="J316" i="10"/>
  <c r="N316" i="16"/>
  <c r="P316" i="18"/>
  <c r="J419" i="24"/>
  <c r="N419" i="16"/>
  <c r="J419" i="10"/>
  <c r="P419" i="18"/>
  <c r="J444" i="24"/>
  <c r="J444" i="10"/>
  <c r="N444" i="16"/>
  <c r="P444" i="18"/>
  <c r="J465" i="24"/>
  <c r="N465" i="16"/>
  <c r="P465" i="18"/>
  <c r="J465" i="10"/>
  <c r="J460" i="24"/>
  <c r="J460" i="10"/>
  <c r="N460" i="16"/>
  <c r="P460" i="18"/>
  <c r="J440" i="24"/>
  <c r="J440" i="10"/>
  <c r="N440" i="16"/>
  <c r="P440" i="18"/>
  <c r="J489" i="24"/>
  <c r="N489" i="16"/>
  <c r="P489" i="18"/>
  <c r="J489" i="10"/>
  <c r="J485" i="24"/>
  <c r="N485" i="16"/>
  <c r="P485" i="18"/>
  <c r="J485" i="10"/>
  <c r="J435" i="24"/>
  <c r="J435" i="10"/>
  <c r="N435" i="16"/>
  <c r="P435" i="18"/>
  <c r="U11" i="22"/>
  <c r="N45" i="16"/>
  <c r="P142" i="18"/>
  <c r="J155" i="10"/>
  <c r="J242" i="24"/>
  <c r="P242" i="18"/>
  <c r="J242" i="10"/>
  <c r="N242" i="16"/>
  <c r="J82" i="24"/>
  <c r="P82" i="18"/>
  <c r="J82" i="10"/>
  <c r="N82" i="16"/>
  <c r="N194" i="16"/>
  <c r="J284" i="24"/>
  <c r="N284" i="16"/>
  <c r="J284" i="10"/>
  <c r="P284" i="18"/>
  <c r="J379" i="24"/>
  <c r="N379" i="16"/>
  <c r="P379" i="18"/>
  <c r="J379" i="10"/>
  <c r="J26" i="24"/>
  <c r="P26" i="18"/>
  <c r="J26" i="10"/>
  <c r="N26" i="16"/>
  <c r="J34" i="24"/>
  <c r="J34" i="10"/>
  <c r="P34" i="18"/>
  <c r="N34" i="16"/>
  <c r="J103" i="24"/>
  <c r="J103" i="10"/>
  <c r="P103" i="18"/>
  <c r="N103" i="16"/>
  <c r="J158" i="24"/>
  <c r="J158" i="10"/>
  <c r="N158" i="16"/>
  <c r="P158" i="18"/>
  <c r="J157" i="24"/>
  <c r="J157" i="10"/>
  <c r="N157" i="16"/>
  <c r="P157" i="18"/>
  <c r="J337" i="24"/>
  <c r="N337" i="16"/>
  <c r="P337" i="18"/>
  <c r="J337" i="10"/>
  <c r="J381" i="24"/>
  <c r="N381" i="16"/>
  <c r="J381" i="10"/>
  <c r="P381" i="18"/>
  <c r="J415" i="24"/>
  <c r="J456" i="24"/>
  <c r="J456" i="10"/>
  <c r="N456" i="16"/>
  <c r="P456" i="18"/>
  <c r="J445" i="24"/>
  <c r="J445" i="10"/>
  <c r="N445" i="16"/>
  <c r="P445" i="18"/>
  <c r="J433" i="24"/>
  <c r="J433" i="10"/>
  <c r="N433" i="16"/>
  <c r="P433" i="18"/>
  <c r="J495" i="24"/>
  <c r="P495" i="18"/>
  <c r="J495" i="10"/>
  <c r="N495" i="16"/>
  <c r="J442" i="24"/>
  <c r="J442" i="10"/>
  <c r="P442" i="18"/>
  <c r="N442" i="16"/>
  <c r="N134" i="16" l="1"/>
  <c r="P235" i="18"/>
  <c r="J321" i="24"/>
  <c r="N10" i="16"/>
  <c r="N471" i="16"/>
  <c r="J219" i="10"/>
  <c r="J450" i="10"/>
  <c r="J374" i="10"/>
  <c r="N389" i="16"/>
  <c r="N212" i="16"/>
  <c r="J326" i="10"/>
  <c r="J13" i="10"/>
  <c r="J503" i="10"/>
  <c r="N219" i="16"/>
  <c r="P43" i="18"/>
  <c r="P56" i="18"/>
  <c r="N503" i="16"/>
  <c r="J49" i="10"/>
  <c r="N49" i="16"/>
  <c r="J260" i="10"/>
  <c r="J76" i="10"/>
  <c r="J126" i="10"/>
  <c r="P309" i="18"/>
  <c r="P215" i="18"/>
  <c r="N164" i="16"/>
  <c r="P411" i="18"/>
  <c r="N56" i="16"/>
  <c r="J24" i="10"/>
  <c r="N260" i="16"/>
  <c r="J215" i="10"/>
  <c r="J18" i="10"/>
  <c r="N187" i="16"/>
  <c r="J411" i="10"/>
  <c r="J56" i="10"/>
  <c r="N39" i="16"/>
  <c r="P166" i="18"/>
  <c r="N73" i="16"/>
  <c r="J377" i="10"/>
  <c r="N463" i="16"/>
  <c r="J190" i="10"/>
  <c r="J321" i="10"/>
  <c r="N309" i="16"/>
  <c r="N18" i="16"/>
  <c r="N411" i="16"/>
  <c r="P39" i="18"/>
  <c r="P73" i="18"/>
  <c r="N377" i="16"/>
  <c r="P487" i="18"/>
  <c r="J309" i="10"/>
  <c r="N344" i="16"/>
  <c r="N487" i="16"/>
  <c r="J227" i="24"/>
  <c r="J190" i="24"/>
  <c r="J236" i="24"/>
  <c r="P393" i="18"/>
  <c r="N155" i="16"/>
  <c r="J494" i="10"/>
  <c r="J355" i="24"/>
  <c r="J475" i="10"/>
  <c r="P24" i="18"/>
  <c r="P254" i="18"/>
  <c r="P155" i="18"/>
  <c r="J172" i="24"/>
  <c r="J405" i="24"/>
  <c r="J355" i="10"/>
  <c r="J418" i="10"/>
  <c r="N227" i="16"/>
  <c r="P320" i="18"/>
  <c r="N218" i="16"/>
  <c r="N393" i="16"/>
  <c r="N320" i="16"/>
  <c r="P494" i="18"/>
  <c r="J218" i="10"/>
  <c r="J417" i="10"/>
  <c r="J124" i="10"/>
  <c r="J295" i="10"/>
  <c r="J43" i="10"/>
  <c r="N24" i="16"/>
  <c r="N254" i="16"/>
  <c r="N142" i="16"/>
  <c r="N417" i="16"/>
  <c r="P81" i="18"/>
  <c r="J83" i="10"/>
  <c r="N124" i="16"/>
  <c r="N43" i="16"/>
  <c r="P182" i="18"/>
  <c r="J298" i="10"/>
  <c r="P7" i="18"/>
  <c r="P418" i="18"/>
  <c r="N418" i="16"/>
  <c r="P190" i="18"/>
  <c r="P236" i="18"/>
  <c r="J172" i="10"/>
  <c r="P405" i="18"/>
  <c r="N81" i="16"/>
  <c r="J142" i="10"/>
  <c r="P83" i="18"/>
  <c r="P298" i="18"/>
  <c r="J7" i="10"/>
  <c r="P173" i="18"/>
  <c r="J318" i="24"/>
  <c r="N380" i="16"/>
  <c r="P148" i="18"/>
  <c r="J317" i="10"/>
  <c r="N114" i="16"/>
  <c r="J16" i="10"/>
  <c r="J297" i="24"/>
  <c r="J336" i="24"/>
  <c r="J211" i="24"/>
  <c r="J380" i="10"/>
  <c r="J317" i="24"/>
  <c r="P114" i="18"/>
  <c r="J98" i="10"/>
  <c r="J16" i="24"/>
  <c r="P262" i="18"/>
  <c r="J331" i="10"/>
  <c r="P414" i="18"/>
  <c r="N148" i="16"/>
  <c r="P192" i="18"/>
  <c r="N266" i="16"/>
  <c r="J148" i="24"/>
  <c r="J114" i="10"/>
  <c r="P98" i="18"/>
  <c r="J262" i="10"/>
  <c r="P331" i="18"/>
  <c r="J414" i="10"/>
  <c r="J98" i="24"/>
  <c r="P341" i="18"/>
  <c r="J262" i="24"/>
  <c r="N331" i="16"/>
  <c r="N414" i="16"/>
  <c r="J266" i="10"/>
  <c r="P58" i="18"/>
  <c r="J192" i="10"/>
  <c r="P266" i="18"/>
  <c r="J47" i="10"/>
  <c r="J58" i="10"/>
  <c r="J341" i="10"/>
  <c r="N47" i="16"/>
  <c r="J192" i="24"/>
  <c r="J47" i="24"/>
  <c r="J58" i="24"/>
  <c r="N341" i="16"/>
  <c r="N336" i="16"/>
  <c r="P211" i="18"/>
  <c r="P45" i="18"/>
  <c r="J488" i="10"/>
  <c r="J397" i="10"/>
  <c r="J217" i="10"/>
  <c r="J404" i="24"/>
  <c r="J225" i="10"/>
  <c r="P28" i="18"/>
  <c r="P308" i="18"/>
  <c r="J276" i="10"/>
  <c r="P319" i="18"/>
  <c r="J139" i="10"/>
  <c r="N273" i="16"/>
  <c r="N223" i="16"/>
  <c r="P279" i="18"/>
  <c r="J273" i="24"/>
  <c r="J45" i="24"/>
  <c r="J99" i="10"/>
  <c r="P68" i="18"/>
  <c r="N425" i="16"/>
  <c r="P366" i="18"/>
  <c r="J217" i="24"/>
  <c r="J225" i="24"/>
  <c r="J28" i="24"/>
  <c r="J308" i="24"/>
  <c r="P403" i="18"/>
  <c r="J280" i="24"/>
  <c r="P329" i="18"/>
  <c r="N193" i="16"/>
  <c r="J263" i="10"/>
  <c r="J279" i="24"/>
  <c r="P425" i="18"/>
  <c r="J193" i="10"/>
  <c r="N472" i="16"/>
  <c r="P307" i="18"/>
  <c r="J472" i="10"/>
  <c r="J307" i="10"/>
  <c r="J99" i="24"/>
  <c r="N68" i="16"/>
  <c r="J425" i="10"/>
  <c r="N366" i="16"/>
  <c r="P8" i="18"/>
  <c r="P459" i="18"/>
  <c r="N170" i="16"/>
  <c r="N403" i="16"/>
  <c r="N329" i="16"/>
  <c r="P193" i="18"/>
  <c r="J308" i="10"/>
  <c r="P223" i="18"/>
  <c r="J68" i="10"/>
  <c r="J472" i="24"/>
  <c r="N307" i="16"/>
  <c r="J366" i="10"/>
  <c r="J404" i="10"/>
  <c r="J424" i="24"/>
  <c r="N8" i="16"/>
  <c r="J170" i="10"/>
  <c r="J403" i="24"/>
  <c r="J329" i="10"/>
  <c r="J187" i="10"/>
  <c r="P194" i="18"/>
  <c r="J299" i="10"/>
  <c r="N221" i="16"/>
  <c r="J221" i="24"/>
  <c r="J180" i="10"/>
  <c r="P187" i="18"/>
  <c r="J348" i="10"/>
  <c r="J335" i="24"/>
  <c r="N459" i="16"/>
  <c r="J475" i="24"/>
  <c r="N27" i="16"/>
  <c r="P198" i="18"/>
  <c r="P365" i="18"/>
  <c r="P463" i="18"/>
  <c r="P475" i="18"/>
  <c r="J64" i="10"/>
  <c r="J441" i="24"/>
  <c r="N365" i="16"/>
  <c r="J463" i="10"/>
  <c r="P176" i="18"/>
  <c r="P110" i="18"/>
  <c r="J365" i="10"/>
  <c r="B18" i="20"/>
  <c r="N176" i="16"/>
  <c r="N431" i="16"/>
  <c r="P299" i="18"/>
  <c r="J135" i="10"/>
  <c r="J344" i="10"/>
  <c r="N198" i="16"/>
  <c r="N110" i="16"/>
  <c r="P180" i="18"/>
  <c r="N121" i="16"/>
  <c r="J223" i="10"/>
  <c r="J327" i="24"/>
  <c r="N299" i="16"/>
  <c r="J135" i="24"/>
  <c r="J344" i="24"/>
  <c r="J198" i="10"/>
  <c r="J110" i="10"/>
  <c r="N180" i="16"/>
  <c r="P121" i="18"/>
  <c r="B15" i="20"/>
  <c r="B12" i="20"/>
  <c r="N305" i="16"/>
  <c r="N283" i="16"/>
  <c r="N462" i="16"/>
  <c r="J462" i="24"/>
  <c r="J483" i="24"/>
  <c r="N112" i="16"/>
  <c r="J323" i="10"/>
  <c r="J121" i="24"/>
  <c r="N269" i="16"/>
  <c r="P305" i="18"/>
  <c r="P283" i="18"/>
  <c r="N127" i="16"/>
  <c r="J152" i="10"/>
  <c r="P269" i="18"/>
  <c r="N415" i="16"/>
  <c r="N335" i="16"/>
  <c r="P44" i="18"/>
  <c r="B13" i="20"/>
  <c r="J112" i="10"/>
  <c r="N182" i="16"/>
  <c r="N173" i="16"/>
  <c r="P11" i="18"/>
  <c r="P318" i="18"/>
  <c r="P323" i="18"/>
  <c r="J269" i="10"/>
  <c r="N407" i="16"/>
  <c r="J127" i="10"/>
  <c r="P462" i="18"/>
  <c r="B17" i="20"/>
  <c r="B14" i="20"/>
  <c r="P415" i="18"/>
  <c r="P76" i="18"/>
  <c r="N44" i="16"/>
  <c r="B16" i="20"/>
  <c r="J112" i="24"/>
  <c r="J182" i="10"/>
  <c r="J173" i="10"/>
  <c r="N11" i="16"/>
  <c r="N318" i="16"/>
  <c r="N323" i="16"/>
  <c r="J76" i="24"/>
  <c r="P431" i="18"/>
  <c r="J431" i="24"/>
  <c r="N483" i="16"/>
  <c r="P335" i="18"/>
  <c r="J44" i="10"/>
  <c r="P253" i="18"/>
  <c r="P131" i="18"/>
  <c r="P146" i="18"/>
  <c r="J467" i="10"/>
  <c r="J297" i="10"/>
  <c r="J253" i="10"/>
  <c r="N131" i="16"/>
  <c r="N146" i="16"/>
  <c r="P467" i="18"/>
  <c r="P297" i="18"/>
  <c r="N253" i="16"/>
  <c r="J131" i="10"/>
  <c r="J146" i="10"/>
  <c r="J227" i="10"/>
  <c r="H14" i="21"/>
  <c r="J12" i="21" s="1"/>
  <c r="J333" i="24"/>
  <c r="J87" i="24"/>
  <c r="P60" i="18"/>
  <c r="J459" i="24"/>
  <c r="J295" i="24"/>
  <c r="P78" i="18"/>
  <c r="P93" i="18"/>
  <c r="N473" i="16"/>
  <c r="J80" i="10"/>
  <c r="N294" i="16"/>
  <c r="N179" i="16"/>
  <c r="H15" i="21"/>
  <c r="K12" i="21" s="1"/>
  <c r="P179" i="18"/>
  <c r="J79" i="24"/>
  <c r="J294" i="10"/>
  <c r="N167" i="16"/>
  <c r="P451" i="18"/>
  <c r="N196" i="16"/>
  <c r="J263" i="24"/>
  <c r="N31" i="16"/>
  <c r="J473" i="10"/>
  <c r="P189" i="18"/>
  <c r="J159" i="24"/>
  <c r="N451" i="16"/>
  <c r="J196" i="10"/>
  <c r="P496" i="18"/>
  <c r="P116" i="18"/>
  <c r="J189" i="10"/>
  <c r="P21" i="18"/>
  <c r="J451" i="10"/>
  <c r="J31" i="10"/>
  <c r="J196" i="24"/>
  <c r="P468" i="18"/>
  <c r="N314" i="16"/>
  <c r="J429" i="10"/>
  <c r="J167" i="10"/>
  <c r="N496" i="16"/>
  <c r="J116" i="10"/>
  <c r="P248" i="18"/>
  <c r="J189" i="24"/>
  <c r="N93" i="16"/>
  <c r="J21" i="10"/>
  <c r="J31" i="24"/>
  <c r="N46" i="16"/>
  <c r="N468" i="16"/>
  <c r="P314" i="18"/>
  <c r="J283" i="10"/>
  <c r="J407" i="10"/>
  <c r="W11" i="22"/>
  <c r="P429" i="18"/>
  <c r="J167" i="24"/>
  <c r="J496" i="10"/>
  <c r="P197" i="18"/>
  <c r="N116" i="16"/>
  <c r="N248" i="16"/>
  <c r="P61" i="18"/>
  <c r="P91" i="18"/>
  <c r="N174" i="16"/>
  <c r="J93" i="10"/>
  <c r="P229" i="18"/>
  <c r="J430" i="10"/>
  <c r="J468" i="10"/>
  <c r="J314" i="10"/>
  <c r="J369" i="10"/>
  <c r="P407" i="18"/>
  <c r="J197" i="10"/>
  <c r="J248" i="10"/>
  <c r="J61" i="10"/>
  <c r="N91" i="16"/>
  <c r="N229" i="16"/>
  <c r="N369" i="16"/>
  <c r="N333" i="16"/>
  <c r="P483" i="18"/>
  <c r="N61" i="16"/>
  <c r="J91" i="10"/>
  <c r="J229" i="10"/>
  <c r="P369" i="18"/>
  <c r="N429" i="16"/>
  <c r="P333" i="18"/>
  <c r="N79" i="16"/>
  <c r="P79" i="18"/>
  <c r="N197" i="16"/>
  <c r="J40" i="21"/>
  <c r="J19" i="21"/>
  <c r="H40" i="21" s="1"/>
  <c r="J38" i="21" s="1"/>
  <c r="N21" i="16"/>
  <c r="N280" i="16"/>
  <c r="P118" i="18"/>
  <c r="N263" i="16"/>
  <c r="J118" i="24"/>
  <c r="J181" i="24"/>
  <c r="P181" i="18"/>
  <c r="J181" i="10"/>
  <c r="P311" i="18"/>
  <c r="N87" i="16"/>
  <c r="B17" i="13"/>
  <c r="P46" i="18"/>
  <c r="J46" i="10"/>
  <c r="N118" i="16"/>
  <c r="J204" i="24"/>
  <c r="P174" i="18"/>
  <c r="P64" i="18"/>
  <c r="P87" i="18"/>
  <c r="J27" i="10"/>
  <c r="J174" i="10"/>
  <c r="N166" i="16"/>
  <c r="J311" i="10"/>
  <c r="N64" i="16"/>
  <c r="P424" i="18"/>
  <c r="P27" i="18"/>
  <c r="J166" i="10"/>
  <c r="N311" i="16"/>
  <c r="N424" i="16"/>
  <c r="N430" i="16"/>
  <c r="I19" i="21"/>
  <c r="I14" i="21"/>
  <c r="J13" i="21" s="1"/>
  <c r="I15" i="21"/>
  <c r="K13" i="21" s="1"/>
  <c r="P441" i="18"/>
  <c r="P159" i="18"/>
  <c r="J163" i="24"/>
  <c r="B14" i="13"/>
  <c r="J194" i="10"/>
  <c r="P348" i="18"/>
  <c r="N441" i="16"/>
  <c r="J159" i="10"/>
  <c r="N348" i="16"/>
  <c r="P204" i="18"/>
  <c r="J204" i="10"/>
  <c r="P280" i="18"/>
  <c r="P163" i="18"/>
  <c r="P4" i="22"/>
  <c r="P5" i="22" s="1"/>
  <c r="P6" i="22" s="1"/>
  <c r="P7" i="22" s="1"/>
  <c r="P8" i="22" s="1"/>
  <c r="P9" i="22" s="1"/>
  <c r="P10" i="22" s="1"/>
  <c r="P11" i="22" s="1"/>
  <c r="P12" i="22" s="1"/>
  <c r="P13" i="22" s="1"/>
  <c r="P14" i="22" s="1"/>
  <c r="P15" i="22" s="1"/>
  <c r="P16" i="22" s="1"/>
  <c r="P17" i="22" s="1"/>
  <c r="P18" i="22" s="1"/>
  <c r="P19" i="22" s="1"/>
  <c r="P20" i="22" s="1"/>
  <c r="P21" i="22" s="1"/>
  <c r="P22" i="22" s="1"/>
  <c r="P23" i="22" s="1"/>
  <c r="P24" i="22" s="1"/>
  <c r="P25" i="22" s="1"/>
  <c r="P26" i="22" s="1"/>
  <c r="P27" i="22" s="1"/>
  <c r="P28" i="22" s="1"/>
  <c r="P29" i="22" s="1"/>
  <c r="P30" i="22" s="1"/>
  <c r="P31" i="22" s="1"/>
  <c r="P32" i="22" s="1"/>
  <c r="P33" i="22" s="1"/>
  <c r="P34" i="22" s="1"/>
  <c r="P35" i="22" s="1"/>
  <c r="P36" i="22" s="1"/>
  <c r="P37" i="22" s="1"/>
  <c r="P38" i="22" s="1"/>
  <c r="P39" i="22" s="1"/>
  <c r="P40" i="22" s="1"/>
  <c r="P41" i="22" s="1"/>
  <c r="P42" i="22" s="1"/>
  <c r="P43" i="22" s="1"/>
  <c r="P44" i="22" s="1"/>
  <c r="P45" i="22" s="1"/>
  <c r="P46" i="22" s="1"/>
  <c r="P47" i="22" s="1"/>
  <c r="P48" i="22" s="1"/>
  <c r="P49" i="22" s="1"/>
  <c r="P50" i="22" s="1"/>
  <c r="P51" i="22" s="1"/>
  <c r="P52" i="22" s="1"/>
  <c r="P53" i="22" s="1"/>
  <c r="P54" i="22" s="1"/>
  <c r="P55" i="22" s="1"/>
  <c r="P56" i="22" s="1"/>
  <c r="P57" i="22" s="1"/>
  <c r="P58" i="22" s="1"/>
  <c r="P59" i="22" s="1"/>
  <c r="P60" i="22" s="1"/>
  <c r="P61" i="22" s="1"/>
  <c r="P62" i="22" s="1"/>
  <c r="P63" i="22" s="1"/>
  <c r="P64" i="22" s="1"/>
  <c r="P65" i="22" s="1"/>
  <c r="P66" i="22" s="1"/>
  <c r="P67" i="22" s="1"/>
  <c r="P68" i="22" s="1"/>
  <c r="P69" i="22" s="1"/>
  <c r="P70" i="22" s="1"/>
  <c r="P71" i="22" s="1"/>
  <c r="P72" i="22" s="1"/>
  <c r="P73" i="22" s="1"/>
  <c r="P74" i="22" s="1"/>
  <c r="P75" i="22" s="1"/>
  <c r="P76" i="22" s="1"/>
  <c r="P77" i="22" s="1"/>
  <c r="P78" i="22" s="1"/>
  <c r="P79" i="22" s="1"/>
  <c r="P80" i="22" s="1"/>
  <c r="P81" i="22" s="1"/>
  <c r="P82" i="22" s="1"/>
  <c r="P83" i="22" s="1"/>
  <c r="P84" i="22" s="1"/>
  <c r="P85" i="22" s="1"/>
  <c r="P86" i="22" s="1"/>
  <c r="P87" i="22" s="1"/>
  <c r="P88" i="22" s="1"/>
  <c r="P89" i="22" s="1"/>
  <c r="P90" i="22" s="1"/>
  <c r="P91" i="22" s="1"/>
  <c r="P92" i="22" s="1"/>
  <c r="P93" i="22" s="1"/>
  <c r="P94" i="22" s="1"/>
  <c r="P95" i="22" s="1"/>
  <c r="P96" i="22" s="1"/>
  <c r="P97" i="22" s="1"/>
  <c r="P98" i="22" s="1"/>
  <c r="P99" i="22" s="1"/>
  <c r="P100" i="22" s="1"/>
  <c r="P101" i="22" s="1"/>
  <c r="P102" i="22" s="1"/>
  <c r="P103" i="22" s="1"/>
  <c r="P104" i="22" s="1"/>
  <c r="P105" i="22" s="1"/>
  <c r="P106" i="22" s="1"/>
  <c r="P107" i="22" s="1"/>
  <c r="P108" i="22" s="1"/>
  <c r="P109" i="22" s="1"/>
  <c r="P110" i="22" s="1"/>
  <c r="P111" i="22" s="1"/>
  <c r="P112" i="22" s="1"/>
  <c r="P113" i="22" s="1"/>
  <c r="P114" i="22" s="1"/>
  <c r="P115" i="22" s="1"/>
  <c r="P116" i="22" s="1"/>
  <c r="P117" i="22" s="1"/>
  <c r="P118" i="22" s="1"/>
  <c r="P119" i="22" s="1"/>
  <c r="P120" i="22" s="1"/>
  <c r="P121" i="22" s="1"/>
  <c r="P122" i="22" s="1"/>
  <c r="P123" i="22" s="1"/>
  <c r="P124" i="22" s="1"/>
  <c r="P125" i="22" s="1"/>
  <c r="P126" i="22" s="1"/>
  <c r="P127" i="22" s="1"/>
  <c r="P128" i="22" s="1"/>
  <c r="P129" i="22" s="1"/>
  <c r="P130" i="22" s="1"/>
  <c r="P131" i="22" s="1"/>
  <c r="P132" i="22" s="1"/>
  <c r="P133" i="22" s="1"/>
  <c r="P134" i="22" s="1"/>
  <c r="P135" i="22" s="1"/>
  <c r="P136" i="22" s="1"/>
  <c r="P137" i="22" s="1"/>
  <c r="P138" i="22" s="1"/>
  <c r="P139" i="22" s="1"/>
  <c r="P140" i="22" s="1"/>
  <c r="P141" i="22" s="1"/>
  <c r="P142" i="22" s="1"/>
  <c r="P143" i="22" s="1"/>
  <c r="P144" i="22" s="1"/>
  <c r="P145" i="22" s="1"/>
  <c r="P146" i="22" s="1"/>
  <c r="P147" i="22" s="1"/>
  <c r="P148" i="22" s="1"/>
  <c r="P149" i="22" s="1"/>
  <c r="P150" i="22" s="1"/>
  <c r="P151" i="22" s="1"/>
  <c r="P152" i="22" s="1"/>
  <c r="P153" i="22" s="1"/>
  <c r="P154" i="22" s="1"/>
  <c r="P155" i="22" s="1"/>
  <c r="P156" i="22" s="1"/>
  <c r="P157" i="22" s="1"/>
  <c r="P158" i="22" s="1"/>
  <c r="P159" i="22" s="1"/>
  <c r="P160" i="22" s="1"/>
  <c r="P161" i="22" s="1"/>
  <c r="P162" i="22" s="1"/>
  <c r="P163" i="22" s="1"/>
  <c r="P164" i="22" s="1"/>
  <c r="P165" i="22" s="1"/>
  <c r="P166" i="22" s="1"/>
  <c r="P167" i="22" s="1"/>
  <c r="P168" i="22" s="1"/>
  <c r="P169" i="22" s="1"/>
  <c r="P170" i="22" s="1"/>
  <c r="P171" i="22" s="1"/>
  <c r="P172" i="22" s="1"/>
  <c r="P173" i="22" s="1"/>
  <c r="P174" i="22" s="1"/>
  <c r="P175" i="22" s="1"/>
  <c r="P176" i="22" s="1"/>
  <c r="P177" i="22" s="1"/>
  <c r="P178" i="22" s="1"/>
  <c r="P179" i="22" s="1"/>
  <c r="P180" i="22" s="1"/>
  <c r="P181" i="22" s="1"/>
  <c r="P182" i="22" s="1"/>
  <c r="P183" i="22" s="1"/>
  <c r="P184" i="22" s="1"/>
  <c r="P185" i="22" s="1"/>
  <c r="P186" i="22" s="1"/>
  <c r="P187" i="22" s="1"/>
  <c r="P188" i="22" s="1"/>
  <c r="P189" i="22" s="1"/>
  <c r="P190" i="22" s="1"/>
  <c r="P191" i="22" s="1"/>
  <c r="P192" i="22" s="1"/>
  <c r="P193" i="22" s="1"/>
  <c r="P194" i="22" s="1"/>
  <c r="P195" i="22" s="1"/>
  <c r="P196" i="22" s="1"/>
  <c r="P197" i="22" s="1"/>
  <c r="P198" i="22" s="1"/>
  <c r="P199" i="22" s="1"/>
  <c r="P200" i="22" s="1"/>
  <c r="P201" i="22" s="1"/>
  <c r="P202" i="22" s="1"/>
  <c r="P203" i="22" s="1"/>
  <c r="P204" i="22" s="1"/>
  <c r="P205" i="22" s="1"/>
  <c r="P206" i="22" s="1"/>
  <c r="P207" i="22" s="1"/>
  <c r="P208" i="22" s="1"/>
  <c r="P209" i="22" s="1"/>
  <c r="P210" i="22" s="1"/>
  <c r="P211" i="22" s="1"/>
  <c r="P212" i="22" s="1"/>
  <c r="P213" i="22" s="1"/>
  <c r="P214" i="22" s="1"/>
  <c r="P215" i="22" s="1"/>
  <c r="P216" i="22" s="1"/>
  <c r="P217" i="22" s="1"/>
  <c r="P218" i="22" s="1"/>
  <c r="P219" i="22" s="1"/>
  <c r="P220" i="22" s="1"/>
  <c r="P221" i="22" s="1"/>
  <c r="P222" i="22" s="1"/>
  <c r="P223" i="22" s="1"/>
  <c r="P224" i="22" s="1"/>
  <c r="P225" i="22" s="1"/>
  <c r="P226" i="22" s="1"/>
  <c r="P227" i="22" s="1"/>
  <c r="P228" i="22" s="1"/>
  <c r="P229" i="22" s="1"/>
  <c r="P230" i="22" s="1"/>
  <c r="P231" i="22" s="1"/>
  <c r="P232" i="22" s="1"/>
  <c r="P233" i="22" s="1"/>
  <c r="P234" i="22" s="1"/>
  <c r="P235" i="22" s="1"/>
  <c r="P236" i="22" s="1"/>
  <c r="P237" i="22" s="1"/>
  <c r="P238" i="22" s="1"/>
  <c r="P239" i="22" s="1"/>
  <c r="P240" i="22" s="1"/>
  <c r="P241" i="22" s="1"/>
  <c r="P242" i="22" s="1"/>
  <c r="P243" i="22" s="1"/>
  <c r="P244" i="22" s="1"/>
  <c r="P245" i="22" s="1"/>
  <c r="P246" i="22" s="1"/>
  <c r="P247" i="22" s="1"/>
  <c r="P248" i="22" s="1"/>
  <c r="P249" i="22" s="1"/>
  <c r="P250" i="22" s="1"/>
  <c r="P251" i="22" s="1"/>
  <c r="P252" i="22" s="1"/>
  <c r="P253" i="22" s="1"/>
  <c r="P254" i="22" s="1"/>
  <c r="P255" i="22" s="1"/>
  <c r="P256" i="22" s="1"/>
  <c r="P257" i="22" s="1"/>
  <c r="P258" i="22" s="1"/>
  <c r="P259" i="22" s="1"/>
  <c r="P260" i="22" s="1"/>
  <c r="P261" i="22" s="1"/>
  <c r="P262" i="22" s="1"/>
  <c r="P263" i="22" s="1"/>
  <c r="P264" i="22" s="1"/>
  <c r="P265" i="22" s="1"/>
  <c r="P266" i="22" s="1"/>
  <c r="P267" i="22" s="1"/>
  <c r="P268" i="22" s="1"/>
  <c r="P269" i="22" s="1"/>
  <c r="P270" i="22" s="1"/>
  <c r="P271" i="22" s="1"/>
  <c r="P272" i="22" s="1"/>
  <c r="P273" i="22" s="1"/>
  <c r="P274" i="22" s="1"/>
  <c r="P275" i="22" s="1"/>
  <c r="P276" i="22" s="1"/>
  <c r="P277" i="22" s="1"/>
  <c r="P278" i="22" s="1"/>
  <c r="P279" i="22" s="1"/>
  <c r="P280" i="22" s="1"/>
  <c r="P281" i="22" s="1"/>
  <c r="P282" i="22" s="1"/>
  <c r="P283" i="22" s="1"/>
  <c r="P284" i="22" s="1"/>
  <c r="P285" i="22" s="1"/>
  <c r="P286" i="22" s="1"/>
  <c r="P287" i="22" s="1"/>
  <c r="P288" i="22" s="1"/>
  <c r="P289" i="22" s="1"/>
  <c r="P290" i="22" s="1"/>
  <c r="P291" i="22" s="1"/>
  <c r="P292" i="22" s="1"/>
  <c r="P293" i="22" s="1"/>
  <c r="P294" i="22" s="1"/>
  <c r="P295" i="22" s="1"/>
  <c r="P296" i="22" s="1"/>
  <c r="P297" i="22" s="1"/>
  <c r="P298" i="22" s="1"/>
  <c r="P299" i="22" s="1"/>
  <c r="P300" i="22" s="1"/>
  <c r="P301" i="22" s="1"/>
  <c r="P302" i="22" s="1"/>
  <c r="P303" i="22" s="1"/>
  <c r="P304" i="22" s="1"/>
  <c r="P305" i="22" s="1"/>
  <c r="P306" i="22" s="1"/>
  <c r="P307" i="22" s="1"/>
  <c r="P308" i="22" s="1"/>
  <c r="P309" i="22" s="1"/>
  <c r="P310" i="22" s="1"/>
  <c r="P311" i="22" s="1"/>
  <c r="P312" i="22" s="1"/>
  <c r="P313" i="22" s="1"/>
  <c r="P314" i="22" s="1"/>
  <c r="P315" i="22" s="1"/>
  <c r="P316" i="22" s="1"/>
  <c r="P317" i="22" s="1"/>
  <c r="P318" i="22" s="1"/>
  <c r="P319" i="22" s="1"/>
  <c r="P320" i="22" s="1"/>
  <c r="P321" i="22" s="1"/>
  <c r="P322" i="22" s="1"/>
  <c r="P323" i="22" s="1"/>
  <c r="P324" i="22" s="1"/>
  <c r="P325" i="22" s="1"/>
  <c r="P326" i="22" s="1"/>
  <c r="P327" i="22" s="1"/>
  <c r="P328" i="22" s="1"/>
  <c r="P329" i="22" s="1"/>
  <c r="P330" i="22" s="1"/>
  <c r="P331" i="22" s="1"/>
  <c r="P332" i="22" s="1"/>
  <c r="P333" i="22" s="1"/>
  <c r="P334" i="22" s="1"/>
  <c r="P335" i="22" s="1"/>
  <c r="P336" i="22" s="1"/>
  <c r="P337" i="22" s="1"/>
  <c r="P338" i="22" s="1"/>
  <c r="P339" i="22" s="1"/>
  <c r="P340" i="22" s="1"/>
  <c r="P341" i="22" s="1"/>
  <c r="P342" i="22" s="1"/>
  <c r="P343" i="22" s="1"/>
  <c r="P344" i="22" s="1"/>
  <c r="P345" i="22" s="1"/>
  <c r="P346" i="22" s="1"/>
  <c r="P347" i="22" s="1"/>
  <c r="P348" i="22" s="1"/>
  <c r="P349" i="22" s="1"/>
  <c r="P350" i="22" s="1"/>
  <c r="P351" i="22" s="1"/>
  <c r="P352" i="22" s="1"/>
  <c r="P353" i="22" s="1"/>
  <c r="P354" i="22" s="1"/>
  <c r="P355" i="22" s="1"/>
  <c r="P356" i="22" s="1"/>
  <c r="P357" i="22" s="1"/>
  <c r="P358" i="22" s="1"/>
  <c r="P359" i="22" s="1"/>
  <c r="P360" i="22" s="1"/>
  <c r="P361" i="22" s="1"/>
  <c r="P362" i="22" s="1"/>
  <c r="P363" i="22" s="1"/>
  <c r="P364" i="22" s="1"/>
  <c r="P365" i="22" s="1"/>
  <c r="P366" i="22" s="1"/>
  <c r="P367" i="22" s="1"/>
  <c r="P368" i="22" s="1"/>
  <c r="P369" i="22" s="1"/>
  <c r="P370" i="22" s="1"/>
  <c r="P371" i="22" s="1"/>
  <c r="P372" i="22" s="1"/>
  <c r="P373" i="22" s="1"/>
  <c r="P374" i="22" s="1"/>
  <c r="P375" i="22" s="1"/>
  <c r="P376" i="22" s="1"/>
  <c r="P377" i="22" s="1"/>
  <c r="P378" i="22" s="1"/>
  <c r="P379" i="22" s="1"/>
  <c r="P380" i="22" s="1"/>
  <c r="P381" i="22" s="1"/>
  <c r="P382" i="22" s="1"/>
  <c r="P383" i="22" s="1"/>
  <c r="P384" i="22" s="1"/>
  <c r="P385" i="22" s="1"/>
  <c r="P386" i="22" s="1"/>
  <c r="P387" i="22" s="1"/>
  <c r="P388" i="22" s="1"/>
  <c r="P389" i="22" s="1"/>
  <c r="P390" i="22" s="1"/>
  <c r="P391" i="22" s="1"/>
  <c r="P392" i="22" s="1"/>
  <c r="P393" i="22" s="1"/>
  <c r="P394" i="22" s="1"/>
  <c r="P395" i="22" s="1"/>
  <c r="P396" i="22" s="1"/>
  <c r="P397" i="22" s="1"/>
  <c r="P398" i="22" s="1"/>
  <c r="P399" i="22" s="1"/>
  <c r="P400" i="22" s="1"/>
  <c r="P401" i="22" s="1"/>
  <c r="P402" i="22" s="1"/>
  <c r="P403" i="22" s="1"/>
  <c r="P404" i="22" s="1"/>
  <c r="P405" i="22" s="1"/>
  <c r="P406" i="22" s="1"/>
  <c r="P407" i="22" s="1"/>
  <c r="P408" i="22" s="1"/>
  <c r="P409" i="22" s="1"/>
  <c r="P410" i="22" s="1"/>
  <c r="P411" i="22" s="1"/>
  <c r="P412" i="22" s="1"/>
  <c r="P413" i="22" s="1"/>
  <c r="P414" i="22" s="1"/>
  <c r="P415" i="22" s="1"/>
  <c r="P416" i="22" s="1"/>
  <c r="P417" i="22" s="1"/>
  <c r="P418" i="22" s="1"/>
  <c r="P419" i="22" s="1"/>
  <c r="P420" i="22" s="1"/>
  <c r="P421" i="22" s="1"/>
  <c r="P422" i="22" s="1"/>
  <c r="P423" i="22" s="1"/>
  <c r="P424" i="22" s="1"/>
  <c r="P425" i="22" s="1"/>
  <c r="P426" i="22" s="1"/>
  <c r="P427" i="22" s="1"/>
  <c r="P428" i="22" s="1"/>
  <c r="P429" i="22" s="1"/>
  <c r="P430" i="22" s="1"/>
  <c r="P431" i="22" s="1"/>
  <c r="P432" i="22" s="1"/>
  <c r="P433" i="22" s="1"/>
  <c r="P434" i="22" s="1"/>
  <c r="P435" i="22" s="1"/>
  <c r="P436" i="22" s="1"/>
  <c r="P437" i="22" s="1"/>
  <c r="P438" i="22" s="1"/>
  <c r="P439" i="22" s="1"/>
  <c r="P440" i="22" s="1"/>
  <c r="P441" i="22" s="1"/>
  <c r="P442" i="22" s="1"/>
  <c r="P443" i="22" s="1"/>
  <c r="P444" i="22" s="1"/>
  <c r="P445" i="22" s="1"/>
  <c r="P446" i="22" s="1"/>
  <c r="P447" i="22" s="1"/>
  <c r="P448" i="22" s="1"/>
  <c r="P449" i="22" s="1"/>
  <c r="P450" i="22" s="1"/>
  <c r="P451" i="22" s="1"/>
  <c r="P452" i="22" s="1"/>
  <c r="P453" i="22" s="1"/>
  <c r="P454" i="22" s="1"/>
  <c r="P455" i="22" s="1"/>
  <c r="P456" i="22" s="1"/>
  <c r="P457" i="22" s="1"/>
  <c r="P458" i="22" s="1"/>
  <c r="P459" i="22" s="1"/>
  <c r="P460" i="22" s="1"/>
  <c r="P461" i="22" s="1"/>
  <c r="P462" i="22" s="1"/>
  <c r="P463" i="22" s="1"/>
  <c r="P464" i="22" s="1"/>
  <c r="P465" i="22" s="1"/>
  <c r="P466" i="22" s="1"/>
  <c r="P467" i="22" s="1"/>
  <c r="P468" i="22" s="1"/>
  <c r="P469" i="22" s="1"/>
  <c r="P470" i="22" s="1"/>
  <c r="P471" i="22" s="1"/>
  <c r="P472" i="22" s="1"/>
  <c r="P473" i="22" s="1"/>
  <c r="P474" i="22" s="1"/>
  <c r="P475" i="22" s="1"/>
  <c r="P476" i="22" s="1"/>
  <c r="P477" i="22" s="1"/>
  <c r="P478" i="22" s="1"/>
  <c r="P479" i="22" s="1"/>
  <c r="P480" i="22" s="1"/>
  <c r="P481" i="22" s="1"/>
  <c r="P482" i="22" s="1"/>
  <c r="P483" i="22" s="1"/>
  <c r="P484" i="22" s="1"/>
  <c r="P485" i="22" s="1"/>
  <c r="P486" i="22" s="1"/>
  <c r="P487" i="22" s="1"/>
  <c r="P488" i="22" s="1"/>
  <c r="P489" i="22" s="1"/>
  <c r="P490" i="22" s="1"/>
  <c r="P491" i="22" s="1"/>
  <c r="P492" i="22" s="1"/>
  <c r="P493" i="22" s="1"/>
  <c r="P494" i="22" s="1"/>
  <c r="P495" i="22" s="1"/>
  <c r="P496" i="22" s="1"/>
  <c r="P497" i="22" s="1"/>
  <c r="P498" i="22" s="1"/>
  <c r="P499" i="22" s="1"/>
  <c r="P500" i="22" s="1"/>
  <c r="P501" i="22" s="1"/>
  <c r="P502" i="22" s="1"/>
  <c r="P503" i="22" s="1"/>
  <c r="P504" i="22" s="1"/>
  <c r="W7" i="22" s="1"/>
  <c r="V8" i="22" s="1"/>
  <c r="V23" i="22" s="1"/>
  <c r="I4" i="22"/>
  <c r="I5" i="22" s="1"/>
  <c r="I6" i="22" s="1"/>
  <c r="I7" i="22" s="1"/>
  <c r="I8" i="22" s="1"/>
  <c r="I9" i="22" s="1"/>
  <c r="I10" i="22" s="1"/>
  <c r="I11" i="22" s="1"/>
  <c r="I12" i="22" s="1"/>
  <c r="I13" i="22" s="1"/>
  <c r="I14" i="22" s="1"/>
  <c r="I15" i="22" s="1"/>
  <c r="I16" i="22" s="1"/>
  <c r="I17" i="22" s="1"/>
  <c r="I18" i="22" s="1"/>
  <c r="I19" i="22" s="1"/>
  <c r="I20" i="22" s="1"/>
  <c r="I21" i="22" s="1"/>
  <c r="I22" i="22" s="1"/>
  <c r="I23" i="22" s="1"/>
  <c r="I24" i="22" s="1"/>
  <c r="I25" i="22" s="1"/>
  <c r="I26" i="22" s="1"/>
  <c r="I27" i="22" s="1"/>
  <c r="I28" i="22" s="1"/>
  <c r="I29" i="22" s="1"/>
  <c r="I30" i="22" s="1"/>
  <c r="I31" i="22" s="1"/>
  <c r="I32" i="22" s="1"/>
  <c r="I33" i="22" s="1"/>
  <c r="I34" i="22" s="1"/>
  <c r="I35" i="22" s="1"/>
  <c r="I36" i="22" s="1"/>
  <c r="I37" i="22" s="1"/>
  <c r="I38" i="22" s="1"/>
  <c r="I39" i="22" s="1"/>
  <c r="I40" i="22" s="1"/>
  <c r="I41" i="22" s="1"/>
  <c r="I42" i="22" s="1"/>
  <c r="I43" i="22" s="1"/>
  <c r="I44" i="22" s="1"/>
  <c r="I45" i="22" s="1"/>
  <c r="I46" i="22" s="1"/>
  <c r="I47" i="22" s="1"/>
  <c r="I48" i="22" s="1"/>
  <c r="I49" i="22" s="1"/>
  <c r="I50" i="22" s="1"/>
  <c r="I51" i="22" s="1"/>
  <c r="I52" i="22" s="1"/>
  <c r="I53" i="22" s="1"/>
  <c r="I54" i="22" s="1"/>
  <c r="I55" i="22" s="1"/>
  <c r="I56" i="22" s="1"/>
  <c r="I57" i="22" s="1"/>
  <c r="I58" i="22" s="1"/>
  <c r="I59" i="22" s="1"/>
  <c r="I60" i="22" s="1"/>
  <c r="I61" i="22" s="1"/>
  <c r="I62" i="22" s="1"/>
  <c r="I63" i="22" s="1"/>
  <c r="I64" i="22" s="1"/>
  <c r="I65" i="22" s="1"/>
  <c r="I66" i="22" s="1"/>
  <c r="I67" i="22" s="1"/>
  <c r="I68" i="22" s="1"/>
  <c r="I69" i="22" s="1"/>
  <c r="I70" i="22" s="1"/>
  <c r="I71" i="22" s="1"/>
  <c r="I72" i="22" s="1"/>
  <c r="I73" i="22" s="1"/>
  <c r="I74" i="22" s="1"/>
  <c r="I75" i="22" s="1"/>
  <c r="I76" i="22" s="1"/>
  <c r="I77" i="22" s="1"/>
  <c r="I78" i="22" s="1"/>
  <c r="I79" i="22" s="1"/>
  <c r="I80" i="22" s="1"/>
  <c r="I81" i="22" s="1"/>
  <c r="I82" i="22" s="1"/>
  <c r="I83" i="22" s="1"/>
  <c r="I84" i="22" s="1"/>
  <c r="I85" i="22" s="1"/>
  <c r="I86" i="22" s="1"/>
  <c r="I87" i="22" s="1"/>
  <c r="I88" i="22" s="1"/>
  <c r="I89" i="22" s="1"/>
  <c r="I90" i="22" s="1"/>
  <c r="I91" i="22" s="1"/>
  <c r="I92" i="22" s="1"/>
  <c r="I93" i="22" s="1"/>
  <c r="I94" i="22" s="1"/>
  <c r="I95" i="22" s="1"/>
  <c r="I96" i="22" s="1"/>
  <c r="I97" i="22" s="1"/>
  <c r="I98" i="22" s="1"/>
  <c r="I99" i="22" s="1"/>
  <c r="I100" i="22" s="1"/>
  <c r="I101" i="22" s="1"/>
  <c r="I102" i="22" s="1"/>
  <c r="I103" i="22" s="1"/>
  <c r="I104" i="22" s="1"/>
  <c r="I105" i="22" s="1"/>
  <c r="I106" i="22" s="1"/>
  <c r="I107" i="22" s="1"/>
  <c r="I108" i="22" s="1"/>
  <c r="I109" i="22" s="1"/>
  <c r="I110" i="22" s="1"/>
  <c r="I111" i="22" s="1"/>
  <c r="I112" i="22" s="1"/>
  <c r="I113" i="22" s="1"/>
  <c r="I114" i="22" s="1"/>
  <c r="I115" i="22" s="1"/>
  <c r="I116" i="22" s="1"/>
  <c r="I117" i="22" s="1"/>
  <c r="I118" i="22" s="1"/>
  <c r="I119" i="22" s="1"/>
  <c r="I120" i="22" s="1"/>
  <c r="I121" i="22" s="1"/>
  <c r="I122" i="22" s="1"/>
  <c r="I123" i="22" s="1"/>
  <c r="I124" i="22" s="1"/>
  <c r="I125" i="22" s="1"/>
  <c r="I126" i="22" s="1"/>
  <c r="I127" i="22" s="1"/>
  <c r="I128" i="22" s="1"/>
  <c r="I129" i="22" s="1"/>
  <c r="I130" i="22" s="1"/>
  <c r="I131" i="22" s="1"/>
  <c r="I132" i="22" s="1"/>
  <c r="I133" i="22" s="1"/>
  <c r="I134" i="22" s="1"/>
  <c r="I135" i="22" s="1"/>
  <c r="I136" i="22" s="1"/>
  <c r="I137" i="22" s="1"/>
  <c r="I138" i="22" s="1"/>
  <c r="I139" i="22" s="1"/>
  <c r="I140" i="22" s="1"/>
  <c r="I141" i="22" s="1"/>
  <c r="I142" i="22" s="1"/>
  <c r="I143" i="22" s="1"/>
  <c r="I144" i="22" s="1"/>
  <c r="I145" i="22" s="1"/>
  <c r="I146" i="22" s="1"/>
  <c r="I147" i="22" s="1"/>
  <c r="I148" i="22" s="1"/>
  <c r="I149" i="22" s="1"/>
  <c r="I150" i="22" s="1"/>
  <c r="I151" i="22" s="1"/>
  <c r="I152" i="22" s="1"/>
  <c r="I153" i="22" s="1"/>
  <c r="I154" i="22" s="1"/>
  <c r="I155" i="22" s="1"/>
  <c r="I156" i="22" s="1"/>
  <c r="I157" i="22" s="1"/>
  <c r="I158" i="22" s="1"/>
  <c r="I159" i="22" s="1"/>
  <c r="I160" i="22" s="1"/>
  <c r="I161" i="22" s="1"/>
  <c r="I162" i="22" s="1"/>
  <c r="I163" i="22" s="1"/>
  <c r="I164" i="22" s="1"/>
  <c r="I165" i="22" s="1"/>
  <c r="I166" i="22" s="1"/>
  <c r="I167" i="22" s="1"/>
  <c r="I168" i="22" s="1"/>
  <c r="I169" i="22" s="1"/>
  <c r="I170" i="22" s="1"/>
  <c r="I171" i="22" s="1"/>
  <c r="I172" i="22" s="1"/>
  <c r="I173" i="22" s="1"/>
  <c r="I174" i="22" s="1"/>
  <c r="I175" i="22" s="1"/>
  <c r="I176" i="22" s="1"/>
  <c r="I177" i="22" s="1"/>
  <c r="I178" i="22" s="1"/>
  <c r="I179" i="22" s="1"/>
  <c r="I180" i="22" s="1"/>
  <c r="I181" i="22" s="1"/>
  <c r="I182" i="22" s="1"/>
  <c r="I183" i="22" s="1"/>
  <c r="I184" i="22" s="1"/>
  <c r="I185" i="22" s="1"/>
  <c r="I186" i="22" s="1"/>
  <c r="I187" i="22" s="1"/>
  <c r="I188" i="22" s="1"/>
  <c r="I189" i="22" s="1"/>
  <c r="I190" i="22" s="1"/>
  <c r="I191" i="22" s="1"/>
  <c r="I192" i="22" s="1"/>
  <c r="I193" i="22" s="1"/>
  <c r="I194" i="22" s="1"/>
  <c r="I195" i="22" s="1"/>
  <c r="I196" i="22" s="1"/>
  <c r="I197" i="22" s="1"/>
  <c r="I198" i="22" s="1"/>
  <c r="I199" i="22" s="1"/>
  <c r="I200" i="22" s="1"/>
  <c r="I201" i="22" s="1"/>
  <c r="I202" i="22" s="1"/>
  <c r="I203" i="22" s="1"/>
  <c r="I204" i="22" s="1"/>
  <c r="I205" i="22" s="1"/>
  <c r="I206" i="22" s="1"/>
  <c r="I207" i="22" s="1"/>
  <c r="I208" i="22" s="1"/>
  <c r="I209" i="22" s="1"/>
  <c r="I210" i="22" s="1"/>
  <c r="I211" i="22" s="1"/>
  <c r="I212" i="22" s="1"/>
  <c r="I213" i="22" s="1"/>
  <c r="I214" i="22" s="1"/>
  <c r="I215" i="22" s="1"/>
  <c r="I216" i="22" s="1"/>
  <c r="I217" i="22" s="1"/>
  <c r="I218" i="22" s="1"/>
  <c r="I219" i="22" s="1"/>
  <c r="I220" i="22" s="1"/>
  <c r="I221" i="22" s="1"/>
  <c r="I222" i="22" s="1"/>
  <c r="I223" i="22" s="1"/>
  <c r="I224" i="22" s="1"/>
  <c r="I225" i="22" s="1"/>
  <c r="I226" i="22" s="1"/>
  <c r="I227" i="22" s="1"/>
  <c r="I228" i="22" s="1"/>
  <c r="I229" i="22" s="1"/>
  <c r="I230" i="22" s="1"/>
  <c r="I231" i="22" s="1"/>
  <c r="I232" i="22" s="1"/>
  <c r="I233" i="22" s="1"/>
  <c r="I234" i="22" s="1"/>
  <c r="I235" i="22" s="1"/>
  <c r="I236" i="22" s="1"/>
  <c r="I237" i="22" s="1"/>
  <c r="I238" i="22" s="1"/>
  <c r="I239" i="22" s="1"/>
  <c r="I240" i="22" s="1"/>
  <c r="I241" i="22" s="1"/>
  <c r="I242" i="22" s="1"/>
  <c r="I243" i="22" s="1"/>
  <c r="I244" i="22" s="1"/>
  <c r="I245" i="22" s="1"/>
  <c r="I246" i="22" s="1"/>
  <c r="I247" i="22" s="1"/>
  <c r="I248" i="22" s="1"/>
  <c r="I249" i="22" s="1"/>
  <c r="I250" i="22" s="1"/>
  <c r="I251" i="22" s="1"/>
  <c r="I252" i="22" s="1"/>
  <c r="I253" i="22" s="1"/>
  <c r="I254" i="22" s="1"/>
  <c r="I255" i="22" s="1"/>
  <c r="I256" i="22" s="1"/>
  <c r="I257" i="22" s="1"/>
  <c r="I258" i="22" s="1"/>
  <c r="I259" i="22" s="1"/>
  <c r="I260" i="22" s="1"/>
  <c r="I261" i="22" s="1"/>
  <c r="I262" i="22" s="1"/>
  <c r="I263" i="22" s="1"/>
  <c r="I264" i="22" s="1"/>
  <c r="I265" i="22" s="1"/>
  <c r="I266" i="22" s="1"/>
  <c r="I267" i="22" s="1"/>
  <c r="I268" i="22" s="1"/>
  <c r="I269" i="22" s="1"/>
  <c r="I270" i="22" s="1"/>
  <c r="I271" i="22" s="1"/>
  <c r="I272" i="22" s="1"/>
  <c r="I273" i="22" s="1"/>
  <c r="I274" i="22" s="1"/>
  <c r="I275" i="22" s="1"/>
  <c r="I276" i="22" s="1"/>
  <c r="I277" i="22" s="1"/>
  <c r="I278" i="22" s="1"/>
  <c r="I279" i="22" s="1"/>
  <c r="I280" i="22" s="1"/>
  <c r="I281" i="22" s="1"/>
  <c r="I282" i="22" s="1"/>
  <c r="I283" i="22" s="1"/>
  <c r="I284" i="22" s="1"/>
  <c r="I285" i="22" s="1"/>
  <c r="I286" i="22" s="1"/>
  <c r="I287" i="22" s="1"/>
  <c r="I288" i="22" s="1"/>
  <c r="I289" i="22" s="1"/>
  <c r="I290" i="22" s="1"/>
  <c r="I291" i="22" s="1"/>
  <c r="I292" i="22" s="1"/>
  <c r="I293" i="22" s="1"/>
  <c r="I294" i="22" s="1"/>
  <c r="I295" i="22" s="1"/>
  <c r="I296" i="22" s="1"/>
  <c r="I297" i="22" s="1"/>
  <c r="I298" i="22" s="1"/>
  <c r="I299" i="22" s="1"/>
  <c r="I300" i="22" s="1"/>
  <c r="I301" i="22" s="1"/>
  <c r="I302" i="22" s="1"/>
  <c r="I303" i="22" s="1"/>
  <c r="I304" i="22" s="1"/>
  <c r="I305" i="22" s="1"/>
  <c r="I306" i="22" s="1"/>
  <c r="I307" i="22" s="1"/>
  <c r="I308" i="22" s="1"/>
  <c r="I309" i="22" s="1"/>
  <c r="I310" i="22" s="1"/>
  <c r="I311" i="22" s="1"/>
  <c r="I312" i="22" s="1"/>
  <c r="I313" i="22" s="1"/>
  <c r="I314" i="22" s="1"/>
  <c r="I315" i="22" s="1"/>
  <c r="I316" i="22" s="1"/>
  <c r="I317" i="22" s="1"/>
  <c r="I318" i="22" s="1"/>
  <c r="I319" i="22" s="1"/>
  <c r="I320" i="22" s="1"/>
  <c r="I321" i="22" s="1"/>
  <c r="I322" i="22" s="1"/>
  <c r="I323" i="22" s="1"/>
  <c r="I324" i="22" s="1"/>
  <c r="I325" i="22" s="1"/>
  <c r="I326" i="22" s="1"/>
  <c r="I327" i="22" s="1"/>
  <c r="I328" i="22" s="1"/>
  <c r="I329" i="22" s="1"/>
  <c r="I330" i="22" s="1"/>
  <c r="I331" i="22" s="1"/>
  <c r="I332" i="22" s="1"/>
  <c r="I333" i="22" s="1"/>
  <c r="I334" i="22" s="1"/>
  <c r="I335" i="22" s="1"/>
  <c r="I336" i="22" s="1"/>
  <c r="I337" i="22" s="1"/>
  <c r="I338" i="22" s="1"/>
  <c r="I339" i="22" s="1"/>
  <c r="I340" i="22" s="1"/>
  <c r="I341" i="22" s="1"/>
  <c r="I342" i="22" s="1"/>
  <c r="I343" i="22" s="1"/>
  <c r="I344" i="22" s="1"/>
  <c r="I345" i="22" s="1"/>
  <c r="I346" i="22" s="1"/>
  <c r="I347" i="22" s="1"/>
  <c r="I348" i="22" s="1"/>
  <c r="I349" i="22" s="1"/>
  <c r="I350" i="22" s="1"/>
  <c r="I351" i="22" s="1"/>
  <c r="I352" i="22" s="1"/>
  <c r="I353" i="22" s="1"/>
  <c r="I354" i="22" s="1"/>
  <c r="I355" i="22" s="1"/>
  <c r="I356" i="22" s="1"/>
  <c r="I357" i="22" s="1"/>
  <c r="I358" i="22" s="1"/>
  <c r="I359" i="22" s="1"/>
  <c r="I360" i="22" s="1"/>
  <c r="I361" i="22" s="1"/>
  <c r="I362" i="22" s="1"/>
  <c r="I363" i="22" s="1"/>
  <c r="I364" i="22" s="1"/>
  <c r="I365" i="22" s="1"/>
  <c r="I366" i="22" s="1"/>
  <c r="I367" i="22" s="1"/>
  <c r="I368" i="22" s="1"/>
  <c r="I369" i="22" s="1"/>
  <c r="I370" i="22" s="1"/>
  <c r="I371" i="22" s="1"/>
  <c r="I372" i="22" s="1"/>
  <c r="I373" i="22" s="1"/>
  <c r="I374" i="22" s="1"/>
  <c r="I375" i="22" s="1"/>
  <c r="I376" i="22" s="1"/>
  <c r="I377" i="22" s="1"/>
  <c r="I378" i="22" s="1"/>
  <c r="I379" i="22" s="1"/>
  <c r="I380" i="22" s="1"/>
  <c r="I381" i="22" s="1"/>
  <c r="I382" i="22" s="1"/>
  <c r="I383" i="22" s="1"/>
  <c r="I384" i="22" s="1"/>
  <c r="I385" i="22" s="1"/>
  <c r="I386" i="22" s="1"/>
  <c r="I387" i="22" s="1"/>
  <c r="I388" i="22" s="1"/>
  <c r="I389" i="22" s="1"/>
  <c r="I390" i="22" s="1"/>
  <c r="I391" i="22" s="1"/>
  <c r="I392" i="22" s="1"/>
  <c r="I393" i="22" s="1"/>
  <c r="I394" i="22" s="1"/>
  <c r="I395" i="22" s="1"/>
  <c r="I396" i="22" s="1"/>
  <c r="I397" i="22" s="1"/>
  <c r="I398" i="22" s="1"/>
  <c r="I399" i="22" s="1"/>
  <c r="I400" i="22" s="1"/>
  <c r="I401" i="22" s="1"/>
  <c r="I402" i="22" s="1"/>
  <c r="I403" i="22" s="1"/>
  <c r="I404" i="22" s="1"/>
  <c r="I405" i="22" s="1"/>
  <c r="I406" i="22" s="1"/>
  <c r="I407" i="22" s="1"/>
  <c r="I408" i="22" s="1"/>
  <c r="I409" i="22" s="1"/>
  <c r="I410" i="22" s="1"/>
  <c r="I411" i="22" s="1"/>
  <c r="I412" i="22" s="1"/>
  <c r="I413" i="22" s="1"/>
  <c r="I414" i="22" s="1"/>
  <c r="I415" i="22" s="1"/>
  <c r="I416" i="22" s="1"/>
  <c r="I417" i="22" s="1"/>
  <c r="I418" i="22" s="1"/>
  <c r="I419" i="22" s="1"/>
  <c r="I420" i="22" s="1"/>
  <c r="I421" i="22" s="1"/>
  <c r="I422" i="22" s="1"/>
  <c r="I423" i="22" s="1"/>
  <c r="I424" i="22" s="1"/>
  <c r="I425" i="22" s="1"/>
  <c r="I426" i="22" s="1"/>
  <c r="I427" i="22" s="1"/>
  <c r="I428" i="22" s="1"/>
  <c r="I429" i="22" s="1"/>
  <c r="I430" i="22" s="1"/>
  <c r="I431" i="22" s="1"/>
  <c r="I432" i="22" s="1"/>
  <c r="I433" i="22" s="1"/>
  <c r="I434" i="22" s="1"/>
  <c r="I435" i="22" s="1"/>
  <c r="I436" i="22" s="1"/>
  <c r="I437" i="22" s="1"/>
  <c r="I438" i="22" s="1"/>
  <c r="I439" i="22" s="1"/>
  <c r="I440" i="22" s="1"/>
  <c r="I441" i="22" s="1"/>
  <c r="I442" i="22" s="1"/>
  <c r="I443" i="22" s="1"/>
  <c r="I444" i="22" s="1"/>
  <c r="I445" i="22" s="1"/>
  <c r="I446" i="22" s="1"/>
  <c r="I447" i="22" s="1"/>
  <c r="I448" i="22" s="1"/>
  <c r="I449" i="22" s="1"/>
  <c r="I450" i="22" s="1"/>
  <c r="I451" i="22" s="1"/>
  <c r="I452" i="22" s="1"/>
  <c r="I453" i="22" s="1"/>
  <c r="I454" i="22" s="1"/>
  <c r="I455" i="22" s="1"/>
  <c r="I456" i="22" s="1"/>
  <c r="I457" i="22" s="1"/>
  <c r="I458" i="22" s="1"/>
  <c r="I459" i="22" s="1"/>
  <c r="I460" i="22" s="1"/>
  <c r="I461" i="22" s="1"/>
  <c r="I462" i="22" s="1"/>
  <c r="I463" i="22" s="1"/>
  <c r="I464" i="22" s="1"/>
  <c r="I465" i="22" s="1"/>
  <c r="I466" i="22" s="1"/>
  <c r="I467" i="22" s="1"/>
  <c r="I468" i="22" s="1"/>
  <c r="I469" i="22" s="1"/>
  <c r="I470" i="22" s="1"/>
  <c r="I471" i="22" s="1"/>
  <c r="I472" i="22" s="1"/>
  <c r="I473" i="22" s="1"/>
  <c r="I474" i="22" s="1"/>
  <c r="I475" i="22" s="1"/>
  <c r="I476" i="22" s="1"/>
  <c r="I477" i="22" s="1"/>
  <c r="I478" i="22" s="1"/>
  <c r="I479" i="22" s="1"/>
  <c r="I480" i="22" s="1"/>
  <c r="I481" i="22" s="1"/>
  <c r="I482" i="22" s="1"/>
  <c r="I483" i="22" s="1"/>
  <c r="I484" i="22" s="1"/>
  <c r="I485" i="22" s="1"/>
  <c r="I486" i="22" s="1"/>
  <c r="I487" i="22" s="1"/>
  <c r="I488" i="22" s="1"/>
  <c r="I489" i="22" s="1"/>
  <c r="I490" i="22" s="1"/>
  <c r="I491" i="22" s="1"/>
  <c r="I492" i="22" s="1"/>
  <c r="I493" i="22" s="1"/>
  <c r="I494" i="22" s="1"/>
  <c r="I495" i="22" s="1"/>
  <c r="I496" i="22" s="1"/>
  <c r="I497" i="22" s="1"/>
  <c r="I498" i="22" s="1"/>
  <c r="I499" i="22" s="1"/>
  <c r="I500" i="22" s="1"/>
  <c r="I501" i="22" s="1"/>
  <c r="I502" i="22" s="1"/>
  <c r="I503" i="22" s="1"/>
  <c r="I504" i="22" s="1"/>
  <c r="V7" i="22" s="1"/>
  <c r="M4" i="22"/>
  <c r="M5" i="22" s="1"/>
  <c r="M6" i="22" s="1"/>
  <c r="M7" i="22" s="1"/>
  <c r="M8" i="22" s="1"/>
  <c r="M9" i="22" s="1"/>
  <c r="M10" i="22" s="1"/>
  <c r="M11" i="22" s="1"/>
  <c r="M12" i="22" s="1"/>
  <c r="M13" i="22" s="1"/>
  <c r="M14" i="22" s="1"/>
  <c r="M15" i="22" s="1"/>
  <c r="M16" i="22" s="1"/>
  <c r="M17" i="22" s="1"/>
  <c r="M18" i="22" s="1"/>
  <c r="M19" i="22" s="1"/>
  <c r="M20" i="22" s="1"/>
  <c r="M21" i="22" s="1"/>
  <c r="M22" i="22" s="1"/>
  <c r="M23" i="22" s="1"/>
  <c r="M24" i="22" s="1"/>
  <c r="M25" i="22" s="1"/>
  <c r="M26" i="22" s="1"/>
  <c r="M27" i="22" s="1"/>
  <c r="M28" i="22" s="1"/>
  <c r="M29" i="22" s="1"/>
  <c r="M30" i="22" s="1"/>
  <c r="M31" i="22" s="1"/>
  <c r="M32" i="22" s="1"/>
  <c r="M33" i="22" s="1"/>
  <c r="M34" i="22" s="1"/>
  <c r="M35" i="22" s="1"/>
  <c r="M36" i="22" s="1"/>
  <c r="M37" i="22" s="1"/>
  <c r="M38" i="22" s="1"/>
  <c r="M39" i="22" s="1"/>
  <c r="M40" i="22" s="1"/>
  <c r="M41" i="22" s="1"/>
  <c r="M42" i="22" s="1"/>
  <c r="M43" i="22" s="1"/>
  <c r="M44" i="22" s="1"/>
  <c r="M45" i="22" s="1"/>
  <c r="M46" i="22" s="1"/>
  <c r="M47" i="22" s="1"/>
  <c r="M48" i="22" s="1"/>
  <c r="M49" i="22" s="1"/>
  <c r="M50" i="22" s="1"/>
  <c r="M51" i="22" s="1"/>
  <c r="M52" i="22" s="1"/>
  <c r="M53" i="22" s="1"/>
  <c r="M54" i="22" s="1"/>
  <c r="M55" i="22" s="1"/>
  <c r="M56" i="22" s="1"/>
  <c r="M57" i="22" s="1"/>
  <c r="M58" i="22" s="1"/>
  <c r="M59" i="22" s="1"/>
  <c r="M60" i="22" s="1"/>
  <c r="M61" i="22" s="1"/>
  <c r="M62" i="22" s="1"/>
  <c r="M63" i="22" s="1"/>
  <c r="M64" i="22" s="1"/>
  <c r="M65" i="22" s="1"/>
  <c r="M66" i="22" s="1"/>
  <c r="M67" i="22" s="1"/>
  <c r="M68" i="22" s="1"/>
  <c r="M69" i="22" s="1"/>
  <c r="M70" i="22" s="1"/>
  <c r="M71" i="22" s="1"/>
  <c r="M72" i="22" s="1"/>
  <c r="M73" i="22" s="1"/>
  <c r="M74" i="22" s="1"/>
  <c r="M75" i="22" s="1"/>
  <c r="M76" i="22" s="1"/>
  <c r="M77" i="22" s="1"/>
  <c r="M78" i="22" s="1"/>
  <c r="M79" i="22" s="1"/>
  <c r="M80" i="22" s="1"/>
  <c r="M81" i="22" s="1"/>
  <c r="M82" i="22" s="1"/>
  <c r="M83" i="22" s="1"/>
  <c r="M84" i="22" s="1"/>
  <c r="M85" i="22" s="1"/>
  <c r="M86" i="22" s="1"/>
  <c r="M87" i="22" s="1"/>
  <c r="M88" i="22" s="1"/>
  <c r="M89" i="22" s="1"/>
  <c r="M90" i="22" s="1"/>
  <c r="M91" i="22" s="1"/>
  <c r="M92" i="22" s="1"/>
  <c r="M93" i="22" s="1"/>
  <c r="M94" i="22" s="1"/>
  <c r="M95" i="22" s="1"/>
  <c r="M96" i="22" s="1"/>
  <c r="M97" i="22" s="1"/>
  <c r="M98" i="22" s="1"/>
  <c r="M99" i="22" s="1"/>
  <c r="M100" i="22" s="1"/>
  <c r="M101" i="22" s="1"/>
  <c r="M102" i="22" s="1"/>
  <c r="M103" i="22" s="1"/>
  <c r="M104" i="22" s="1"/>
  <c r="M105" i="22" s="1"/>
  <c r="M106" i="22" s="1"/>
  <c r="M107" i="22" s="1"/>
  <c r="M108" i="22" s="1"/>
  <c r="M109" i="22" s="1"/>
  <c r="M110" i="22" s="1"/>
  <c r="M111" i="22" s="1"/>
  <c r="M112" i="22" s="1"/>
  <c r="M113" i="22" s="1"/>
  <c r="M114" i="22" s="1"/>
  <c r="M115" i="22" s="1"/>
  <c r="M116" i="22" s="1"/>
  <c r="M117" i="22" s="1"/>
  <c r="M118" i="22" s="1"/>
  <c r="M119" i="22" s="1"/>
  <c r="M120" i="22" s="1"/>
  <c r="M121" i="22" s="1"/>
  <c r="M122" i="22" s="1"/>
  <c r="M123" i="22" s="1"/>
  <c r="M124" i="22" s="1"/>
  <c r="M125" i="22" s="1"/>
  <c r="M126" i="22" s="1"/>
  <c r="M127" i="22" s="1"/>
  <c r="M128" i="22" s="1"/>
  <c r="M129" i="22" s="1"/>
  <c r="M130" i="22" s="1"/>
  <c r="M131" i="22" s="1"/>
  <c r="M132" i="22" s="1"/>
  <c r="M133" i="22" s="1"/>
  <c r="M134" i="22" s="1"/>
  <c r="M135" i="22" s="1"/>
  <c r="M136" i="22" s="1"/>
  <c r="M137" i="22" s="1"/>
  <c r="M138" i="22" s="1"/>
  <c r="M139" i="22" s="1"/>
  <c r="M140" i="22" s="1"/>
  <c r="M141" i="22" s="1"/>
  <c r="M142" i="22" s="1"/>
  <c r="M143" i="22" s="1"/>
  <c r="M144" i="22" s="1"/>
  <c r="M145" i="22" s="1"/>
  <c r="M146" i="22" s="1"/>
  <c r="M147" i="22" s="1"/>
  <c r="M148" i="22" s="1"/>
  <c r="M149" i="22" s="1"/>
  <c r="M150" i="22" s="1"/>
  <c r="M151" i="22" s="1"/>
  <c r="M152" i="22" s="1"/>
  <c r="M153" i="22" s="1"/>
  <c r="M154" i="22" s="1"/>
  <c r="M155" i="22" s="1"/>
  <c r="M156" i="22" s="1"/>
  <c r="M157" i="22" s="1"/>
  <c r="M158" i="22" s="1"/>
  <c r="M159" i="22" s="1"/>
  <c r="M160" i="22" s="1"/>
  <c r="M161" i="22" s="1"/>
  <c r="M162" i="22" s="1"/>
  <c r="M163" i="22" s="1"/>
  <c r="M164" i="22" s="1"/>
  <c r="M165" i="22" s="1"/>
  <c r="M166" i="22" s="1"/>
  <c r="M167" i="22" s="1"/>
  <c r="M168" i="22" s="1"/>
  <c r="M169" i="22" s="1"/>
  <c r="M170" i="22" s="1"/>
  <c r="M171" i="22" s="1"/>
  <c r="M172" i="22" s="1"/>
  <c r="M173" i="22" s="1"/>
  <c r="M174" i="22" s="1"/>
  <c r="M175" i="22" s="1"/>
  <c r="M176" i="22" s="1"/>
  <c r="M177" i="22" s="1"/>
  <c r="M178" i="22" s="1"/>
  <c r="M179" i="22" s="1"/>
  <c r="M180" i="22" s="1"/>
  <c r="M181" i="22" s="1"/>
  <c r="M182" i="22" s="1"/>
  <c r="M183" i="22" s="1"/>
  <c r="M184" i="22" s="1"/>
  <c r="M185" i="22" s="1"/>
  <c r="M186" i="22" s="1"/>
  <c r="M187" i="22" s="1"/>
  <c r="M188" i="22" s="1"/>
  <c r="M189" i="22" s="1"/>
  <c r="M190" i="22" s="1"/>
  <c r="M191" i="22" s="1"/>
  <c r="M192" i="22" s="1"/>
  <c r="M193" i="22" s="1"/>
  <c r="M194" i="22" s="1"/>
  <c r="M195" i="22" s="1"/>
  <c r="M196" i="22" s="1"/>
  <c r="M197" i="22" s="1"/>
  <c r="M198" i="22" s="1"/>
  <c r="M199" i="22" s="1"/>
  <c r="M200" i="22" s="1"/>
  <c r="M201" i="22" s="1"/>
  <c r="M202" i="22" s="1"/>
  <c r="M203" i="22" s="1"/>
  <c r="M204" i="22" s="1"/>
  <c r="M205" i="22" s="1"/>
  <c r="M206" i="22" s="1"/>
  <c r="M207" i="22" s="1"/>
  <c r="M208" i="22" s="1"/>
  <c r="M209" i="22" s="1"/>
  <c r="M210" i="22" s="1"/>
  <c r="M211" i="22" s="1"/>
  <c r="M212" i="22" s="1"/>
  <c r="M213" i="22" s="1"/>
  <c r="M214" i="22" s="1"/>
  <c r="M215" i="22" s="1"/>
  <c r="M216" i="22" s="1"/>
  <c r="M217" i="22" s="1"/>
  <c r="M218" i="22" s="1"/>
  <c r="M219" i="22" s="1"/>
  <c r="M220" i="22" s="1"/>
  <c r="M221" i="22" s="1"/>
  <c r="M222" i="22" s="1"/>
  <c r="M223" i="22" s="1"/>
  <c r="M224" i="22" s="1"/>
  <c r="M225" i="22" s="1"/>
  <c r="M226" i="22" s="1"/>
  <c r="M227" i="22" s="1"/>
  <c r="M228" i="22" s="1"/>
  <c r="M229" i="22" s="1"/>
  <c r="M230" i="22" s="1"/>
  <c r="M231" i="22" s="1"/>
  <c r="M232" i="22" s="1"/>
  <c r="M233" i="22" s="1"/>
  <c r="M234" i="22" s="1"/>
  <c r="M235" i="22" s="1"/>
  <c r="M236" i="22" s="1"/>
  <c r="M237" i="22" s="1"/>
  <c r="M238" i="22" s="1"/>
  <c r="M239" i="22" s="1"/>
  <c r="M240" i="22" s="1"/>
  <c r="M241" i="22" s="1"/>
  <c r="M242" i="22" s="1"/>
  <c r="M243" i="22" s="1"/>
  <c r="M244" i="22" s="1"/>
  <c r="M245" i="22" s="1"/>
  <c r="M246" i="22" s="1"/>
  <c r="M247" i="22" s="1"/>
  <c r="M248" i="22" s="1"/>
  <c r="M249" i="22" s="1"/>
  <c r="M250" i="22" s="1"/>
  <c r="M251" i="22" s="1"/>
  <c r="M252" i="22" s="1"/>
  <c r="M253" i="22" s="1"/>
  <c r="M254" i="22" s="1"/>
  <c r="M255" i="22" s="1"/>
  <c r="M256" i="22" s="1"/>
  <c r="M257" i="22" s="1"/>
  <c r="M258" i="22" s="1"/>
  <c r="M259" i="22" s="1"/>
  <c r="M260" i="22" s="1"/>
  <c r="M261" i="22" s="1"/>
  <c r="M262" i="22" s="1"/>
  <c r="M263" i="22" s="1"/>
  <c r="M264" i="22" s="1"/>
  <c r="M265" i="22" s="1"/>
  <c r="M266" i="22" s="1"/>
  <c r="M267" i="22" s="1"/>
  <c r="M268" i="22" s="1"/>
  <c r="M269" i="22" s="1"/>
  <c r="M270" i="22" s="1"/>
  <c r="M271" i="22" s="1"/>
  <c r="M272" i="22" s="1"/>
  <c r="M273" i="22" s="1"/>
  <c r="M274" i="22" s="1"/>
  <c r="M275" i="22" s="1"/>
  <c r="M276" i="22" s="1"/>
  <c r="M277" i="22" s="1"/>
  <c r="M278" i="22" s="1"/>
  <c r="M279" i="22" s="1"/>
  <c r="M280" i="22" s="1"/>
  <c r="M281" i="22" s="1"/>
  <c r="M282" i="22" s="1"/>
  <c r="M283" i="22" s="1"/>
  <c r="M284" i="22" s="1"/>
  <c r="M285" i="22" s="1"/>
  <c r="M286" i="22" s="1"/>
  <c r="M287" i="22" s="1"/>
  <c r="M288" i="22" s="1"/>
  <c r="M289" i="22" s="1"/>
  <c r="M290" i="22" s="1"/>
  <c r="M291" i="22" s="1"/>
  <c r="M292" i="22" s="1"/>
  <c r="M293" i="22" s="1"/>
  <c r="M294" i="22" s="1"/>
  <c r="M295" i="22" s="1"/>
  <c r="M296" i="22" s="1"/>
  <c r="M297" i="22" s="1"/>
  <c r="M298" i="22" s="1"/>
  <c r="M299" i="22" s="1"/>
  <c r="M300" i="22" s="1"/>
  <c r="M301" i="22" s="1"/>
  <c r="M302" i="22" s="1"/>
  <c r="M303" i="22" s="1"/>
  <c r="M304" i="22" s="1"/>
  <c r="M305" i="22" s="1"/>
  <c r="M306" i="22" s="1"/>
  <c r="M307" i="22" s="1"/>
  <c r="M308" i="22" s="1"/>
  <c r="M309" i="22" s="1"/>
  <c r="M310" i="22" s="1"/>
  <c r="M311" i="22" s="1"/>
  <c r="M312" i="22" s="1"/>
  <c r="M313" i="22" s="1"/>
  <c r="M314" i="22" s="1"/>
  <c r="M315" i="22" s="1"/>
  <c r="M316" i="22" s="1"/>
  <c r="M317" i="22" s="1"/>
  <c r="M318" i="22" s="1"/>
  <c r="M319" i="22" s="1"/>
  <c r="M320" i="22" s="1"/>
  <c r="M321" i="22" s="1"/>
  <c r="M322" i="22" s="1"/>
  <c r="M323" i="22" s="1"/>
  <c r="M324" i="22" s="1"/>
  <c r="M325" i="22" s="1"/>
  <c r="M326" i="22" s="1"/>
  <c r="M327" i="22" s="1"/>
  <c r="M328" i="22" s="1"/>
  <c r="M329" i="22" s="1"/>
  <c r="M330" i="22" s="1"/>
  <c r="M331" i="22" s="1"/>
  <c r="M332" i="22" s="1"/>
  <c r="M333" i="22" s="1"/>
  <c r="M334" i="22" s="1"/>
  <c r="M335" i="22" s="1"/>
  <c r="M336" i="22" s="1"/>
  <c r="M337" i="22" s="1"/>
  <c r="M338" i="22" s="1"/>
  <c r="M339" i="22" s="1"/>
  <c r="M340" i="22" s="1"/>
  <c r="M341" i="22" s="1"/>
  <c r="M342" i="22" s="1"/>
  <c r="M343" i="22" s="1"/>
  <c r="M344" i="22" s="1"/>
  <c r="M345" i="22" s="1"/>
  <c r="M346" i="22" s="1"/>
  <c r="M347" i="22" s="1"/>
  <c r="M348" i="22" s="1"/>
  <c r="M349" i="22" s="1"/>
  <c r="M350" i="22" s="1"/>
  <c r="M351" i="22" s="1"/>
  <c r="M352" i="22" s="1"/>
  <c r="M353" i="22" s="1"/>
  <c r="M354" i="22" s="1"/>
  <c r="M355" i="22" s="1"/>
  <c r="M356" i="22" s="1"/>
  <c r="M357" i="22" s="1"/>
  <c r="M358" i="22" s="1"/>
  <c r="M359" i="22" s="1"/>
  <c r="M360" i="22" s="1"/>
  <c r="M361" i="22" s="1"/>
  <c r="M362" i="22" s="1"/>
  <c r="M363" i="22" s="1"/>
  <c r="M364" i="22" s="1"/>
  <c r="M365" i="22" s="1"/>
  <c r="M366" i="22" s="1"/>
  <c r="M367" i="22" s="1"/>
  <c r="M368" i="22" s="1"/>
  <c r="M369" i="22" s="1"/>
  <c r="M370" i="22" s="1"/>
  <c r="M371" i="22" s="1"/>
  <c r="M372" i="22" s="1"/>
  <c r="M373" i="22" s="1"/>
  <c r="M374" i="22" s="1"/>
  <c r="M375" i="22" s="1"/>
  <c r="M376" i="22" s="1"/>
  <c r="M377" i="22" s="1"/>
  <c r="M378" i="22" s="1"/>
  <c r="M379" i="22" s="1"/>
  <c r="M380" i="22" s="1"/>
  <c r="M381" i="22" s="1"/>
  <c r="M382" i="22" s="1"/>
  <c r="M383" i="22" s="1"/>
  <c r="M384" i="22" s="1"/>
  <c r="M385" i="22" s="1"/>
  <c r="M386" i="22" s="1"/>
  <c r="M387" i="22" s="1"/>
  <c r="M388" i="22" s="1"/>
  <c r="M389" i="22" s="1"/>
  <c r="M390" i="22" s="1"/>
  <c r="M391" i="22" s="1"/>
  <c r="M392" i="22" s="1"/>
  <c r="M393" i="22" s="1"/>
  <c r="M394" i="22" s="1"/>
  <c r="M395" i="22" s="1"/>
  <c r="M396" i="22" s="1"/>
  <c r="M397" i="22" s="1"/>
  <c r="M398" i="22" s="1"/>
  <c r="M399" i="22" s="1"/>
  <c r="M400" i="22" s="1"/>
  <c r="M401" i="22" s="1"/>
  <c r="M402" i="22" s="1"/>
  <c r="M403" i="22" s="1"/>
  <c r="M404" i="22" s="1"/>
  <c r="M405" i="22" s="1"/>
  <c r="M406" i="22" s="1"/>
  <c r="M407" i="22" s="1"/>
  <c r="M408" i="22" s="1"/>
  <c r="M409" i="22" s="1"/>
  <c r="M410" i="22" s="1"/>
  <c r="M411" i="22" s="1"/>
  <c r="M412" i="22" s="1"/>
  <c r="M413" i="22" s="1"/>
  <c r="M414" i="22" s="1"/>
  <c r="M415" i="22" s="1"/>
  <c r="M416" i="22" s="1"/>
  <c r="M417" i="22" s="1"/>
  <c r="M418" i="22" s="1"/>
  <c r="M419" i="22" s="1"/>
  <c r="M420" i="22" s="1"/>
  <c r="M421" i="22" s="1"/>
  <c r="M422" i="22" s="1"/>
  <c r="M423" i="22" s="1"/>
  <c r="M424" i="22" s="1"/>
  <c r="M425" i="22" s="1"/>
  <c r="M426" i="22" s="1"/>
  <c r="M427" i="22" s="1"/>
  <c r="M428" i="22" s="1"/>
  <c r="M429" i="22" s="1"/>
  <c r="M430" i="22" s="1"/>
  <c r="M431" i="22" s="1"/>
  <c r="M432" i="22" s="1"/>
  <c r="M433" i="22" s="1"/>
  <c r="M434" i="22" s="1"/>
  <c r="M435" i="22" s="1"/>
  <c r="M436" i="22" s="1"/>
  <c r="M437" i="22" s="1"/>
  <c r="M438" i="22" s="1"/>
  <c r="M439" i="22" s="1"/>
  <c r="M440" i="22" s="1"/>
  <c r="M441" i="22" s="1"/>
  <c r="M442" i="22" s="1"/>
  <c r="M443" i="22" s="1"/>
  <c r="M444" i="22" s="1"/>
  <c r="M445" i="22" s="1"/>
  <c r="M446" i="22" s="1"/>
  <c r="M447" i="22" s="1"/>
  <c r="M448" i="22" s="1"/>
  <c r="M449" i="22" s="1"/>
  <c r="M450" i="22" s="1"/>
  <c r="M451" i="22" s="1"/>
  <c r="M452" i="22" s="1"/>
  <c r="M453" i="22" s="1"/>
  <c r="M454" i="22" s="1"/>
  <c r="M455" i="22" s="1"/>
  <c r="M456" i="22" s="1"/>
  <c r="M457" i="22" s="1"/>
  <c r="M458" i="22" s="1"/>
  <c r="M459" i="22" s="1"/>
  <c r="M460" i="22" s="1"/>
  <c r="M461" i="22" s="1"/>
  <c r="M462" i="22" s="1"/>
  <c r="M463" i="22" s="1"/>
  <c r="M464" i="22" s="1"/>
  <c r="M465" i="22" s="1"/>
  <c r="M466" i="22" s="1"/>
  <c r="M467" i="22" s="1"/>
  <c r="M468" i="22" s="1"/>
  <c r="M469" i="22" s="1"/>
  <c r="M470" i="22" s="1"/>
  <c r="M471" i="22" s="1"/>
  <c r="M472" i="22" s="1"/>
  <c r="M473" i="22" s="1"/>
  <c r="M474" i="22" s="1"/>
  <c r="M475" i="22" s="1"/>
  <c r="M476" i="22" s="1"/>
  <c r="M477" i="22" s="1"/>
  <c r="M478" i="22" s="1"/>
  <c r="M479" i="22" s="1"/>
  <c r="M480" i="22" s="1"/>
  <c r="M481" i="22" s="1"/>
  <c r="M482" i="22" s="1"/>
  <c r="M483" i="22" s="1"/>
  <c r="M484" i="22" s="1"/>
  <c r="M485" i="22" s="1"/>
  <c r="M486" i="22" s="1"/>
  <c r="M487" i="22" s="1"/>
  <c r="M488" i="22" s="1"/>
  <c r="M489" i="22" s="1"/>
  <c r="M490" i="22" s="1"/>
  <c r="M491" i="22" s="1"/>
  <c r="M492" i="22" s="1"/>
  <c r="M493" i="22" s="1"/>
  <c r="M494" i="22" s="1"/>
  <c r="M495" i="22" s="1"/>
  <c r="M496" i="22" s="1"/>
  <c r="M497" i="22" s="1"/>
  <c r="M498" i="22" s="1"/>
  <c r="M499" i="22" s="1"/>
  <c r="M500" i="22" s="1"/>
  <c r="M501" i="22" s="1"/>
  <c r="M502" i="22" s="1"/>
  <c r="M503" i="22" s="1"/>
  <c r="M504" i="22" s="1"/>
  <c r="V6" i="22" s="1"/>
  <c r="U7" i="22" s="1"/>
  <c r="U22" i="22" s="1"/>
  <c r="J163" i="10"/>
  <c r="H13" i="21"/>
  <c r="I12" i="21" s="1"/>
  <c r="J430" i="24"/>
  <c r="R4" i="22"/>
  <c r="R5" i="22" s="1"/>
  <c r="R6" i="22" s="1"/>
  <c r="R7" i="22" s="1"/>
  <c r="R8" i="22" s="1"/>
  <c r="R9" i="22" s="1"/>
  <c r="R10" i="22" s="1"/>
  <c r="R11" i="22" s="1"/>
  <c r="R12" i="22" s="1"/>
  <c r="R13" i="22" s="1"/>
  <c r="R14" i="22" s="1"/>
  <c r="R15" i="22" s="1"/>
  <c r="R16" i="22" s="1"/>
  <c r="R17" i="22" s="1"/>
  <c r="R18" i="22" s="1"/>
  <c r="R19" i="22" s="1"/>
  <c r="R20" i="22" s="1"/>
  <c r="R21" i="22" s="1"/>
  <c r="R22" i="22" s="1"/>
  <c r="R23" i="22" s="1"/>
  <c r="R24" i="22" s="1"/>
  <c r="R25" i="22" s="1"/>
  <c r="R26" i="22" s="1"/>
  <c r="R27" i="22" s="1"/>
  <c r="R28" i="22" s="1"/>
  <c r="R29" i="22" s="1"/>
  <c r="R30" i="22" s="1"/>
  <c r="R31" i="22" s="1"/>
  <c r="R32" i="22" s="1"/>
  <c r="R33" i="22" s="1"/>
  <c r="R34" i="22" s="1"/>
  <c r="R35" i="22" s="1"/>
  <c r="R36" i="22" s="1"/>
  <c r="R37" i="22" s="1"/>
  <c r="R38" i="22" s="1"/>
  <c r="R39" i="22" s="1"/>
  <c r="R40" i="22" s="1"/>
  <c r="R41" i="22" s="1"/>
  <c r="R42" i="22" s="1"/>
  <c r="R43" i="22" s="1"/>
  <c r="R44" i="22" s="1"/>
  <c r="R45" i="22" s="1"/>
  <c r="R46" i="22" s="1"/>
  <c r="R47" i="22" s="1"/>
  <c r="R48" i="22" s="1"/>
  <c r="R49" i="22" s="1"/>
  <c r="R50" i="22" s="1"/>
  <c r="R51" i="22" s="1"/>
  <c r="R52" i="22" s="1"/>
  <c r="R53" i="22" s="1"/>
  <c r="R54" i="22" s="1"/>
  <c r="R55" i="22" s="1"/>
  <c r="R56" i="22" s="1"/>
  <c r="R57" i="22" s="1"/>
  <c r="R58" i="22" s="1"/>
  <c r="R59" i="22" s="1"/>
  <c r="R60" i="22" s="1"/>
  <c r="R61" i="22" s="1"/>
  <c r="R62" i="22" s="1"/>
  <c r="R63" i="22" s="1"/>
  <c r="R64" i="22" s="1"/>
  <c r="R65" i="22" s="1"/>
  <c r="R66" i="22" s="1"/>
  <c r="R67" i="22" s="1"/>
  <c r="R68" i="22" s="1"/>
  <c r="R69" i="22" s="1"/>
  <c r="R70" i="22" s="1"/>
  <c r="R71" i="22" s="1"/>
  <c r="R72" i="22" s="1"/>
  <c r="R73" i="22" s="1"/>
  <c r="R74" i="22" s="1"/>
  <c r="R75" i="22" s="1"/>
  <c r="R76" i="22" s="1"/>
  <c r="R77" i="22" s="1"/>
  <c r="R78" i="22" s="1"/>
  <c r="R79" i="22" s="1"/>
  <c r="R80" i="22" s="1"/>
  <c r="R81" i="22" s="1"/>
  <c r="R82" i="22" s="1"/>
  <c r="R83" i="22" s="1"/>
  <c r="R84" i="22" s="1"/>
  <c r="R85" i="22" s="1"/>
  <c r="R86" i="22" s="1"/>
  <c r="R87" i="22" s="1"/>
  <c r="R88" i="22" s="1"/>
  <c r="R89" i="22" s="1"/>
  <c r="R90" i="22" s="1"/>
  <c r="R91" i="22" s="1"/>
  <c r="R92" i="22" s="1"/>
  <c r="R93" i="22" s="1"/>
  <c r="R94" i="22" s="1"/>
  <c r="R95" i="22" s="1"/>
  <c r="R96" i="22" s="1"/>
  <c r="R97" i="22" s="1"/>
  <c r="R98" i="22" s="1"/>
  <c r="R99" i="22" s="1"/>
  <c r="R100" i="22" s="1"/>
  <c r="R101" i="22" s="1"/>
  <c r="R102" i="22" s="1"/>
  <c r="R103" i="22" s="1"/>
  <c r="R104" i="22" s="1"/>
  <c r="R105" i="22" s="1"/>
  <c r="R106" i="22" s="1"/>
  <c r="R107" i="22" s="1"/>
  <c r="R108" i="22" s="1"/>
  <c r="R109" i="22" s="1"/>
  <c r="R110" i="22" s="1"/>
  <c r="R111" i="22" s="1"/>
  <c r="R112" i="22" s="1"/>
  <c r="R113" i="22" s="1"/>
  <c r="R114" i="22" s="1"/>
  <c r="R115" i="22" s="1"/>
  <c r="R116" i="22" s="1"/>
  <c r="R117" i="22" s="1"/>
  <c r="R118" i="22" s="1"/>
  <c r="R119" i="22" s="1"/>
  <c r="R120" i="22" s="1"/>
  <c r="R121" i="22" s="1"/>
  <c r="R122" i="22" s="1"/>
  <c r="R123" i="22" s="1"/>
  <c r="R124" i="22" s="1"/>
  <c r="R125" i="22" s="1"/>
  <c r="R126" i="22" s="1"/>
  <c r="R127" i="22" s="1"/>
  <c r="R128" i="22" s="1"/>
  <c r="R129" i="22" s="1"/>
  <c r="R130" i="22" s="1"/>
  <c r="R131" i="22" s="1"/>
  <c r="R132" i="22" s="1"/>
  <c r="R133" i="22" s="1"/>
  <c r="R134" i="22" s="1"/>
  <c r="R135" i="22" s="1"/>
  <c r="R136" i="22" s="1"/>
  <c r="R137" i="22" s="1"/>
  <c r="R138" i="22" s="1"/>
  <c r="R139" i="22" s="1"/>
  <c r="R140" i="22" s="1"/>
  <c r="R141" i="22" s="1"/>
  <c r="R142" i="22" s="1"/>
  <c r="R143" i="22" s="1"/>
  <c r="R144" i="22" s="1"/>
  <c r="R145" i="22" s="1"/>
  <c r="R146" i="22" s="1"/>
  <c r="R147" i="22" s="1"/>
  <c r="R148" i="22" s="1"/>
  <c r="R149" i="22" s="1"/>
  <c r="R150" i="22" s="1"/>
  <c r="R151" i="22" s="1"/>
  <c r="R152" i="22" s="1"/>
  <c r="R153" i="22" s="1"/>
  <c r="R154" i="22" s="1"/>
  <c r="R155" i="22" s="1"/>
  <c r="R156" i="22" s="1"/>
  <c r="R157" i="22" s="1"/>
  <c r="R158" i="22" s="1"/>
  <c r="R159" i="22" s="1"/>
  <c r="R160" i="22" s="1"/>
  <c r="R161" i="22" s="1"/>
  <c r="R162" i="22" s="1"/>
  <c r="R163" i="22" s="1"/>
  <c r="R164" i="22" s="1"/>
  <c r="R165" i="22" s="1"/>
  <c r="R166" i="22" s="1"/>
  <c r="R167" i="22" s="1"/>
  <c r="R168" i="22" s="1"/>
  <c r="R169" i="22" s="1"/>
  <c r="R170" i="22" s="1"/>
  <c r="R171" i="22" s="1"/>
  <c r="R172" i="22" s="1"/>
  <c r="R173" i="22" s="1"/>
  <c r="R174" i="22" s="1"/>
  <c r="R175" i="22" s="1"/>
  <c r="R176" i="22" s="1"/>
  <c r="R177" i="22" s="1"/>
  <c r="R178" i="22" s="1"/>
  <c r="R179" i="22" s="1"/>
  <c r="R180" i="22" s="1"/>
  <c r="R181" i="22" s="1"/>
  <c r="R182" i="22" s="1"/>
  <c r="R183" i="22" s="1"/>
  <c r="R184" i="22" s="1"/>
  <c r="R185" i="22" s="1"/>
  <c r="R186" i="22" s="1"/>
  <c r="R187" i="22" s="1"/>
  <c r="R188" i="22" s="1"/>
  <c r="R189" i="22" s="1"/>
  <c r="R190" i="22" s="1"/>
  <c r="R191" i="22" s="1"/>
  <c r="R192" i="22" s="1"/>
  <c r="R193" i="22" s="1"/>
  <c r="R194" i="22" s="1"/>
  <c r="R195" i="22" s="1"/>
  <c r="R196" i="22" s="1"/>
  <c r="R197" i="22" s="1"/>
  <c r="R198" i="22" s="1"/>
  <c r="R199" i="22" s="1"/>
  <c r="R200" i="22" s="1"/>
  <c r="R201" i="22" s="1"/>
  <c r="R202" i="22" s="1"/>
  <c r="R203" i="22" s="1"/>
  <c r="R204" i="22" s="1"/>
  <c r="R205" i="22" s="1"/>
  <c r="R206" i="22" s="1"/>
  <c r="R207" i="22" s="1"/>
  <c r="R208" i="22" s="1"/>
  <c r="R209" i="22" s="1"/>
  <c r="R210" i="22" s="1"/>
  <c r="R211" i="22" s="1"/>
  <c r="R212" i="22" s="1"/>
  <c r="R213" i="22" s="1"/>
  <c r="R214" i="22" s="1"/>
  <c r="R215" i="22" s="1"/>
  <c r="R216" i="22" s="1"/>
  <c r="R217" i="22" s="1"/>
  <c r="R218" i="22" s="1"/>
  <c r="R219" i="22" s="1"/>
  <c r="R220" i="22" s="1"/>
  <c r="R221" i="22" s="1"/>
  <c r="R222" i="22" s="1"/>
  <c r="R223" i="22" s="1"/>
  <c r="R224" i="22" s="1"/>
  <c r="R225" i="22" s="1"/>
  <c r="R226" i="22" s="1"/>
  <c r="R227" i="22" s="1"/>
  <c r="R228" i="22" s="1"/>
  <c r="R229" i="22" s="1"/>
  <c r="R230" i="22" s="1"/>
  <c r="R231" i="22" s="1"/>
  <c r="R232" i="22" s="1"/>
  <c r="R233" i="22" s="1"/>
  <c r="R234" i="22" s="1"/>
  <c r="R235" i="22" s="1"/>
  <c r="R236" i="22" s="1"/>
  <c r="R237" i="22" s="1"/>
  <c r="R238" i="22" s="1"/>
  <c r="R239" i="22" s="1"/>
  <c r="R240" i="22" s="1"/>
  <c r="R241" i="22" s="1"/>
  <c r="R242" i="22" s="1"/>
  <c r="R243" i="22" s="1"/>
  <c r="R244" i="22" s="1"/>
  <c r="R245" i="22" s="1"/>
  <c r="R246" i="22" s="1"/>
  <c r="R247" i="22" s="1"/>
  <c r="R248" i="22" s="1"/>
  <c r="R249" i="22" s="1"/>
  <c r="R250" i="22" s="1"/>
  <c r="R251" i="22" s="1"/>
  <c r="R252" i="22" s="1"/>
  <c r="R253" i="22" s="1"/>
  <c r="R254" i="22" s="1"/>
  <c r="R255" i="22" s="1"/>
  <c r="R256" i="22" s="1"/>
  <c r="R257" i="22" s="1"/>
  <c r="R258" i="22" s="1"/>
  <c r="R259" i="22" s="1"/>
  <c r="R260" i="22" s="1"/>
  <c r="R261" i="22" s="1"/>
  <c r="R262" i="22" s="1"/>
  <c r="R263" i="22" s="1"/>
  <c r="R264" i="22" s="1"/>
  <c r="R265" i="22" s="1"/>
  <c r="R266" i="22" s="1"/>
  <c r="R267" i="22" s="1"/>
  <c r="R268" i="22" s="1"/>
  <c r="R269" i="22" s="1"/>
  <c r="R270" i="22" s="1"/>
  <c r="R271" i="22" s="1"/>
  <c r="R272" i="22" s="1"/>
  <c r="R273" i="22" s="1"/>
  <c r="R274" i="22" s="1"/>
  <c r="R275" i="22" s="1"/>
  <c r="R276" i="22" s="1"/>
  <c r="R277" i="22" s="1"/>
  <c r="R278" i="22" s="1"/>
  <c r="R279" i="22" s="1"/>
  <c r="R280" i="22" s="1"/>
  <c r="R281" i="22" s="1"/>
  <c r="R282" i="22" s="1"/>
  <c r="R283" i="22" s="1"/>
  <c r="R284" i="22" s="1"/>
  <c r="R285" i="22" s="1"/>
  <c r="R286" i="22" s="1"/>
  <c r="R287" i="22" s="1"/>
  <c r="R288" i="22" s="1"/>
  <c r="R289" i="22" s="1"/>
  <c r="R290" i="22" s="1"/>
  <c r="R291" i="22" s="1"/>
  <c r="R292" i="22" s="1"/>
  <c r="R293" i="22" s="1"/>
  <c r="R294" i="22" s="1"/>
  <c r="R295" i="22" s="1"/>
  <c r="R296" i="22" s="1"/>
  <c r="R297" i="22" s="1"/>
  <c r="R298" i="22" s="1"/>
  <c r="R299" i="22" s="1"/>
  <c r="R300" i="22" s="1"/>
  <c r="R301" i="22" s="1"/>
  <c r="R302" i="22" s="1"/>
  <c r="R303" i="22" s="1"/>
  <c r="R304" i="22" s="1"/>
  <c r="R305" i="22" s="1"/>
  <c r="R306" i="22" s="1"/>
  <c r="R307" i="22" s="1"/>
  <c r="R308" i="22" s="1"/>
  <c r="R309" i="22" s="1"/>
  <c r="R310" i="22" s="1"/>
  <c r="R311" i="22" s="1"/>
  <c r="R312" i="22" s="1"/>
  <c r="R313" i="22" s="1"/>
  <c r="R314" i="22" s="1"/>
  <c r="R315" i="22" s="1"/>
  <c r="R316" i="22" s="1"/>
  <c r="R317" i="22" s="1"/>
  <c r="R318" i="22" s="1"/>
  <c r="R319" i="22" s="1"/>
  <c r="R320" i="22" s="1"/>
  <c r="R321" i="22" s="1"/>
  <c r="R322" i="22" s="1"/>
  <c r="R323" i="22" s="1"/>
  <c r="R324" i="22" s="1"/>
  <c r="R325" i="22" s="1"/>
  <c r="R326" i="22" s="1"/>
  <c r="R327" i="22" s="1"/>
  <c r="R328" i="22" s="1"/>
  <c r="R329" i="22" s="1"/>
  <c r="R330" i="22" s="1"/>
  <c r="R331" i="22" s="1"/>
  <c r="R332" i="22" s="1"/>
  <c r="R333" i="22" s="1"/>
  <c r="R334" i="22" s="1"/>
  <c r="R335" i="22" s="1"/>
  <c r="R336" i="22" s="1"/>
  <c r="R337" i="22" s="1"/>
  <c r="R338" i="22" s="1"/>
  <c r="R339" i="22" s="1"/>
  <c r="R340" i="22" s="1"/>
  <c r="R341" i="22" s="1"/>
  <c r="R342" i="22" s="1"/>
  <c r="R343" i="22" s="1"/>
  <c r="R344" i="22" s="1"/>
  <c r="R345" i="22" s="1"/>
  <c r="R346" i="22" s="1"/>
  <c r="R347" i="22" s="1"/>
  <c r="R348" i="22" s="1"/>
  <c r="R349" i="22" s="1"/>
  <c r="R350" i="22" s="1"/>
  <c r="R351" i="22" s="1"/>
  <c r="R352" i="22" s="1"/>
  <c r="R353" i="22" s="1"/>
  <c r="R354" i="22" s="1"/>
  <c r="R355" i="22" s="1"/>
  <c r="R356" i="22" s="1"/>
  <c r="R357" i="22" s="1"/>
  <c r="R358" i="22" s="1"/>
  <c r="R359" i="22" s="1"/>
  <c r="R360" i="22" s="1"/>
  <c r="R361" i="22" s="1"/>
  <c r="R362" i="22" s="1"/>
  <c r="R363" i="22" s="1"/>
  <c r="R364" i="22" s="1"/>
  <c r="R365" i="22" s="1"/>
  <c r="R366" i="22" s="1"/>
  <c r="R367" i="22" s="1"/>
  <c r="R368" i="22" s="1"/>
  <c r="R369" i="22" s="1"/>
  <c r="R370" i="22" s="1"/>
  <c r="R371" i="22" s="1"/>
  <c r="R372" i="22" s="1"/>
  <c r="R373" i="22" s="1"/>
  <c r="R374" i="22" s="1"/>
  <c r="R375" i="22" s="1"/>
  <c r="R376" i="22" s="1"/>
  <c r="R377" i="22" s="1"/>
  <c r="R378" i="22" s="1"/>
  <c r="R379" i="22" s="1"/>
  <c r="R380" i="22" s="1"/>
  <c r="R381" i="22" s="1"/>
  <c r="R382" i="22" s="1"/>
  <c r="R383" i="22" s="1"/>
  <c r="R384" i="22" s="1"/>
  <c r="R385" i="22" s="1"/>
  <c r="R386" i="22" s="1"/>
  <c r="R387" i="22" s="1"/>
  <c r="R388" i="22" s="1"/>
  <c r="R389" i="22" s="1"/>
  <c r="R390" i="22" s="1"/>
  <c r="R391" i="22" s="1"/>
  <c r="R392" i="22" s="1"/>
  <c r="R393" i="22" s="1"/>
  <c r="R394" i="22" s="1"/>
  <c r="R395" i="22" s="1"/>
  <c r="R396" i="22" s="1"/>
  <c r="R397" i="22" s="1"/>
  <c r="R398" i="22" s="1"/>
  <c r="R399" i="22" s="1"/>
  <c r="R400" i="22" s="1"/>
  <c r="R401" i="22" s="1"/>
  <c r="R402" i="22" s="1"/>
  <c r="R403" i="22" s="1"/>
  <c r="R404" i="22" s="1"/>
  <c r="R405" i="22" s="1"/>
  <c r="R406" i="22" s="1"/>
  <c r="R407" i="22" s="1"/>
  <c r="R408" i="22" s="1"/>
  <c r="R409" i="22" s="1"/>
  <c r="R410" i="22" s="1"/>
  <c r="R411" i="22" s="1"/>
  <c r="R412" i="22" s="1"/>
  <c r="R413" i="22" s="1"/>
  <c r="R414" i="22" s="1"/>
  <c r="R415" i="22" s="1"/>
  <c r="R416" i="22" s="1"/>
  <c r="R417" i="22" s="1"/>
  <c r="R418" i="22" s="1"/>
  <c r="R419" i="22" s="1"/>
  <c r="R420" i="22" s="1"/>
  <c r="R421" i="22" s="1"/>
  <c r="R422" i="22" s="1"/>
  <c r="R423" i="22" s="1"/>
  <c r="R424" i="22" s="1"/>
  <c r="R425" i="22" s="1"/>
  <c r="R426" i="22" s="1"/>
  <c r="R427" i="22" s="1"/>
  <c r="R428" i="22" s="1"/>
  <c r="R429" i="22" s="1"/>
  <c r="R430" i="22" s="1"/>
  <c r="R431" i="22" s="1"/>
  <c r="R432" i="22" s="1"/>
  <c r="R433" i="22" s="1"/>
  <c r="R434" i="22" s="1"/>
  <c r="R435" i="22" s="1"/>
  <c r="R436" i="22" s="1"/>
  <c r="R437" i="22" s="1"/>
  <c r="R438" i="22" s="1"/>
  <c r="R439" i="22" s="1"/>
  <c r="R440" i="22" s="1"/>
  <c r="R441" i="22" s="1"/>
  <c r="R442" i="22" s="1"/>
  <c r="R443" i="22" s="1"/>
  <c r="R444" i="22" s="1"/>
  <c r="R445" i="22" s="1"/>
  <c r="R446" i="22" s="1"/>
  <c r="R447" i="22" s="1"/>
  <c r="R448" i="22" s="1"/>
  <c r="R449" i="22" s="1"/>
  <c r="R450" i="22" s="1"/>
  <c r="R451" i="22" s="1"/>
  <c r="R452" i="22" s="1"/>
  <c r="R453" i="22" s="1"/>
  <c r="R454" i="22" s="1"/>
  <c r="R455" i="22" s="1"/>
  <c r="R456" i="22" s="1"/>
  <c r="R457" i="22" s="1"/>
  <c r="R458" i="22" s="1"/>
  <c r="R459" i="22" s="1"/>
  <c r="R460" i="22" s="1"/>
  <c r="R461" i="22" s="1"/>
  <c r="R462" i="22" s="1"/>
  <c r="R463" i="22" s="1"/>
  <c r="R464" i="22" s="1"/>
  <c r="R465" i="22" s="1"/>
  <c r="R466" i="22" s="1"/>
  <c r="R467" i="22" s="1"/>
  <c r="R468" i="22" s="1"/>
  <c r="R469" i="22" s="1"/>
  <c r="R470" i="22" s="1"/>
  <c r="R471" i="22" s="1"/>
  <c r="R472" i="22" s="1"/>
  <c r="R473" i="22" s="1"/>
  <c r="R474" i="22" s="1"/>
  <c r="R475" i="22" s="1"/>
  <c r="R476" i="22" s="1"/>
  <c r="R477" i="22" s="1"/>
  <c r="R478" i="22" s="1"/>
  <c r="R479" i="22" s="1"/>
  <c r="R480" i="22" s="1"/>
  <c r="R481" i="22" s="1"/>
  <c r="R482" i="22" s="1"/>
  <c r="R483" i="22" s="1"/>
  <c r="R484" i="22" s="1"/>
  <c r="R485" i="22" s="1"/>
  <c r="R486" i="22" s="1"/>
  <c r="R487" i="22" s="1"/>
  <c r="R488" i="22" s="1"/>
  <c r="R489" i="22" s="1"/>
  <c r="R490" i="22" s="1"/>
  <c r="R491" i="22" s="1"/>
  <c r="R492" i="22" s="1"/>
  <c r="R493" i="22" s="1"/>
  <c r="R494" i="22" s="1"/>
  <c r="R495" i="22" s="1"/>
  <c r="R496" i="22" s="1"/>
  <c r="R497" i="22" s="1"/>
  <c r="R498" i="22" s="1"/>
  <c r="R499" i="22" s="1"/>
  <c r="R500" i="22" s="1"/>
  <c r="R501" i="22" s="1"/>
  <c r="R502" i="22" s="1"/>
  <c r="R503" i="22" s="1"/>
  <c r="R504" i="22" s="1"/>
  <c r="X8" i="22" s="1"/>
  <c r="W9" i="22" s="1"/>
  <c r="W24" i="22" s="1"/>
  <c r="Q4" i="22"/>
  <c r="Q5" i="22" s="1"/>
  <c r="Q6" i="22" s="1"/>
  <c r="Q7" i="22" s="1"/>
  <c r="Q8" i="22" s="1"/>
  <c r="Q9" i="22" s="1"/>
  <c r="Q10" i="22" s="1"/>
  <c r="Q11" i="22" s="1"/>
  <c r="Q12" i="22" s="1"/>
  <c r="Q13" i="22" s="1"/>
  <c r="Q14" i="22" s="1"/>
  <c r="Q15" i="22" s="1"/>
  <c r="Q16" i="22" s="1"/>
  <c r="Q17" i="22" s="1"/>
  <c r="Q18" i="22" s="1"/>
  <c r="Q19" i="22" s="1"/>
  <c r="Q20" i="22" s="1"/>
  <c r="Q21" i="22" s="1"/>
  <c r="Q22" i="22" s="1"/>
  <c r="Q23" i="22" s="1"/>
  <c r="Q24" i="22" s="1"/>
  <c r="Q25" i="22" s="1"/>
  <c r="Q26" i="22" s="1"/>
  <c r="Q27" i="22" s="1"/>
  <c r="Q28" i="22" s="1"/>
  <c r="Q29" i="22" s="1"/>
  <c r="Q30" i="22" s="1"/>
  <c r="Q31" i="22" s="1"/>
  <c r="Q32" i="22" s="1"/>
  <c r="Q33" i="22" s="1"/>
  <c r="Q34" i="22" s="1"/>
  <c r="Q35" i="22" s="1"/>
  <c r="Q36" i="22" s="1"/>
  <c r="Q37" i="22" s="1"/>
  <c r="Q38" i="22" s="1"/>
  <c r="Q39" i="22" s="1"/>
  <c r="Q40" i="22" s="1"/>
  <c r="Q41" i="22" s="1"/>
  <c r="Q42" i="22" s="1"/>
  <c r="Q43" i="22" s="1"/>
  <c r="Q44" i="22" s="1"/>
  <c r="Q45" i="22" s="1"/>
  <c r="Q46" i="22" s="1"/>
  <c r="Q47" i="22" s="1"/>
  <c r="Q48" i="22" s="1"/>
  <c r="Q49" i="22" s="1"/>
  <c r="Q50" i="22" s="1"/>
  <c r="Q51" i="22" s="1"/>
  <c r="Q52" i="22" s="1"/>
  <c r="Q53" i="22" s="1"/>
  <c r="Q54" i="22" s="1"/>
  <c r="Q55" i="22" s="1"/>
  <c r="Q56" i="22" s="1"/>
  <c r="Q57" i="22" s="1"/>
  <c r="Q58" i="22" s="1"/>
  <c r="Q59" i="22" s="1"/>
  <c r="Q60" i="22" s="1"/>
  <c r="Q61" i="22" s="1"/>
  <c r="Q62" i="22" s="1"/>
  <c r="Q63" i="22" s="1"/>
  <c r="Q64" i="22" s="1"/>
  <c r="Q65" i="22" s="1"/>
  <c r="Q66" i="22" s="1"/>
  <c r="Q67" i="22" s="1"/>
  <c r="Q68" i="22" s="1"/>
  <c r="Q69" i="22" s="1"/>
  <c r="Q70" i="22" s="1"/>
  <c r="Q71" i="22" s="1"/>
  <c r="Q72" i="22" s="1"/>
  <c r="Q73" i="22" s="1"/>
  <c r="Q74" i="22" s="1"/>
  <c r="Q75" i="22" s="1"/>
  <c r="Q76" i="22" s="1"/>
  <c r="Q77" i="22" s="1"/>
  <c r="Q78" i="22" s="1"/>
  <c r="Q79" i="22" s="1"/>
  <c r="Q80" i="22" s="1"/>
  <c r="Q81" i="22" s="1"/>
  <c r="Q82" i="22" s="1"/>
  <c r="Q83" i="22" s="1"/>
  <c r="Q84" i="22" s="1"/>
  <c r="Q85" i="22" s="1"/>
  <c r="Q86" i="22" s="1"/>
  <c r="Q87" i="22" s="1"/>
  <c r="Q88" i="22" s="1"/>
  <c r="Q89" i="22" s="1"/>
  <c r="Q90" i="22" s="1"/>
  <c r="Q91" i="22" s="1"/>
  <c r="Q92" i="22" s="1"/>
  <c r="Q93" i="22" s="1"/>
  <c r="Q94" i="22" s="1"/>
  <c r="Q95" i="22" s="1"/>
  <c r="Q96" i="22" s="1"/>
  <c r="Q97" i="22" s="1"/>
  <c r="Q98" i="22" s="1"/>
  <c r="Q99" i="22" s="1"/>
  <c r="Q100" i="22" s="1"/>
  <c r="Q101" i="22" s="1"/>
  <c r="Q102" i="22" s="1"/>
  <c r="Q103" i="22" s="1"/>
  <c r="Q104" i="22" s="1"/>
  <c r="Q105" i="22" s="1"/>
  <c r="Q106" i="22" s="1"/>
  <c r="Q107" i="22" s="1"/>
  <c r="Q108" i="22" s="1"/>
  <c r="Q109" i="22" s="1"/>
  <c r="Q110" i="22" s="1"/>
  <c r="Q111" i="22" s="1"/>
  <c r="Q112" i="22" s="1"/>
  <c r="Q113" i="22" s="1"/>
  <c r="Q114" i="22" s="1"/>
  <c r="Q115" i="22" s="1"/>
  <c r="Q116" i="22" s="1"/>
  <c r="Q117" i="22" s="1"/>
  <c r="Q118" i="22" s="1"/>
  <c r="Q119" i="22" s="1"/>
  <c r="Q120" i="22" s="1"/>
  <c r="Q121" i="22" s="1"/>
  <c r="Q122" i="22" s="1"/>
  <c r="Q123" i="22" s="1"/>
  <c r="Q124" i="22" s="1"/>
  <c r="Q125" i="22" s="1"/>
  <c r="Q126" i="22" s="1"/>
  <c r="Q127" i="22" s="1"/>
  <c r="Q128" i="22" s="1"/>
  <c r="Q129" i="22" s="1"/>
  <c r="Q130" i="22" s="1"/>
  <c r="Q131" i="22" s="1"/>
  <c r="Q132" i="22" s="1"/>
  <c r="Q133" i="22" s="1"/>
  <c r="Q134" i="22" s="1"/>
  <c r="Q135" i="22" s="1"/>
  <c r="Q136" i="22" s="1"/>
  <c r="Q137" i="22" s="1"/>
  <c r="Q138" i="22" s="1"/>
  <c r="Q139" i="22" s="1"/>
  <c r="Q140" i="22" s="1"/>
  <c r="Q141" i="22" s="1"/>
  <c r="Q142" i="22" s="1"/>
  <c r="Q143" i="22" s="1"/>
  <c r="Q144" i="22" s="1"/>
  <c r="Q145" i="22" s="1"/>
  <c r="Q146" i="22" s="1"/>
  <c r="Q147" i="22" s="1"/>
  <c r="Q148" i="22" s="1"/>
  <c r="Q149" i="22" s="1"/>
  <c r="Q150" i="22" s="1"/>
  <c r="Q151" i="22" s="1"/>
  <c r="Q152" i="22" s="1"/>
  <c r="Q153" i="22" s="1"/>
  <c r="Q154" i="22" s="1"/>
  <c r="Q155" i="22" s="1"/>
  <c r="Q156" i="22" s="1"/>
  <c r="Q157" i="22" s="1"/>
  <c r="Q158" i="22" s="1"/>
  <c r="Q159" i="22" s="1"/>
  <c r="Q160" i="22" s="1"/>
  <c r="Q161" i="22" s="1"/>
  <c r="Q162" i="22" s="1"/>
  <c r="Q163" i="22" s="1"/>
  <c r="Q164" i="22" s="1"/>
  <c r="Q165" i="22" s="1"/>
  <c r="Q166" i="22" s="1"/>
  <c r="Q167" i="22" s="1"/>
  <c r="Q168" i="22" s="1"/>
  <c r="Q169" i="22" s="1"/>
  <c r="Q170" i="22" s="1"/>
  <c r="Q171" i="22" s="1"/>
  <c r="Q172" i="22" s="1"/>
  <c r="Q173" i="22" s="1"/>
  <c r="Q174" i="22" s="1"/>
  <c r="Q175" i="22" s="1"/>
  <c r="Q176" i="22" s="1"/>
  <c r="Q177" i="22" s="1"/>
  <c r="Q178" i="22" s="1"/>
  <c r="Q179" i="22" s="1"/>
  <c r="Q180" i="22" s="1"/>
  <c r="Q181" i="22" s="1"/>
  <c r="Q182" i="22" s="1"/>
  <c r="Q183" i="22" s="1"/>
  <c r="Q184" i="22" s="1"/>
  <c r="Q185" i="22" s="1"/>
  <c r="Q186" i="22" s="1"/>
  <c r="Q187" i="22" s="1"/>
  <c r="Q188" i="22" s="1"/>
  <c r="Q189" i="22" s="1"/>
  <c r="Q190" i="22" s="1"/>
  <c r="Q191" i="22" s="1"/>
  <c r="Q192" i="22" s="1"/>
  <c r="Q193" i="22" s="1"/>
  <c r="Q194" i="22" s="1"/>
  <c r="Q195" i="22" s="1"/>
  <c r="Q196" i="22" s="1"/>
  <c r="Q197" i="22" s="1"/>
  <c r="Q198" i="22" s="1"/>
  <c r="Q199" i="22" s="1"/>
  <c r="Q200" i="22" s="1"/>
  <c r="Q201" i="22" s="1"/>
  <c r="Q202" i="22" s="1"/>
  <c r="Q203" i="22" s="1"/>
  <c r="Q204" i="22" s="1"/>
  <c r="Q205" i="22" s="1"/>
  <c r="Q206" i="22" s="1"/>
  <c r="Q207" i="22" s="1"/>
  <c r="Q208" i="22" s="1"/>
  <c r="Q209" i="22" s="1"/>
  <c r="Q210" i="22" s="1"/>
  <c r="Q211" i="22" s="1"/>
  <c r="Q212" i="22" s="1"/>
  <c r="Q213" i="22" s="1"/>
  <c r="Q214" i="22" s="1"/>
  <c r="Q215" i="22" s="1"/>
  <c r="Q216" i="22" s="1"/>
  <c r="Q217" i="22" s="1"/>
  <c r="Q218" i="22" s="1"/>
  <c r="Q219" i="22" s="1"/>
  <c r="Q220" i="22" s="1"/>
  <c r="Q221" i="22" s="1"/>
  <c r="Q222" i="22" s="1"/>
  <c r="Q223" i="22" s="1"/>
  <c r="Q224" i="22" s="1"/>
  <c r="Q225" i="22" s="1"/>
  <c r="Q226" i="22" s="1"/>
  <c r="Q227" i="22" s="1"/>
  <c r="Q228" i="22" s="1"/>
  <c r="Q229" i="22" s="1"/>
  <c r="Q230" i="22" s="1"/>
  <c r="Q231" i="22" s="1"/>
  <c r="Q232" i="22" s="1"/>
  <c r="Q233" i="22" s="1"/>
  <c r="Q234" i="22" s="1"/>
  <c r="Q235" i="22" s="1"/>
  <c r="Q236" i="22" s="1"/>
  <c r="Q237" i="22" s="1"/>
  <c r="Q238" i="22" s="1"/>
  <c r="Q239" i="22" s="1"/>
  <c r="Q240" i="22" s="1"/>
  <c r="Q241" i="22" s="1"/>
  <c r="Q242" i="22" s="1"/>
  <c r="Q243" i="22" s="1"/>
  <c r="Q244" i="22" s="1"/>
  <c r="Q245" i="22" s="1"/>
  <c r="Q246" i="22" s="1"/>
  <c r="Q247" i="22" s="1"/>
  <c r="Q248" i="22" s="1"/>
  <c r="Q249" i="22" s="1"/>
  <c r="Q250" i="22" s="1"/>
  <c r="Q251" i="22" s="1"/>
  <c r="Q252" i="22" s="1"/>
  <c r="Q253" i="22" s="1"/>
  <c r="Q254" i="22" s="1"/>
  <c r="Q255" i="22" s="1"/>
  <c r="Q256" i="22" s="1"/>
  <c r="Q257" i="22" s="1"/>
  <c r="Q258" i="22" s="1"/>
  <c r="Q259" i="22" s="1"/>
  <c r="Q260" i="22" s="1"/>
  <c r="Q261" i="22" s="1"/>
  <c r="Q262" i="22" s="1"/>
  <c r="Q263" i="22" s="1"/>
  <c r="Q264" i="22" s="1"/>
  <c r="Q265" i="22" s="1"/>
  <c r="Q266" i="22" s="1"/>
  <c r="Q267" i="22" s="1"/>
  <c r="Q268" i="22" s="1"/>
  <c r="Q269" i="22" s="1"/>
  <c r="Q270" i="22" s="1"/>
  <c r="Q271" i="22" s="1"/>
  <c r="Q272" i="22" s="1"/>
  <c r="Q273" i="22" s="1"/>
  <c r="Q274" i="22" s="1"/>
  <c r="Q275" i="22" s="1"/>
  <c r="Q276" i="22" s="1"/>
  <c r="Q277" i="22" s="1"/>
  <c r="Q278" i="22" s="1"/>
  <c r="Q279" i="22" s="1"/>
  <c r="Q280" i="22" s="1"/>
  <c r="Q281" i="22" s="1"/>
  <c r="Q282" i="22" s="1"/>
  <c r="Q283" i="22" s="1"/>
  <c r="Q284" i="22" s="1"/>
  <c r="Q285" i="22" s="1"/>
  <c r="Q286" i="22" s="1"/>
  <c r="Q287" i="22" s="1"/>
  <c r="Q288" i="22" s="1"/>
  <c r="Q289" i="22" s="1"/>
  <c r="Q290" i="22" s="1"/>
  <c r="Q291" i="22" s="1"/>
  <c r="Q292" i="22" s="1"/>
  <c r="Q293" i="22" s="1"/>
  <c r="Q294" i="22" s="1"/>
  <c r="Q295" i="22" s="1"/>
  <c r="Q296" i="22" s="1"/>
  <c r="Q297" i="22" s="1"/>
  <c r="Q298" i="22" s="1"/>
  <c r="Q299" i="22" s="1"/>
  <c r="Q300" i="22" s="1"/>
  <c r="Q301" i="22" s="1"/>
  <c r="Q302" i="22" s="1"/>
  <c r="Q303" i="22" s="1"/>
  <c r="Q304" i="22" s="1"/>
  <c r="Q305" i="22" s="1"/>
  <c r="Q306" i="22" s="1"/>
  <c r="Q307" i="22" s="1"/>
  <c r="Q308" i="22" s="1"/>
  <c r="Q309" i="22" s="1"/>
  <c r="Q310" i="22" s="1"/>
  <c r="Q311" i="22" s="1"/>
  <c r="Q312" i="22" s="1"/>
  <c r="Q313" i="22" s="1"/>
  <c r="Q314" i="22" s="1"/>
  <c r="Q315" i="22" s="1"/>
  <c r="Q316" i="22" s="1"/>
  <c r="Q317" i="22" s="1"/>
  <c r="Q318" i="22" s="1"/>
  <c r="Q319" i="22" s="1"/>
  <c r="Q320" i="22" s="1"/>
  <c r="Q321" i="22" s="1"/>
  <c r="Q322" i="22" s="1"/>
  <c r="Q323" i="22" s="1"/>
  <c r="Q324" i="22" s="1"/>
  <c r="Q325" i="22" s="1"/>
  <c r="Q326" i="22" s="1"/>
  <c r="Q327" i="22" s="1"/>
  <c r="Q328" i="22" s="1"/>
  <c r="Q329" i="22" s="1"/>
  <c r="Q330" i="22" s="1"/>
  <c r="Q331" i="22" s="1"/>
  <c r="Q332" i="22" s="1"/>
  <c r="Q333" i="22" s="1"/>
  <c r="Q334" i="22" s="1"/>
  <c r="Q335" i="22" s="1"/>
  <c r="Q336" i="22" s="1"/>
  <c r="Q337" i="22" s="1"/>
  <c r="Q338" i="22" s="1"/>
  <c r="Q339" i="22" s="1"/>
  <c r="Q340" i="22" s="1"/>
  <c r="Q341" i="22" s="1"/>
  <c r="Q342" i="22" s="1"/>
  <c r="Q343" i="22" s="1"/>
  <c r="Q344" i="22" s="1"/>
  <c r="Q345" i="22" s="1"/>
  <c r="Q346" i="22" s="1"/>
  <c r="Q347" i="22" s="1"/>
  <c r="Q348" i="22" s="1"/>
  <c r="Q349" i="22" s="1"/>
  <c r="Q350" i="22" s="1"/>
  <c r="Q351" i="22" s="1"/>
  <c r="Q352" i="22" s="1"/>
  <c r="Q353" i="22" s="1"/>
  <c r="Q354" i="22" s="1"/>
  <c r="Q355" i="22" s="1"/>
  <c r="Q356" i="22" s="1"/>
  <c r="Q357" i="22" s="1"/>
  <c r="Q358" i="22" s="1"/>
  <c r="Q359" i="22" s="1"/>
  <c r="Q360" i="22" s="1"/>
  <c r="Q361" i="22" s="1"/>
  <c r="Q362" i="22" s="1"/>
  <c r="Q363" i="22" s="1"/>
  <c r="Q364" i="22" s="1"/>
  <c r="Q365" i="22" s="1"/>
  <c r="Q366" i="22" s="1"/>
  <c r="Q367" i="22" s="1"/>
  <c r="Q368" i="22" s="1"/>
  <c r="Q369" i="22" s="1"/>
  <c r="Q370" i="22" s="1"/>
  <c r="Q371" i="22" s="1"/>
  <c r="Q372" i="22" s="1"/>
  <c r="Q373" i="22" s="1"/>
  <c r="Q374" i="22" s="1"/>
  <c r="Q375" i="22" s="1"/>
  <c r="Q376" i="22" s="1"/>
  <c r="Q377" i="22" s="1"/>
  <c r="Q378" i="22" s="1"/>
  <c r="Q379" i="22" s="1"/>
  <c r="Q380" i="22" s="1"/>
  <c r="Q381" i="22" s="1"/>
  <c r="Q382" i="22" s="1"/>
  <c r="Q383" i="22" s="1"/>
  <c r="Q384" i="22" s="1"/>
  <c r="Q385" i="22" s="1"/>
  <c r="Q386" i="22" s="1"/>
  <c r="Q387" i="22" s="1"/>
  <c r="Q388" i="22" s="1"/>
  <c r="Q389" i="22" s="1"/>
  <c r="Q390" i="22" s="1"/>
  <c r="Q391" i="22" s="1"/>
  <c r="Q392" i="22" s="1"/>
  <c r="Q393" i="22" s="1"/>
  <c r="Q394" i="22" s="1"/>
  <c r="Q395" i="22" s="1"/>
  <c r="Q396" i="22" s="1"/>
  <c r="Q397" i="22" s="1"/>
  <c r="Q398" i="22" s="1"/>
  <c r="Q399" i="22" s="1"/>
  <c r="Q400" i="22" s="1"/>
  <c r="Q401" i="22" s="1"/>
  <c r="Q402" i="22" s="1"/>
  <c r="Q403" i="22" s="1"/>
  <c r="Q404" i="22" s="1"/>
  <c r="Q405" i="22" s="1"/>
  <c r="Q406" i="22" s="1"/>
  <c r="Q407" i="22" s="1"/>
  <c r="Q408" i="22" s="1"/>
  <c r="Q409" i="22" s="1"/>
  <c r="Q410" i="22" s="1"/>
  <c r="Q411" i="22" s="1"/>
  <c r="Q412" i="22" s="1"/>
  <c r="Q413" i="22" s="1"/>
  <c r="Q414" i="22" s="1"/>
  <c r="Q415" i="22" s="1"/>
  <c r="Q416" i="22" s="1"/>
  <c r="Q417" i="22" s="1"/>
  <c r="Q418" i="22" s="1"/>
  <c r="Q419" i="22" s="1"/>
  <c r="Q420" i="22" s="1"/>
  <c r="Q421" i="22" s="1"/>
  <c r="Q422" i="22" s="1"/>
  <c r="Q423" i="22" s="1"/>
  <c r="Q424" i="22" s="1"/>
  <c r="Q425" i="22" s="1"/>
  <c r="Q426" i="22" s="1"/>
  <c r="Q427" i="22" s="1"/>
  <c r="Q428" i="22" s="1"/>
  <c r="Q429" i="22" s="1"/>
  <c r="Q430" i="22" s="1"/>
  <c r="Q431" i="22" s="1"/>
  <c r="Q432" i="22" s="1"/>
  <c r="Q433" i="22" s="1"/>
  <c r="Q434" i="22" s="1"/>
  <c r="Q435" i="22" s="1"/>
  <c r="Q436" i="22" s="1"/>
  <c r="Q437" i="22" s="1"/>
  <c r="Q438" i="22" s="1"/>
  <c r="Q439" i="22" s="1"/>
  <c r="Q440" i="22" s="1"/>
  <c r="Q441" i="22" s="1"/>
  <c r="Q442" i="22" s="1"/>
  <c r="Q443" i="22" s="1"/>
  <c r="Q444" i="22" s="1"/>
  <c r="Q445" i="22" s="1"/>
  <c r="Q446" i="22" s="1"/>
  <c r="Q447" i="22" s="1"/>
  <c r="Q448" i="22" s="1"/>
  <c r="Q449" i="22" s="1"/>
  <c r="Q450" i="22" s="1"/>
  <c r="Q451" i="22" s="1"/>
  <c r="Q452" i="22" s="1"/>
  <c r="Q453" i="22" s="1"/>
  <c r="Q454" i="22" s="1"/>
  <c r="Q455" i="22" s="1"/>
  <c r="Q456" i="22" s="1"/>
  <c r="Q457" i="22" s="1"/>
  <c r="Q458" i="22" s="1"/>
  <c r="Q459" i="22" s="1"/>
  <c r="Q460" i="22" s="1"/>
  <c r="Q461" i="22" s="1"/>
  <c r="Q462" i="22" s="1"/>
  <c r="Q463" i="22" s="1"/>
  <c r="Q464" i="22" s="1"/>
  <c r="Q465" i="22" s="1"/>
  <c r="Q466" i="22" s="1"/>
  <c r="Q467" i="22" s="1"/>
  <c r="Q468" i="22" s="1"/>
  <c r="Q469" i="22" s="1"/>
  <c r="Q470" i="22" s="1"/>
  <c r="Q471" i="22" s="1"/>
  <c r="Q472" i="22" s="1"/>
  <c r="Q473" i="22" s="1"/>
  <c r="Q474" i="22" s="1"/>
  <c r="Q475" i="22" s="1"/>
  <c r="Q476" i="22" s="1"/>
  <c r="Q477" i="22" s="1"/>
  <c r="Q478" i="22" s="1"/>
  <c r="Q479" i="22" s="1"/>
  <c r="Q480" i="22" s="1"/>
  <c r="Q481" i="22" s="1"/>
  <c r="Q482" i="22" s="1"/>
  <c r="Q483" i="22" s="1"/>
  <c r="Q484" i="22" s="1"/>
  <c r="Q485" i="22" s="1"/>
  <c r="Q486" i="22" s="1"/>
  <c r="Q487" i="22" s="1"/>
  <c r="Q488" i="22" s="1"/>
  <c r="Q489" i="22" s="1"/>
  <c r="Q490" i="22" s="1"/>
  <c r="Q491" i="22" s="1"/>
  <c r="Q492" i="22" s="1"/>
  <c r="Q493" i="22" s="1"/>
  <c r="Q494" i="22" s="1"/>
  <c r="Q495" i="22" s="1"/>
  <c r="Q496" i="22" s="1"/>
  <c r="Q497" i="22" s="1"/>
  <c r="Q498" i="22" s="1"/>
  <c r="Q499" i="22" s="1"/>
  <c r="Q500" i="22" s="1"/>
  <c r="Q501" i="22" s="1"/>
  <c r="Q502" i="22" s="1"/>
  <c r="Q503" i="22" s="1"/>
  <c r="Q504" i="22" s="1"/>
  <c r="X7" i="22" s="1"/>
  <c r="V9" i="22" s="1"/>
  <c r="V24" i="22" s="1"/>
  <c r="K4" i="22"/>
  <c r="K5" i="22" s="1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K24" i="22" s="1"/>
  <c r="K25" i="22" s="1"/>
  <c r="K26" i="22" s="1"/>
  <c r="K27" i="22" s="1"/>
  <c r="K28" i="22" s="1"/>
  <c r="K29" i="22" s="1"/>
  <c r="K30" i="22" s="1"/>
  <c r="K31" i="22" s="1"/>
  <c r="K32" i="22" s="1"/>
  <c r="K33" i="22" s="1"/>
  <c r="K34" i="22" s="1"/>
  <c r="K35" i="22" s="1"/>
  <c r="K36" i="22" s="1"/>
  <c r="K37" i="22" s="1"/>
  <c r="K38" i="22" s="1"/>
  <c r="K39" i="22" s="1"/>
  <c r="K40" i="22" s="1"/>
  <c r="K41" i="22" s="1"/>
  <c r="K42" i="22" s="1"/>
  <c r="K43" i="22" s="1"/>
  <c r="K44" i="22" s="1"/>
  <c r="K45" i="22" s="1"/>
  <c r="K46" i="22" s="1"/>
  <c r="K47" i="22" s="1"/>
  <c r="K48" i="22" s="1"/>
  <c r="K49" i="22" s="1"/>
  <c r="K50" i="22" s="1"/>
  <c r="K51" i="22" s="1"/>
  <c r="K52" i="22" s="1"/>
  <c r="K53" i="22" s="1"/>
  <c r="K54" i="22" s="1"/>
  <c r="K55" i="22" s="1"/>
  <c r="K56" i="22" s="1"/>
  <c r="K57" i="22" s="1"/>
  <c r="K58" i="22" s="1"/>
  <c r="K59" i="22" s="1"/>
  <c r="K60" i="22" s="1"/>
  <c r="K61" i="22" s="1"/>
  <c r="K62" i="22" s="1"/>
  <c r="K63" i="22" s="1"/>
  <c r="K64" i="22" s="1"/>
  <c r="K65" i="22" s="1"/>
  <c r="K66" i="22" s="1"/>
  <c r="K67" i="22" s="1"/>
  <c r="K68" i="22" s="1"/>
  <c r="K69" i="22" s="1"/>
  <c r="K70" i="22" s="1"/>
  <c r="K71" i="22" s="1"/>
  <c r="K72" i="22" s="1"/>
  <c r="K73" i="22" s="1"/>
  <c r="K74" i="22" s="1"/>
  <c r="K75" i="22" s="1"/>
  <c r="K76" i="22" s="1"/>
  <c r="K77" i="22" s="1"/>
  <c r="K78" i="22" s="1"/>
  <c r="K79" i="22" s="1"/>
  <c r="K80" i="22" s="1"/>
  <c r="K81" i="22" s="1"/>
  <c r="K82" i="22" s="1"/>
  <c r="K83" i="22" s="1"/>
  <c r="K84" i="22" s="1"/>
  <c r="K85" i="22" s="1"/>
  <c r="K86" i="22" s="1"/>
  <c r="K87" i="22" s="1"/>
  <c r="K88" i="22" s="1"/>
  <c r="K89" i="22" s="1"/>
  <c r="K90" i="22" s="1"/>
  <c r="K91" i="22" s="1"/>
  <c r="K92" i="22" s="1"/>
  <c r="K93" i="22" s="1"/>
  <c r="K94" i="22" s="1"/>
  <c r="K95" i="22" s="1"/>
  <c r="K96" i="22" s="1"/>
  <c r="K97" i="22" s="1"/>
  <c r="K98" i="22" s="1"/>
  <c r="K99" i="22" s="1"/>
  <c r="K100" i="22" s="1"/>
  <c r="K101" i="22" s="1"/>
  <c r="K102" i="22" s="1"/>
  <c r="K103" i="22" s="1"/>
  <c r="K104" i="22" s="1"/>
  <c r="K105" i="22" s="1"/>
  <c r="K106" i="22" s="1"/>
  <c r="K107" i="22" s="1"/>
  <c r="K108" i="22" s="1"/>
  <c r="K109" i="22" s="1"/>
  <c r="K110" i="22" s="1"/>
  <c r="K111" i="22" s="1"/>
  <c r="K112" i="22" s="1"/>
  <c r="K113" i="22" s="1"/>
  <c r="K114" i="22" s="1"/>
  <c r="K115" i="22" s="1"/>
  <c r="K116" i="22" s="1"/>
  <c r="K117" i="22" s="1"/>
  <c r="K118" i="22" s="1"/>
  <c r="K119" i="22" s="1"/>
  <c r="K120" i="22" s="1"/>
  <c r="K121" i="22" s="1"/>
  <c r="K122" i="22" s="1"/>
  <c r="K123" i="22" s="1"/>
  <c r="K124" i="22" s="1"/>
  <c r="K125" i="22" s="1"/>
  <c r="K126" i="22" s="1"/>
  <c r="K127" i="22" s="1"/>
  <c r="K128" i="22" s="1"/>
  <c r="K129" i="22" s="1"/>
  <c r="K130" i="22" s="1"/>
  <c r="K131" i="22" s="1"/>
  <c r="K132" i="22" s="1"/>
  <c r="K133" i="22" s="1"/>
  <c r="K134" i="22" s="1"/>
  <c r="K135" i="22" s="1"/>
  <c r="K136" i="22" s="1"/>
  <c r="K137" i="22" s="1"/>
  <c r="K138" i="22" s="1"/>
  <c r="K139" i="22" s="1"/>
  <c r="K140" i="22" s="1"/>
  <c r="K141" i="22" s="1"/>
  <c r="K142" i="22" s="1"/>
  <c r="K143" i="22" s="1"/>
  <c r="K144" i="22" s="1"/>
  <c r="K145" i="22" s="1"/>
  <c r="K146" i="22" s="1"/>
  <c r="K147" i="22" s="1"/>
  <c r="K148" i="22" s="1"/>
  <c r="K149" i="22" s="1"/>
  <c r="K150" i="22" s="1"/>
  <c r="K151" i="22" s="1"/>
  <c r="K152" i="22" s="1"/>
  <c r="K153" i="22" s="1"/>
  <c r="K154" i="22" s="1"/>
  <c r="K155" i="22" s="1"/>
  <c r="K156" i="22" s="1"/>
  <c r="K157" i="22" s="1"/>
  <c r="K158" i="22" s="1"/>
  <c r="K159" i="22" s="1"/>
  <c r="K160" i="22" s="1"/>
  <c r="K161" i="22" s="1"/>
  <c r="K162" i="22" s="1"/>
  <c r="K163" i="22" s="1"/>
  <c r="K164" i="22" s="1"/>
  <c r="K165" i="22" s="1"/>
  <c r="K166" i="22" s="1"/>
  <c r="K167" i="22" s="1"/>
  <c r="K168" i="22" s="1"/>
  <c r="K169" i="22" s="1"/>
  <c r="K170" i="22" s="1"/>
  <c r="K171" i="22" s="1"/>
  <c r="K172" i="22" s="1"/>
  <c r="K173" i="22" s="1"/>
  <c r="K174" i="22" s="1"/>
  <c r="K175" i="22" s="1"/>
  <c r="K176" i="22" s="1"/>
  <c r="K177" i="22" s="1"/>
  <c r="K178" i="22" s="1"/>
  <c r="K179" i="22" s="1"/>
  <c r="K180" i="22" s="1"/>
  <c r="K181" i="22" s="1"/>
  <c r="K182" i="22" s="1"/>
  <c r="K183" i="22" s="1"/>
  <c r="K184" i="22" s="1"/>
  <c r="K185" i="22" s="1"/>
  <c r="K186" i="22" s="1"/>
  <c r="K187" i="22" s="1"/>
  <c r="K188" i="22" s="1"/>
  <c r="K189" i="22" s="1"/>
  <c r="K190" i="22" s="1"/>
  <c r="K191" i="22" s="1"/>
  <c r="K192" i="22" s="1"/>
  <c r="K193" i="22" s="1"/>
  <c r="K194" i="22" s="1"/>
  <c r="K195" i="22" s="1"/>
  <c r="K196" i="22" s="1"/>
  <c r="K197" i="22" s="1"/>
  <c r="K198" i="22" s="1"/>
  <c r="K199" i="22" s="1"/>
  <c r="K200" i="22" s="1"/>
  <c r="K201" i="22" s="1"/>
  <c r="K202" i="22" s="1"/>
  <c r="K203" i="22" s="1"/>
  <c r="K204" i="22" s="1"/>
  <c r="K205" i="22" s="1"/>
  <c r="K206" i="22" s="1"/>
  <c r="K207" i="22" s="1"/>
  <c r="K208" i="22" s="1"/>
  <c r="K209" i="22" s="1"/>
  <c r="K210" i="22" s="1"/>
  <c r="K211" i="22" s="1"/>
  <c r="K212" i="22" s="1"/>
  <c r="K213" i="22" s="1"/>
  <c r="K214" i="22" s="1"/>
  <c r="K215" i="22" s="1"/>
  <c r="K216" i="22" s="1"/>
  <c r="K217" i="22" s="1"/>
  <c r="K218" i="22" s="1"/>
  <c r="K219" i="22" s="1"/>
  <c r="K220" i="22" s="1"/>
  <c r="K221" i="22" s="1"/>
  <c r="K222" i="22" s="1"/>
  <c r="K223" i="22" s="1"/>
  <c r="K224" i="22" s="1"/>
  <c r="K225" i="22" s="1"/>
  <c r="K226" i="22" s="1"/>
  <c r="K227" i="22" s="1"/>
  <c r="K228" i="22" s="1"/>
  <c r="K229" i="22" s="1"/>
  <c r="K230" i="22" s="1"/>
  <c r="K231" i="22" s="1"/>
  <c r="K232" i="22" s="1"/>
  <c r="K233" i="22" s="1"/>
  <c r="K234" i="22" s="1"/>
  <c r="K235" i="22" s="1"/>
  <c r="K236" i="22" s="1"/>
  <c r="K237" i="22" s="1"/>
  <c r="K238" i="22" s="1"/>
  <c r="K239" i="22" s="1"/>
  <c r="K240" i="22" s="1"/>
  <c r="K241" i="22" s="1"/>
  <c r="K242" i="22" s="1"/>
  <c r="K243" i="22" s="1"/>
  <c r="K244" i="22" s="1"/>
  <c r="K245" i="22" s="1"/>
  <c r="K246" i="22" s="1"/>
  <c r="K247" i="22" s="1"/>
  <c r="K248" i="22" s="1"/>
  <c r="K249" i="22" s="1"/>
  <c r="K250" i="22" s="1"/>
  <c r="K251" i="22" s="1"/>
  <c r="K252" i="22" s="1"/>
  <c r="K253" i="22" s="1"/>
  <c r="K254" i="22" s="1"/>
  <c r="K255" i="22" s="1"/>
  <c r="K256" i="22" s="1"/>
  <c r="K257" i="22" s="1"/>
  <c r="K258" i="22" s="1"/>
  <c r="K259" i="22" s="1"/>
  <c r="K260" i="22" s="1"/>
  <c r="K261" i="22" s="1"/>
  <c r="K262" i="22" s="1"/>
  <c r="K263" i="22" s="1"/>
  <c r="K264" i="22" s="1"/>
  <c r="K265" i="22" s="1"/>
  <c r="K266" i="22" s="1"/>
  <c r="K267" i="22" s="1"/>
  <c r="K268" i="22" s="1"/>
  <c r="K269" i="22" s="1"/>
  <c r="K270" i="22" s="1"/>
  <c r="K271" i="22" s="1"/>
  <c r="K272" i="22" s="1"/>
  <c r="K273" i="22" s="1"/>
  <c r="K274" i="22" s="1"/>
  <c r="K275" i="22" s="1"/>
  <c r="K276" i="22" s="1"/>
  <c r="K277" i="22" s="1"/>
  <c r="K278" i="22" s="1"/>
  <c r="K279" i="22" s="1"/>
  <c r="K280" i="22" s="1"/>
  <c r="K281" i="22" s="1"/>
  <c r="K282" i="22" s="1"/>
  <c r="K283" i="22" s="1"/>
  <c r="K284" i="22" s="1"/>
  <c r="K285" i="22" s="1"/>
  <c r="K286" i="22" s="1"/>
  <c r="K287" i="22" s="1"/>
  <c r="K288" i="22" s="1"/>
  <c r="K289" i="22" s="1"/>
  <c r="K290" i="22" s="1"/>
  <c r="K291" i="22" s="1"/>
  <c r="K292" i="22" s="1"/>
  <c r="K293" i="22" s="1"/>
  <c r="K294" i="22" s="1"/>
  <c r="K295" i="22" s="1"/>
  <c r="K296" i="22" s="1"/>
  <c r="K297" i="22" s="1"/>
  <c r="K298" i="22" s="1"/>
  <c r="K299" i="22" s="1"/>
  <c r="K300" i="22" s="1"/>
  <c r="K301" i="22" s="1"/>
  <c r="K302" i="22" s="1"/>
  <c r="K303" i="22" s="1"/>
  <c r="K304" i="22" s="1"/>
  <c r="K305" i="22" s="1"/>
  <c r="K306" i="22" s="1"/>
  <c r="K307" i="22" s="1"/>
  <c r="K308" i="22" s="1"/>
  <c r="K309" i="22" s="1"/>
  <c r="K310" i="22" s="1"/>
  <c r="K311" i="22" s="1"/>
  <c r="K312" i="22" s="1"/>
  <c r="K313" i="22" s="1"/>
  <c r="K314" i="22" s="1"/>
  <c r="K315" i="22" s="1"/>
  <c r="K316" i="22" s="1"/>
  <c r="K317" i="22" s="1"/>
  <c r="K318" i="22" s="1"/>
  <c r="K319" i="22" s="1"/>
  <c r="K320" i="22" s="1"/>
  <c r="K321" i="22" s="1"/>
  <c r="K322" i="22" s="1"/>
  <c r="K323" i="22" s="1"/>
  <c r="K324" i="22" s="1"/>
  <c r="K325" i="22" s="1"/>
  <c r="K326" i="22" s="1"/>
  <c r="K327" i="22" s="1"/>
  <c r="K328" i="22" s="1"/>
  <c r="K329" i="22" s="1"/>
  <c r="K330" i="22" s="1"/>
  <c r="K331" i="22" s="1"/>
  <c r="K332" i="22" s="1"/>
  <c r="K333" i="22" s="1"/>
  <c r="K334" i="22" s="1"/>
  <c r="K335" i="22" s="1"/>
  <c r="K336" i="22" s="1"/>
  <c r="K337" i="22" s="1"/>
  <c r="K338" i="22" s="1"/>
  <c r="K339" i="22" s="1"/>
  <c r="K340" i="22" s="1"/>
  <c r="K341" i="22" s="1"/>
  <c r="K342" i="22" s="1"/>
  <c r="K343" i="22" s="1"/>
  <c r="K344" i="22" s="1"/>
  <c r="K345" i="22" s="1"/>
  <c r="K346" i="22" s="1"/>
  <c r="K347" i="22" s="1"/>
  <c r="K348" i="22" s="1"/>
  <c r="K349" i="22" s="1"/>
  <c r="K350" i="22" s="1"/>
  <c r="K351" i="22" s="1"/>
  <c r="K352" i="22" s="1"/>
  <c r="K353" i="22" s="1"/>
  <c r="K354" i="22" s="1"/>
  <c r="K355" i="22" s="1"/>
  <c r="K356" i="22" s="1"/>
  <c r="K357" i="22" s="1"/>
  <c r="K358" i="22" s="1"/>
  <c r="K359" i="22" s="1"/>
  <c r="K360" i="22" s="1"/>
  <c r="K361" i="22" s="1"/>
  <c r="K362" i="22" s="1"/>
  <c r="K363" i="22" s="1"/>
  <c r="K364" i="22" s="1"/>
  <c r="K365" i="22" s="1"/>
  <c r="K366" i="22" s="1"/>
  <c r="K367" i="22" s="1"/>
  <c r="K368" i="22" s="1"/>
  <c r="K369" i="22" s="1"/>
  <c r="K370" i="22" s="1"/>
  <c r="K371" i="22" s="1"/>
  <c r="K372" i="22" s="1"/>
  <c r="K373" i="22" s="1"/>
  <c r="K374" i="22" s="1"/>
  <c r="K375" i="22" s="1"/>
  <c r="K376" i="22" s="1"/>
  <c r="K377" i="22" s="1"/>
  <c r="K378" i="22" s="1"/>
  <c r="K379" i="22" s="1"/>
  <c r="K380" i="22" s="1"/>
  <c r="K381" i="22" s="1"/>
  <c r="K382" i="22" s="1"/>
  <c r="K383" i="22" s="1"/>
  <c r="K384" i="22" s="1"/>
  <c r="K385" i="22" s="1"/>
  <c r="K386" i="22" s="1"/>
  <c r="K387" i="22" s="1"/>
  <c r="K388" i="22" s="1"/>
  <c r="K389" i="22" s="1"/>
  <c r="K390" i="22" s="1"/>
  <c r="K391" i="22" s="1"/>
  <c r="K392" i="22" s="1"/>
  <c r="K393" i="22" s="1"/>
  <c r="K394" i="22" s="1"/>
  <c r="K395" i="22" s="1"/>
  <c r="K396" i="22" s="1"/>
  <c r="K397" i="22" s="1"/>
  <c r="K398" i="22" s="1"/>
  <c r="K399" i="22" s="1"/>
  <c r="K400" i="22" s="1"/>
  <c r="K401" i="22" s="1"/>
  <c r="K402" i="22" s="1"/>
  <c r="K403" i="22" s="1"/>
  <c r="K404" i="22" s="1"/>
  <c r="K405" i="22" s="1"/>
  <c r="K406" i="22" s="1"/>
  <c r="K407" i="22" s="1"/>
  <c r="K408" i="22" s="1"/>
  <c r="K409" i="22" s="1"/>
  <c r="K410" i="22" s="1"/>
  <c r="K411" i="22" s="1"/>
  <c r="K412" i="22" s="1"/>
  <c r="K413" i="22" s="1"/>
  <c r="K414" i="22" s="1"/>
  <c r="K415" i="22" s="1"/>
  <c r="K416" i="22" s="1"/>
  <c r="K417" i="22" s="1"/>
  <c r="K418" i="22" s="1"/>
  <c r="K419" i="22" s="1"/>
  <c r="K420" i="22" s="1"/>
  <c r="K421" i="22" s="1"/>
  <c r="K422" i="22" s="1"/>
  <c r="K423" i="22" s="1"/>
  <c r="K424" i="22" s="1"/>
  <c r="K425" i="22" s="1"/>
  <c r="K426" i="22" s="1"/>
  <c r="K427" i="22" s="1"/>
  <c r="K428" i="22" s="1"/>
  <c r="K429" i="22" s="1"/>
  <c r="K430" i="22" s="1"/>
  <c r="K431" i="22" s="1"/>
  <c r="K432" i="22" s="1"/>
  <c r="K433" i="22" s="1"/>
  <c r="K434" i="22" s="1"/>
  <c r="K435" i="22" s="1"/>
  <c r="K436" i="22" s="1"/>
  <c r="K437" i="22" s="1"/>
  <c r="K438" i="22" s="1"/>
  <c r="K439" i="22" s="1"/>
  <c r="K440" i="22" s="1"/>
  <c r="K441" i="22" s="1"/>
  <c r="K442" i="22" s="1"/>
  <c r="K443" i="22" s="1"/>
  <c r="K444" i="22" s="1"/>
  <c r="K445" i="22" s="1"/>
  <c r="K446" i="22" s="1"/>
  <c r="K447" i="22" s="1"/>
  <c r="K448" i="22" s="1"/>
  <c r="K449" i="22" s="1"/>
  <c r="K450" i="22" s="1"/>
  <c r="K451" i="22" s="1"/>
  <c r="K452" i="22" s="1"/>
  <c r="K453" i="22" s="1"/>
  <c r="K454" i="22" s="1"/>
  <c r="K455" i="22" s="1"/>
  <c r="K456" i="22" s="1"/>
  <c r="K457" i="22" s="1"/>
  <c r="K458" i="22" s="1"/>
  <c r="K459" i="22" s="1"/>
  <c r="K460" i="22" s="1"/>
  <c r="K461" i="22" s="1"/>
  <c r="K462" i="22" s="1"/>
  <c r="K463" i="22" s="1"/>
  <c r="K464" i="22" s="1"/>
  <c r="K465" i="22" s="1"/>
  <c r="K466" i="22" s="1"/>
  <c r="K467" i="22" s="1"/>
  <c r="K468" i="22" s="1"/>
  <c r="K469" i="22" s="1"/>
  <c r="K470" i="22" s="1"/>
  <c r="K471" i="22" s="1"/>
  <c r="K472" i="22" s="1"/>
  <c r="K473" i="22" s="1"/>
  <c r="K474" i="22" s="1"/>
  <c r="K475" i="22" s="1"/>
  <c r="K476" i="22" s="1"/>
  <c r="K477" i="22" s="1"/>
  <c r="K478" i="22" s="1"/>
  <c r="K479" i="22" s="1"/>
  <c r="K480" i="22" s="1"/>
  <c r="K481" i="22" s="1"/>
  <c r="K482" i="22" s="1"/>
  <c r="K483" i="22" s="1"/>
  <c r="K484" i="22" s="1"/>
  <c r="K485" i="22" s="1"/>
  <c r="K486" i="22" s="1"/>
  <c r="K487" i="22" s="1"/>
  <c r="K488" i="22" s="1"/>
  <c r="K489" i="22" s="1"/>
  <c r="K490" i="22" s="1"/>
  <c r="K491" i="22" s="1"/>
  <c r="K492" i="22" s="1"/>
  <c r="K493" i="22" s="1"/>
  <c r="K494" i="22" s="1"/>
  <c r="K495" i="22" s="1"/>
  <c r="K496" i="22" s="1"/>
  <c r="K497" i="22" s="1"/>
  <c r="K498" i="22" s="1"/>
  <c r="K499" i="22" s="1"/>
  <c r="K500" i="22" s="1"/>
  <c r="K501" i="22" s="1"/>
  <c r="K502" i="22" s="1"/>
  <c r="K503" i="22" s="1"/>
  <c r="K504" i="22" s="1"/>
  <c r="X9" i="22" s="1"/>
  <c r="O4" i="22"/>
  <c r="O5" i="22" s="1"/>
  <c r="O6" i="22" s="1"/>
  <c r="O7" i="22" s="1"/>
  <c r="O8" i="22" s="1"/>
  <c r="O9" i="22" s="1"/>
  <c r="O10" i="22" s="1"/>
  <c r="O11" i="22" s="1"/>
  <c r="O12" i="22" s="1"/>
  <c r="O13" i="22" s="1"/>
  <c r="O14" i="22" s="1"/>
  <c r="O15" i="22" s="1"/>
  <c r="O16" i="22" s="1"/>
  <c r="O17" i="22" s="1"/>
  <c r="O18" i="22" s="1"/>
  <c r="O19" i="22" s="1"/>
  <c r="O20" i="22" s="1"/>
  <c r="O21" i="22" s="1"/>
  <c r="O22" i="22" s="1"/>
  <c r="O23" i="22" s="1"/>
  <c r="O24" i="22" s="1"/>
  <c r="O25" i="22" s="1"/>
  <c r="O26" i="22" s="1"/>
  <c r="O27" i="22" s="1"/>
  <c r="O28" i="22" s="1"/>
  <c r="O29" i="22" s="1"/>
  <c r="O30" i="22" s="1"/>
  <c r="O31" i="22" s="1"/>
  <c r="O32" i="22" s="1"/>
  <c r="O33" i="22" s="1"/>
  <c r="O34" i="22" s="1"/>
  <c r="O35" i="22" s="1"/>
  <c r="O36" i="22" s="1"/>
  <c r="O37" i="22" s="1"/>
  <c r="O38" i="22" s="1"/>
  <c r="O39" i="22" s="1"/>
  <c r="O40" i="22" s="1"/>
  <c r="O41" i="22" s="1"/>
  <c r="O42" i="22" s="1"/>
  <c r="O43" i="22" s="1"/>
  <c r="O44" i="22" s="1"/>
  <c r="O45" i="22" s="1"/>
  <c r="O46" i="22" s="1"/>
  <c r="O47" i="22" s="1"/>
  <c r="O48" i="22" s="1"/>
  <c r="O49" i="22" s="1"/>
  <c r="O50" i="22" s="1"/>
  <c r="O51" i="22" s="1"/>
  <c r="O52" i="22" s="1"/>
  <c r="O53" i="22" s="1"/>
  <c r="O54" i="22" s="1"/>
  <c r="O55" i="22" s="1"/>
  <c r="O56" i="22" s="1"/>
  <c r="O57" i="22" s="1"/>
  <c r="O58" i="22" s="1"/>
  <c r="O59" i="22" s="1"/>
  <c r="O60" i="22" s="1"/>
  <c r="O61" i="22" s="1"/>
  <c r="O62" i="22" s="1"/>
  <c r="O63" i="22" s="1"/>
  <c r="O64" i="22" s="1"/>
  <c r="O65" i="22" s="1"/>
  <c r="O66" i="22" s="1"/>
  <c r="O67" i="22" s="1"/>
  <c r="O68" i="22" s="1"/>
  <c r="O69" i="22" s="1"/>
  <c r="O70" i="22" s="1"/>
  <c r="O71" i="22" s="1"/>
  <c r="O72" i="22" s="1"/>
  <c r="O73" i="22" s="1"/>
  <c r="O74" i="22" s="1"/>
  <c r="O75" i="22" s="1"/>
  <c r="O76" i="22" s="1"/>
  <c r="O77" i="22" s="1"/>
  <c r="O78" i="22" s="1"/>
  <c r="O79" i="22" s="1"/>
  <c r="O80" i="22" s="1"/>
  <c r="O81" i="22" s="1"/>
  <c r="O82" i="22" s="1"/>
  <c r="O83" i="22" s="1"/>
  <c r="O84" i="22" s="1"/>
  <c r="O85" i="22" s="1"/>
  <c r="O86" i="22" s="1"/>
  <c r="O87" i="22" s="1"/>
  <c r="O88" i="22" s="1"/>
  <c r="O89" i="22" s="1"/>
  <c r="O90" i="22" s="1"/>
  <c r="O91" i="22" s="1"/>
  <c r="O92" i="22" s="1"/>
  <c r="O93" i="22" s="1"/>
  <c r="O94" i="22" s="1"/>
  <c r="O95" i="22" s="1"/>
  <c r="O96" i="22" s="1"/>
  <c r="O97" i="22" s="1"/>
  <c r="O98" i="22" s="1"/>
  <c r="O99" i="22" s="1"/>
  <c r="O100" i="22" s="1"/>
  <c r="O101" i="22" s="1"/>
  <c r="O102" i="22" s="1"/>
  <c r="O103" i="22" s="1"/>
  <c r="O104" i="22" s="1"/>
  <c r="O105" i="22" s="1"/>
  <c r="O106" i="22" s="1"/>
  <c r="O107" i="22" s="1"/>
  <c r="O108" i="22" s="1"/>
  <c r="O109" i="22" s="1"/>
  <c r="O110" i="22" s="1"/>
  <c r="O111" i="22" s="1"/>
  <c r="O112" i="22" s="1"/>
  <c r="O113" i="22" s="1"/>
  <c r="O114" i="22" s="1"/>
  <c r="O115" i="22" s="1"/>
  <c r="O116" i="22" s="1"/>
  <c r="O117" i="22" s="1"/>
  <c r="O118" i="22" s="1"/>
  <c r="O119" i="22" s="1"/>
  <c r="O120" i="22" s="1"/>
  <c r="O121" i="22" s="1"/>
  <c r="O122" i="22" s="1"/>
  <c r="O123" i="22" s="1"/>
  <c r="O124" i="22" s="1"/>
  <c r="O125" i="22" s="1"/>
  <c r="O126" i="22" s="1"/>
  <c r="O127" i="22" s="1"/>
  <c r="O128" i="22" s="1"/>
  <c r="O129" i="22" s="1"/>
  <c r="O130" i="22" s="1"/>
  <c r="O131" i="22" s="1"/>
  <c r="O132" i="22" s="1"/>
  <c r="O133" i="22" s="1"/>
  <c r="O134" i="22" s="1"/>
  <c r="O135" i="22" s="1"/>
  <c r="O136" i="22" s="1"/>
  <c r="O137" i="22" s="1"/>
  <c r="O138" i="22" s="1"/>
  <c r="O139" i="22" s="1"/>
  <c r="O140" i="22" s="1"/>
  <c r="O141" i="22" s="1"/>
  <c r="O142" i="22" s="1"/>
  <c r="O143" i="22" s="1"/>
  <c r="O144" i="22" s="1"/>
  <c r="O145" i="22" s="1"/>
  <c r="O146" i="22" s="1"/>
  <c r="O147" i="22" s="1"/>
  <c r="O148" i="22" s="1"/>
  <c r="O149" i="22" s="1"/>
  <c r="O150" i="22" s="1"/>
  <c r="O151" i="22" s="1"/>
  <c r="O152" i="22" s="1"/>
  <c r="O153" i="22" s="1"/>
  <c r="O154" i="22" s="1"/>
  <c r="O155" i="22" s="1"/>
  <c r="O156" i="22" s="1"/>
  <c r="O157" i="22" s="1"/>
  <c r="O158" i="22" s="1"/>
  <c r="O159" i="22" s="1"/>
  <c r="O160" i="22" s="1"/>
  <c r="O161" i="22" s="1"/>
  <c r="O162" i="22" s="1"/>
  <c r="O163" i="22" s="1"/>
  <c r="O164" i="22" s="1"/>
  <c r="O165" i="22" s="1"/>
  <c r="O166" i="22" s="1"/>
  <c r="O167" i="22" s="1"/>
  <c r="O168" i="22" s="1"/>
  <c r="O169" i="22" s="1"/>
  <c r="O170" i="22" s="1"/>
  <c r="O171" i="22" s="1"/>
  <c r="O172" i="22" s="1"/>
  <c r="O173" i="22" s="1"/>
  <c r="O174" i="22" s="1"/>
  <c r="O175" i="22" s="1"/>
  <c r="O176" i="22" s="1"/>
  <c r="O177" i="22" s="1"/>
  <c r="O178" i="22" s="1"/>
  <c r="O179" i="22" s="1"/>
  <c r="O180" i="22" s="1"/>
  <c r="O181" i="22" s="1"/>
  <c r="O182" i="22" s="1"/>
  <c r="O183" i="22" s="1"/>
  <c r="O184" i="22" s="1"/>
  <c r="O185" i="22" s="1"/>
  <c r="O186" i="22" s="1"/>
  <c r="O187" i="22" s="1"/>
  <c r="O188" i="22" s="1"/>
  <c r="O189" i="22" s="1"/>
  <c r="O190" i="22" s="1"/>
  <c r="O191" i="22" s="1"/>
  <c r="O192" i="22" s="1"/>
  <c r="O193" i="22" s="1"/>
  <c r="O194" i="22" s="1"/>
  <c r="O195" i="22" s="1"/>
  <c r="O196" i="22" s="1"/>
  <c r="O197" i="22" s="1"/>
  <c r="O198" i="22" s="1"/>
  <c r="O199" i="22" s="1"/>
  <c r="O200" i="22" s="1"/>
  <c r="O201" i="22" s="1"/>
  <c r="O202" i="22" s="1"/>
  <c r="O203" i="22" s="1"/>
  <c r="O204" i="22" s="1"/>
  <c r="O205" i="22" s="1"/>
  <c r="O206" i="22" s="1"/>
  <c r="O207" i="22" s="1"/>
  <c r="O208" i="22" s="1"/>
  <c r="O209" i="22" s="1"/>
  <c r="O210" i="22" s="1"/>
  <c r="O211" i="22" s="1"/>
  <c r="O212" i="22" s="1"/>
  <c r="O213" i="22" s="1"/>
  <c r="O214" i="22" s="1"/>
  <c r="O215" i="22" s="1"/>
  <c r="O216" i="22" s="1"/>
  <c r="O217" i="22" s="1"/>
  <c r="O218" i="22" s="1"/>
  <c r="O219" i="22" s="1"/>
  <c r="O220" i="22" s="1"/>
  <c r="O221" i="22" s="1"/>
  <c r="O222" i="22" s="1"/>
  <c r="O223" i="22" s="1"/>
  <c r="O224" i="22" s="1"/>
  <c r="O225" i="22" s="1"/>
  <c r="O226" i="22" s="1"/>
  <c r="O227" i="22" s="1"/>
  <c r="O228" i="22" s="1"/>
  <c r="O229" i="22" s="1"/>
  <c r="O230" i="22" s="1"/>
  <c r="O231" i="22" s="1"/>
  <c r="O232" i="22" s="1"/>
  <c r="O233" i="22" s="1"/>
  <c r="O234" i="22" s="1"/>
  <c r="O235" i="22" s="1"/>
  <c r="O236" i="22" s="1"/>
  <c r="O237" i="22" s="1"/>
  <c r="O238" i="22" s="1"/>
  <c r="O239" i="22" s="1"/>
  <c r="O240" i="22" s="1"/>
  <c r="O241" i="22" s="1"/>
  <c r="O242" i="22" s="1"/>
  <c r="O243" i="22" s="1"/>
  <c r="O244" i="22" s="1"/>
  <c r="O245" i="22" s="1"/>
  <c r="O246" i="22" s="1"/>
  <c r="O247" i="22" s="1"/>
  <c r="O248" i="22" s="1"/>
  <c r="O249" i="22" s="1"/>
  <c r="O250" i="22" s="1"/>
  <c r="O251" i="22" s="1"/>
  <c r="O252" i="22" s="1"/>
  <c r="O253" i="22" s="1"/>
  <c r="O254" i="22" s="1"/>
  <c r="O255" i="22" s="1"/>
  <c r="O256" i="22" s="1"/>
  <c r="O257" i="22" s="1"/>
  <c r="O258" i="22" s="1"/>
  <c r="O259" i="22" s="1"/>
  <c r="O260" i="22" s="1"/>
  <c r="O261" i="22" s="1"/>
  <c r="O262" i="22" s="1"/>
  <c r="O263" i="22" s="1"/>
  <c r="O264" i="22" s="1"/>
  <c r="O265" i="22" s="1"/>
  <c r="O266" i="22" s="1"/>
  <c r="O267" i="22" s="1"/>
  <c r="O268" i="22" s="1"/>
  <c r="O269" i="22" s="1"/>
  <c r="O270" i="22" s="1"/>
  <c r="O271" i="22" s="1"/>
  <c r="O272" i="22" s="1"/>
  <c r="O273" i="22" s="1"/>
  <c r="O274" i="22" s="1"/>
  <c r="O275" i="22" s="1"/>
  <c r="O276" i="22" s="1"/>
  <c r="O277" i="22" s="1"/>
  <c r="O278" i="22" s="1"/>
  <c r="O279" i="22" s="1"/>
  <c r="O280" i="22" s="1"/>
  <c r="O281" i="22" s="1"/>
  <c r="O282" i="22" s="1"/>
  <c r="O283" i="22" s="1"/>
  <c r="O284" i="22" s="1"/>
  <c r="O285" i="22" s="1"/>
  <c r="O286" i="22" s="1"/>
  <c r="O287" i="22" s="1"/>
  <c r="O288" i="22" s="1"/>
  <c r="O289" i="22" s="1"/>
  <c r="O290" i="22" s="1"/>
  <c r="O291" i="22" s="1"/>
  <c r="O292" i="22" s="1"/>
  <c r="O293" i="22" s="1"/>
  <c r="O294" i="22" s="1"/>
  <c r="O295" i="22" s="1"/>
  <c r="O296" i="22" s="1"/>
  <c r="O297" i="22" s="1"/>
  <c r="O298" i="22" s="1"/>
  <c r="O299" i="22" s="1"/>
  <c r="O300" i="22" s="1"/>
  <c r="O301" i="22" s="1"/>
  <c r="O302" i="22" s="1"/>
  <c r="O303" i="22" s="1"/>
  <c r="O304" i="22" s="1"/>
  <c r="O305" i="22" s="1"/>
  <c r="O306" i="22" s="1"/>
  <c r="O307" i="22" s="1"/>
  <c r="O308" i="22" s="1"/>
  <c r="O309" i="22" s="1"/>
  <c r="O310" i="22" s="1"/>
  <c r="O311" i="22" s="1"/>
  <c r="O312" i="22" s="1"/>
  <c r="O313" i="22" s="1"/>
  <c r="O314" i="22" s="1"/>
  <c r="O315" i="22" s="1"/>
  <c r="O316" i="22" s="1"/>
  <c r="O317" i="22" s="1"/>
  <c r="O318" i="22" s="1"/>
  <c r="O319" i="22" s="1"/>
  <c r="O320" i="22" s="1"/>
  <c r="O321" i="22" s="1"/>
  <c r="O322" i="22" s="1"/>
  <c r="O323" i="22" s="1"/>
  <c r="O324" i="22" s="1"/>
  <c r="O325" i="22" s="1"/>
  <c r="O326" i="22" s="1"/>
  <c r="O327" i="22" s="1"/>
  <c r="O328" i="22" s="1"/>
  <c r="O329" i="22" s="1"/>
  <c r="O330" i="22" s="1"/>
  <c r="O331" i="22" s="1"/>
  <c r="O332" i="22" s="1"/>
  <c r="O333" i="22" s="1"/>
  <c r="O334" i="22" s="1"/>
  <c r="O335" i="22" s="1"/>
  <c r="O336" i="22" s="1"/>
  <c r="O337" i="22" s="1"/>
  <c r="O338" i="22" s="1"/>
  <c r="O339" i="22" s="1"/>
  <c r="O340" i="22" s="1"/>
  <c r="O341" i="22" s="1"/>
  <c r="O342" i="22" s="1"/>
  <c r="O343" i="22" s="1"/>
  <c r="O344" i="22" s="1"/>
  <c r="O345" i="22" s="1"/>
  <c r="O346" i="22" s="1"/>
  <c r="O347" i="22" s="1"/>
  <c r="O348" i="22" s="1"/>
  <c r="O349" i="22" s="1"/>
  <c r="O350" i="22" s="1"/>
  <c r="O351" i="22" s="1"/>
  <c r="O352" i="22" s="1"/>
  <c r="O353" i="22" s="1"/>
  <c r="O354" i="22" s="1"/>
  <c r="O355" i="22" s="1"/>
  <c r="O356" i="22" s="1"/>
  <c r="O357" i="22" s="1"/>
  <c r="O358" i="22" s="1"/>
  <c r="O359" i="22" s="1"/>
  <c r="O360" i="22" s="1"/>
  <c r="O361" i="22" s="1"/>
  <c r="O362" i="22" s="1"/>
  <c r="O363" i="22" s="1"/>
  <c r="O364" i="22" s="1"/>
  <c r="O365" i="22" s="1"/>
  <c r="O366" i="22" s="1"/>
  <c r="O367" i="22" s="1"/>
  <c r="O368" i="22" s="1"/>
  <c r="O369" i="22" s="1"/>
  <c r="O370" i="22" s="1"/>
  <c r="O371" i="22" s="1"/>
  <c r="O372" i="22" s="1"/>
  <c r="O373" i="22" s="1"/>
  <c r="O374" i="22" s="1"/>
  <c r="O375" i="22" s="1"/>
  <c r="O376" i="22" s="1"/>
  <c r="O377" i="22" s="1"/>
  <c r="O378" i="22" s="1"/>
  <c r="O379" i="22" s="1"/>
  <c r="O380" i="22" s="1"/>
  <c r="O381" i="22" s="1"/>
  <c r="O382" i="22" s="1"/>
  <c r="O383" i="22" s="1"/>
  <c r="O384" i="22" s="1"/>
  <c r="O385" i="22" s="1"/>
  <c r="O386" i="22" s="1"/>
  <c r="O387" i="22" s="1"/>
  <c r="O388" i="22" s="1"/>
  <c r="O389" i="22" s="1"/>
  <c r="O390" i="22" s="1"/>
  <c r="O391" i="22" s="1"/>
  <c r="O392" i="22" s="1"/>
  <c r="O393" i="22" s="1"/>
  <c r="O394" i="22" s="1"/>
  <c r="O395" i="22" s="1"/>
  <c r="O396" i="22" s="1"/>
  <c r="O397" i="22" s="1"/>
  <c r="O398" i="22" s="1"/>
  <c r="O399" i="22" s="1"/>
  <c r="O400" i="22" s="1"/>
  <c r="O401" i="22" s="1"/>
  <c r="O402" i="22" s="1"/>
  <c r="O403" i="22" s="1"/>
  <c r="O404" i="22" s="1"/>
  <c r="O405" i="22" s="1"/>
  <c r="O406" i="22" s="1"/>
  <c r="O407" i="22" s="1"/>
  <c r="O408" i="22" s="1"/>
  <c r="O409" i="22" s="1"/>
  <c r="O410" i="22" s="1"/>
  <c r="O411" i="22" s="1"/>
  <c r="O412" i="22" s="1"/>
  <c r="O413" i="22" s="1"/>
  <c r="O414" i="22" s="1"/>
  <c r="O415" i="22" s="1"/>
  <c r="O416" i="22" s="1"/>
  <c r="O417" i="22" s="1"/>
  <c r="O418" i="22" s="1"/>
  <c r="O419" i="22" s="1"/>
  <c r="O420" i="22" s="1"/>
  <c r="O421" i="22" s="1"/>
  <c r="O422" i="22" s="1"/>
  <c r="O423" i="22" s="1"/>
  <c r="O424" i="22" s="1"/>
  <c r="O425" i="22" s="1"/>
  <c r="O426" i="22" s="1"/>
  <c r="O427" i="22" s="1"/>
  <c r="O428" i="22" s="1"/>
  <c r="O429" i="22" s="1"/>
  <c r="O430" i="22" s="1"/>
  <c r="O431" i="22" s="1"/>
  <c r="O432" i="22" s="1"/>
  <c r="O433" i="22" s="1"/>
  <c r="O434" i="22" s="1"/>
  <c r="O435" i="22" s="1"/>
  <c r="O436" i="22" s="1"/>
  <c r="O437" i="22" s="1"/>
  <c r="O438" i="22" s="1"/>
  <c r="O439" i="22" s="1"/>
  <c r="O440" i="22" s="1"/>
  <c r="O441" i="22" s="1"/>
  <c r="O442" i="22" s="1"/>
  <c r="O443" i="22" s="1"/>
  <c r="O444" i="22" s="1"/>
  <c r="O445" i="22" s="1"/>
  <c r="O446" i="22" s="1"/>
  <c r="O447" i="22" s="1"/>
  <c r="O448" i="22" s="1"/>
  <c r="O449" i="22" s="1"/>
  <c r="O450" i="22" s="1"/>
  <c r="O451" i="22" s="1"/>
  <c r="O452" i="22" s="1"/>
  <c r="O453" i="22" s="1"/>
  <c r="O454" i="22" s="1"/>
  <c r="O455" i="22" s="1"/>
  <c r="O456" i="22" s="1"/>
  <c r="O457" i="22" s="1"/>
  <c r="O458" i="22" s="1"/>
  <c r="O459" i="22" s="1"/>
  <c r="O460" i="22" s="1"/>
  <c r="O461" i="22" s="1"/>
  <c r="O462" i="22" s="1"/>
  <c r="O463" i="22" s="1"/>
  <c r="O464" i="22" s="1"/>
  <c r="O465" i="22" s="1"/>
  <c r="O466" i="22" s="1"/>
  <c r="O467" i="22" s="1"/>
  <c r="O468" i="22" s="1"/>
  <c r="O469" i="22" s="1"/>
  <c r="O470" i="22" s="1"/>
  <c r="O471" i="22" s="1"/>
  <c r="O472" i="22" s="1"/>
  <c r="O473" i="22" s="1"/>
  <c r="O474" i="22" s="1"/>
  <c r="O475" i="22" s="1"/>
  <c r="O476" i="22" s="1"/>
  <c r="O477" i="22" s="1"/>
  <c r="O478" i="22" s="1"/>
  <c r="O479" i="22" s="1"/>
  <c r="O480" i="22" s="1"/>
  <c r="O481" i="22" s="1"/>
  <c r="O482" i="22" s="1"/>
  <c r="O483" i="22" s="1"/>
  <c r="O484" i="22" s="1"/>
  <c r="O485" i="22" s="1"/>
  <c r="O486" i="22" s="1"/>
  <c r="O487" i="22" s="1"/>
  <c r="O488" i="22" s="1"/>
  <c r="O489" i="22" s="1"/>
  <c r="O490" i="22" s="1"/>
  <c r="O491" i="22" s="1"/>
  <c r="O492" i="22" s="1"/>
  <c r="O493" i="22" s="1"/>
  <c r="O494" i="22" s="1"/>
  <c r="O495" i="22" s="1"/>
  <c r="O496" i="22" s="1"/>
  <c r="O497" i="22" s="1"/>
  <c r="O498" i="22" s="1"/>
  <c r="O499" i="22" s="1"/>
  <c r="O500" i="22" s="1"/>
  <c r="O501" i="22" s="1"/>
  <c r="O502" i="22" s="1"/>
  <c r="O503" i="22" s="1"/>
  <c r="O504" i="22" s="1"/>
  <c r="X6" i="22" s="1"/>
  <c r="K19" i="21"/>
  <c r="I41" i="21" s="1"/>
  <c r="K39" i="21" s="1"/>
  <c r="K41" i="21"/>
  <c r="J15" i="21"/>
  <c r="K14" i="21" s="1"/>
  <c r="J292" i="24"/>
  <c r="N292" i="16"/>
  <c r="P292" i="18"/>
  <c r="J292" i="10"/>
  <c r="Y9" i="20"/>
  <c r="Z9" i="20" s="1"/>
  <c r="Y17" i="20"/>
  <c r="Y5" i="20"/>
  <c r="Y21" i="20"/>
  <c r="Y18" i="20"/>
  <c r="Y26" i="20"/>
  <c r="Y13" i="20"/>
  <c r="Y8" i="20"/>
  <c r="Y14" i="20"/>
  <c r="Z14" i="20" s="1"/>
  <c r="Y25" i="20"/>
  <c r="Y22" i="20"/>
  <c r="Y7" i="20"/>
  <c r="Y6" i="20"/>
  <c r="Y11" i="20"/>
  <c r="Y15" i="20"/>
  <c r="Y23" i="20"/>
  <c r="Y10" i="20"/>
  <c r="Z10" i="20" s="1"/>
  <c r="Y19" i="20"/>
  <c r="Y24" i="20"/>
  <c r="Y12" i="20"/>
  <c r="Y20" i="20"/>
  <c r="Y27" i="20"/>
  <c r="Y16" i="20"/>
  <c r="B16" i="13"/>
  <c r="J361" i="24"/>
  <c r="N361" i="16"/>
  <c r="P361" i="18"/>
  <c r="J361" i="10"/>
  <c r="B15" i="13"/>
  <c r="J406" i="24"/>
  <c r="J406" i="10"/>
  <c r="N406" i="16"/>
  <c r="P406" i="18"/>
  <c r="B12" i="13"/>
  <c r="J443" i="24"/>
  <c r="N443" i="16"/>
  <c r="P443" i="18"/>
  <c r="J443" i="10"/>
  <c r="J367" i="24"/>
  <c r="P367" i="18"/>
  <c r="J367" i="10"/>
  <c r="N367" i="16"/>
  <c r="B18" i="13"/>
  <c r="AC2" i="13" s="1"/>
  <c r="Y31" i="22"/>
  <c r="U30" i="22"/>
  <c r="I40" i="21"/>
  <c r="J39" i="21" s="1"/>
  <c r="H39" i="21"/>
  <c r="I38" i="21" s="1"/>
  <c r="B13" i="13"/>
  <c r="J360" i="24"/>
  <c r="J360" i="10"/>
  <c r="N360" i="16"/>
  <c r="P360" i="18"/>
  <c r="S5" i="13" a="1"/>
  <c r="Y33" i="22"/>
  <c r="W30" i="22"/>
  <c r="H23" i="21" l="1"/>
  <c r="Z19" i="20"/>
  <c r="Z25" i="20"/>
  <c r="Z17" i="20"/>
  <c r="Z8" i="20"/>
  <c r="Z13" i="20"/>
  <c r="Z26" i="20"/>
  <c r="Z20" i="20"/>
  <c r="Z6" i="20"/>
  <c r="AA8" i="20" s="1"/>
  <c r="Z18" i="20"/>
  <c r="Z11" i="20"/>
  <c r="Z23" i="20"/>
  <c r="Z16" i="20"/>
  <c r="Z15" i="20"/>
  <c r="Z27" i="20"/>
  <c r="Z24" i="20"/>
  <c r="Z22" i="20"/>
  <c r="Z5" i="20"/>
  <c r="B38" i="18"/>
  <c r="G38" i="18" s="1"/>
  <c r="H38" i="18" s="1"/>
  <c r="Z12" i="20"/>
  <c r="Z7" i="20"/>
  <c r="Z21" i="20"/>
  <c r="H21" i="21"/>
  <c r="H22" i="21" s="1"/>
  <c r="P19" i="21" s="1"/>
  <c r="B42" i="18"/>
  <c r="G42" i="18" s="1"/>
  <c r="H42" i="18" s="1"/>
  <c r="K5" i="24"/>
  <c r="K6" i="24" s="1"/>
  <c r="B16" i="10"/>
  <c r="W33" i="22"/>
  <c r="B26" i="10"/>
  <c r="G26" i="10" s="1"/>
  <c r="B40" i="16"/>
  <c r="G40" i="16" s="1"/>
  <c r="H40" i="16" s="1"/>
  <c r="V11" i="22"/>
  <c r="U42" i="22"/>
  <c r="V41" i="22" s="1"/>
  <c r="P20" i="21"/>
  <c r="Q10" i="21"/>
  <c r="J41" i="21"/>
  <c r="K40" i="21" s="1"/>
  <c r="H41" i="21"/>
  <c r="K38" i="21" s="1"/>
  <c r="H45" i="21" s="1"/>
  <c r="U9" i="22"/>
  <c r="U24" i="22" s="1"/>
  <c r="U13" i="22" a="1"/>
  <c r="U13" i="22" s="1"/>
  <c r="U14" i="22" s="1"/>
  <c r="V44" i="22"/>
  <c r="X42" i="22" s="1"/>
  <c r="U44" i="22"/>
  <c r="X41" i="22" s="1"/>
  <c r="X11" i="22"/>
  <c r="W44" i="22"/>
  <c r="X43" i="22" s="1"/>
  <c r="B13" i="10"/>
  <c r="B38" i="16"/>
  <c r="G38" i="16" s="1"/>
  <c r="H38" i="16" s="1"/>
  <c r="B36" i="10"/>
  <c r="G36" i="10" s="1"/>
  <c r="B33" i="16"/>
  <c r="G33" i="16" s="1"/>
  <c r="H33" i="16" s="1"/>
  <c r="B28" i="16"/>
  <c r="G28" i="16" s="1"/>
  <c r="H28" i="16" s="1"/>
  <c r="B18" i="10"/>
  <c r="B17" i="10"/>
  <c r="S6" i="13"/>
  <c r="T6" i="13" s="1"/>
  <c r="S11" i="13"/>
  <c r="T11" i="13" s="1"/>
  <c r="S20" i="13"/>
  <c r="T20" i="13" s="1"/>
  <c r="S12" i="13"/>
  <c r="T12" i="13" s="1"/>
  <c r="S21" i="13"/>
  <c r="T21" i="13" s="1"/>
  <c r="S8" i="13"/>
  <c r="T8" i="13" s="1"/>
  <c r="S17" i="13"/>
  <c r="T17" i="13" s="1"/>
  <c r="S5" i="13"/>
  <c r="T5" i="13" s="1"/>
  <c r="S13" i="13"/>
  <c r="T13" i="13" s="1"/>
  <c r="S22" i="13"/>
  <c r="T22" i="13" s="1"/>
  <c r="S9" i="13"/>
  <c r="T9" i="13" s="1"/>
  <c r="S18" i="13"/>
  <c r="T18" i="13" s="1"/>
  <c r="S23" i="13"/>
  <c r="T23" i="13" s="1"/>
  <c r="S25" i="13"/>
  <c r="T25" i="13" s="1"/>
  <c r="S10" i="13"/>
  <c r="T10" i="13" s="1"/>
  <c r="S15" i="13"/>
  <c r="T15" i="13" s="1"/>
  <c r="S24" i="13"/>
  <c r="T24" i="13" s="1"/>
  <c r="S26" i="13"/>
  <c r="T26" i="13" s="1"/>
  <c r="S27" i="13"/>
  <c r="T27" i="13" s="1"/>
  <c r="S16" i="13"/>
  <c r="T16" i="13" s="1"/>
  <c r="S19" i="13"/>
  <c r="T19" i="13" s="1"/>
  <c r="S7" i="13"/>
  <c r="T7" i="13" s="1"/>
  <c r="S14" i="13"/>
  <c r="T14" i="13" s="1"/>
  <c r="B23" i="16"/>
  <c r="B31" i="16"/>
  <c r="B13" i="16"/>
  <c r="B39" i="16"/>
  <c r="B42" i="10"/>
  <c r="B38" i="10"/>
  <c r="B29" i="10"/>
  <c r="B26" i="18"/>
  <c r="B36" i="18"/>
  <c r="B33" i="18"/>
  <c r="B29" i="16"/>
  <c r="B16" i="16"/>
  <c r="B25" i="16"/>
  <c r="B14" i="16"/>
  <c r="B24" i="16"/>
  <c r="B30" i="16"/>
  <c r="B30" i="10"/>
  <c r="B31" i="10"/>
  <c r="B28" i="10"/>
  <c r="B14" i="18"/>
  <c r="B28" i="18"/>
  <c r="B16" i="18"/>
  <c r="AA22" i="20"/>
  <c r="AA13" i="20"/>
  <c r="B17" i="18"/>
  <c r="U31" i="22"/>
  <c r="B42" i="16"/>
  <c r="B26" i="16"/>
  <c r="B17" i="16"/>
  <c r="B14" i="10"/>
  <c r="B35" i="10"/>
  <c r="B15" i="10"/>
  <c r="B18" i="18"/>
  <c r="B27" i="18"/>
  <c r="B41" i="18"/>
  <c r="B30" i="18"/>
  <c r="B15" i="18"/>
  <c r="B15" i="16"/>
  <c r="B18" i="16"/>
  <c r="B32" i="16"/>
  <c r="B24" i="10"/>
  <c r="B39" i="10"/>
  <c r="B34" i="10"/>
  <c r="X24" i="13"/>
  <c r="X6" i="13"/>
  <c r="X10" i="13"/>
  <c r="X7" i="13"/>
  <c r="X9" i="13"/>
  <c r="AB19" i="13"/>
  <c r="X19" i="13"/>
  <c r="X5" i="13"/>
  <c r="AB8" i="13"/>
  <c r="X21" i="13"/>
  <c r="X12" i="13"/>
  <c r="X26" i="13"/>
  <c r="X20" i="13"/>
  <c r="X8" i="13"/>
  <c r="X11" i="13"/>
  <c r="AB14" i="13"/>
  <c r="AB20" i="13"/>
  <c r="X14" i="13"/>
  <c r="X16" i="13"/>
  <c r="AB16" i="13"/>
  <c r="AB25" i="13"/>
  <c r="X22" i="13"/>
  <c r="AB10" i="13"/>
  <c r="X27" i="13"/>
  <c r="AB5" i="13"/>
  <c r="X23" i="13"/>
  <c r="X13" i="13"/>
  <c r="Y13" i="13" s="1"/>
  <c r="AB7" i="13"/>
  <c r="AB12" i="13"/>
  <c r="AB11" i="13"/>
  <c r="X25" i="13"/>
  <c r="AB21" i="13"/>
  <c r="AB17" i="13"/>
  <c r="AB27" i="13"/>
  <c r="AB24" i="13"/>
  <c r="AB13" i="13"/>
  <c r="AB26" i="13"/>
  <c r="AB9" i="13"/>
  <c r="AB6" i="13"/>
  <c r="AB22" i="13"/>
  <c r="AB15" i="13"/>
  <c r="AB23" i="13"/>
  <c r="X17" i="13"/>
  <c r="Y17" i="13" s="1"/>
  <c r="X18" i="13"/>
  <c r="X15" i="13"/>
  <c r="AB18" i="13"/>
  <c r="B34" i="18"/>
  <c r="B29" i="18"/>
  <c r="B32" i="18"/>
  <c r="B35" i="18"/>
  <c r="AD2" i="13"/>
  <c r="J20" i="18" s="1"/>
  <c r="AC3" i="13"/>
  <c r="B41" i="16"/>
  <c r="B34" i="16"/>
  <c r="B27" i="16"/>
  <c r="B23" i="10"/>
  <c r="B33" i="10"/>
  <c r="B40" i="10"/>
  <c r="B41" i="10"/>
  <c r="B37" i="18"/>
  <c r="B13" i="18"/>
  <c r="B24" i="18"/>
  <c r="B32" i="10"/>
  <c r="B27" i="10"/>
  <c r="B39" i="18"/>
  <c r="B31" i="18"/>
  <c r="B23" i="18"/>
  <c r="B35" i="16"/>
  <c r="B37" i="16"/>
  <c r="B36" i="16"/>
  <c r="B25" i="10"/>
  <c r="B37" i="10"/>
  <c r="B25" i="18"/>
  <c r="B40" i="18"/>
  <c r="P13" i="21" l="1"/>
  <c r="AA16" i="20"/>
  <c r="AA20" i="20"/>
  <c r="AA12" i="20"/>
  <c r="AA25" i="20"/>
  <c r="Q22" i="21"/>
  <c r="AA14" i="20"/>
  <c r="AA11" i="20"/>
  <c r="AA17" i="20"/>
  <c r="AA15" i="20"/>
  <c r="AA5" i="20"/>
  <c r="AA10" i="20"/>
  <c r="AA6" i="20"/>
  <c r="AA26" i="20"/>
  <c r="AA7" i="20"/>
  <c r="AA19" i="20"/>
  <c r="AA18" i="20"/>
  <c r="AA23" i="20"/>
  <c r="AA9" i="20"/>
  <c r="AA27" i="20"/>
  <c r="P8" i="21"/>
  <c r="AA24" i="20"/>
  <c r="AA21" i="20"/>
  <c r="Q15" i="21"/>
  <c r="P5" i="21"/>
  <c r="Q5" i="21"/>
  <c r="P7" i="21"/>
  <c r="P10" i="21"/>
  <c r="Q8" i="21"/>
  <c r="P18" i="21"/>
  <c r="Q9" i="21"/>
  <c r="P3" i="21"/>
  <c r="P15" i="21"/>
  <c r="L5" i="24"/>
  <c r="P11" i="21"/>
  <c r="Q14" i="21"/>
  <c r="P12" i="21"/>
  <c r="P14" i="21"/>
  <c r="P6" i="21"/>
  <c r="Q4" i="21"/>
  <c r="Q3" i="21"/>
  <c r="P21" i="21"/>
  <c r="P9" i="21"/>
  <c r="P4" i="21"/>
  <c r="Q21" i="21"/>
  <c r="P22" i="21"/>
  <c r="Q19" i="21"/>
  <c r="Q13" i="21"/>
  <c r="Q6" i="21"/>
  <c r="Q7" i="21"/>
  <c r="Q12" i="21"/>
  <c r="P16" i="21"/>
  <c r="P17" i="21"/>
  <c r="Q20" i="21"/>
  <c r="Q11" i="21"/>
  <c r="Q16" i="21"/>
  <c r="Q17" i="21"/>
  <c r="H43" i="21" a="1"/>
  <c r="H43" i="21" s="1"/>
  <c r="H44" i="21" s="1"/>
  <c r="T19" i="21" s="1"/>
  <c r="U15" i="22"/>
  <c r="Q18" i="21"/>
  <c r="Y24" i="13"/>
  <c r="Y22" i="13"/>
  <c r="Y7" i="13"/>
  <c r="V30" i="22"/>
  <c r="Y32" i="22"/>
  <c r="Y34" i="22"/>
  <c r="X30" i="22"/>
  <c r="AC24" i="13"/>
  <c r="Y16" i="13"/>
  <c r="Y10" i="13"/>
  <c r="AC17" i="13"/>
  <c r="AC5" i="13"/>
  <c r="AC20" i="13"/>
  <c r="AC8" i="13"/>
  <c r="AC18" i="22"/>
  <c r="AC5" i="22"/>
  <c r="AC22" i="22"/>
  <c r="AC16" i="22"/>
  <c r="AC11" i="22"/>
  <c r="AD10" i="22"/>
  <c r="AC20" i="22"/>
  <c r="AD8" i="22"/>
  <c r="AC13" i="22"/>
  <c r="AD11" i="22"/>
  <c r="AD20" i="22"/>
  <c r="AD5" i="22"/>
  <c r="AD16" i="22"/>
  <c r="AC21" i="22"/>
  <c r="AD19" i="22"/>
  <c r="AD13" i="22"/>
  <c r="AC17" i="22"/>
  <c r="AD7" i="22"/>
  <c r="AD22" i="22"/>
  <c r="AD9" i="22"/>
  <c r="AC6" i="22"/>
  <c r="AC8" i="22"/>
  <c r="AD3" i="22"/>
  <c r="AC10" i="22"/>
  <c r="AD17" i="22"/>
  <c r="AC14" i="22"/>
  <c r="AD12" i="22"/>
  <c r="AC9" i="22"/>
  <c r="AC4" i="22"/>
  <c r="AD4" i="22"/>
  <c r="AC7" i="22"/>
  <c r="AD15" i="22"/>
  <c r="AC19" i="22"/>
  <c r="AD6" i="22"/>
  <c r="AC12" i="22"/>
  <c r="AC15" i="22"/>
  <c r="AD21" i="22"/>
  <c r="AD14" i="22"/>
  <c r="AD18" i="22"/>
  <c r="AC3" i="22"/>
  <c r="AC15" i="13"/>
  <c r="AC22" i="13"/>
  <c r="AC21" i="13"/>
  <c r="AC14" i="13"/>
  <c r="AC18" i="13"/>
  <c r="AC9" i="13"/>
  <c r="AC11" i="13"/>
  <c r="AC19" i="13"/>
  <c r="Y18" i="13"/>
  <c r="AC13" i="13"/>
  <c r="AC7" i="13"/>
  <c r="AC16" i="13"/>
  <c r="Y26" i="13"/>
  <c r="Y12" i="13"/>
  <c r="Y21" i="13"/>
  <c r="G40" i="10"/>
  <c r="G41" i="18"/>
  <c r="H41" i="18" s="1"/>
  <c r="G28" i="10"/>
  <c r="U48" i="22" a="1"/>
  <c r="U48" i="22" s="1"/>
  <c r="U46" i="22" a="1"/>
  <c r="U46" i="22" s="1"/>
  <c r="U47" i="22" s="1"/>
  <c r="G33" i="10"/>
  <c r="C31" i="16"/>
  <c r="D31" i="16" s="1"/>
  <c r="C37" i="16"/>
  <c r="D37" i="16" s="1"/>
  <c r="C29" i="16"/>
  <c r="D29" i="16" s="1"/>
  <c r="I28" i="16"/>
  <c r="J28" i="16" s="1"/>
  <c r="I42" i="16"/>
  <c r="J42" i="16" s="1"/>
  <c r="C23" i="16"/>
  <c r="E23" i="16" s="1"/>
  <c r="C41" i="16"/>
  <c r="E41" i="16" s="1"/>
  <c r="I27" i="16"/>
  <c r="J27" i="16" s="1"/>
  <c r="I29" i="16"/>
  <c r="J29" i="16" s="1"/>
  <c r="I31" i="16"/>
  <c r="J31" i="16" s="1"/>
  <c r="C30" i="16"/>
  <c r="E30" i="16" s="1"/>
  <c r="C27" i="16"/>
  <c r="E27" i="16" s="1"/>
  <c r="C32" i="16"/>
  <c r="E32" i="16" s="1"/>
  <c r="I25" i="16"/>
  <c r="I39" i="16"/>
  <c r="J39" i="16" s="1"/>
  <c r="C28" i="16"/>
  <c r="C24" i="16"/>
  <c r="D24" i="16" s="1"/>
  <c r="I33" i="16"/>
  <c r="J33" i="16" s="1"/>
  <c r="I35" i="16"/>
  <c r="J35" i="16" s="1"/>
  <c r="I37" i="16"/>
  <c r="C36" i="16"/>
  <c r="E36" i="16" s="1"/>
  <c r="C35" i="16"/>
  <c r="D35" i="16" s="1"/>
  <c r="C34" i="16"/>
  <c r="E34" i="16" s="1"/>
  <c r="I23" i="16"/>
  <c r="I26" i="16"/>
  <c r="J26" i="16" s="1"/>
  <c r="C38" i="16"/>
  <c r="C25" i="16"/>
  <c r="E25" i="16" s="1"/>
  <c r="I30" i="16"/>
  <c r="J30" i="16" s="1"/>
  <c r="I32" i="16"/>
  <c r="J32" i="16" s="1"/>
  <c r="I34" i="16"/>
  <c r="C42" i="16"/>
  <c r="D42" i="16" s="1"/>
  <c r="I38" i="16"/>
  <c r="J38" i="16" s="1"/>
  <c r="C39" i="16"/>
  <c r="E39" i="16" s="1"/>
  <c r="I36" i="16"/>
  <c r="J36" i="16" s="1"/>
  <c r="C26" i="16"/>
  <c r="D26" i="16" s="1"/>
  <c r="C40" i="16"/>
  <c r="C33" i="16"/>
  <c r="I24" i="16"/>
  <c r="J24" i="16" s="1"/>
  <c r="I41" i="16"/>
  <c r="I40" i="16"/>
  <c r="J40" i="16" s="1"/>
  <c r="G31" i="10"/>
  <c r="G32" i="18"/>
  <c r="H32" i="18" s="1"/>
  <c r="G42" i="16"/>
  <c r="H42" i="16" s="1"/>
  <c r="G39" i="18"/>
  <c r="H39" i="18" s="1"/>
  <c r="G27" i="18"/>
  <c r="H27" i="18" s="1"/>
  <c r="G38" i="10"/>
  <c r="G40" i="18"/>
  <c r="H40" i="18" s="1"/>
  <c r="G35" i="16"/>
  <c r="H35" i="16" s="1"/>
  <c r="G27" i="10"/>
  <c r="G23" i="10"/>
  <c r="G35" i="18"/>
  <c r="H35" i="18" s="1"/>
  <c r="AC23" i="13"/>
  <c r="AC27" i="13"/>
  <c r="Y23" i="13"/>
  <c r="Y14" i="13"/>
  <c r="Y6" i="13"/>
  <c r="C29" i="18"/>
  <c r="D29" i="18" s="1"/>
  <c r="C27" i="18"/>
  <c r="E27" i="18" s="1"/>
  <c r="C39" i="18"/>
  <c r="E39" i="18" s="1"/>
  <c r="C38" i="18"/>
  <c r="C33" i="18"/>
  <c r="D33" i="18" s="1"/>
  <c r="C42" i="18"/>
  <c r="C23" i="18"/>
  <c r="D23" i="18" s="1"/>
  <c r="C24" i="18"/>
  <c r="D24" i="18" s="1"/>
  <c r="C32" i="18"/>
  <c r="E32" i="18" s="1"/>
  <c r="C41" i="18"/>
  <c r="E41" i="18" s="1"/>
  <c r="C28" i="18"/>
  <c r="D28" i="18" s="1"/>
  <c r="C36" i="18"/>
  <c r="E36" i="18" s="1"/>
  <c r="C26" i="18"/>
  <c r="E26" i="18" s="1"/>
  <c r="C34" i="18"/>
  <c r="E34" i="18" s="1"/>
  <c r="C25" i="18"/>
  <c r="D25" i="18" s="1"/>
  <c r="C37" i="18"/>
  <c r="D37" i="18" s="1"/>
  <c r="C35" i="18"/>
  <c r="E35" i="18" s="1"/>
  <c r="C30" i="18"/>
  <c r="E30" i="18" s="1"/>
  <c r="C31" i="18"/>
  <c r="E31" i="18" s="1"/>
  <c r="C40" i="18"/>
  <c r="D40" i="18" s="1"/>
  <c r="G30" i="10"/>
  <c r="G42" i="10"/>
  <c r="E25" i="18"/>
  <c r="G25" i="18"/>
  <c r="H25" i="18" s="1"/>
  <c r="C40" i="10"/>
  <c r="E40" i="10" s="1"/>
  <c r="C29" i="10"/>
  <c r="E29" i="10" s="1"/>
  <c r="C38" i="10"/>
  <c r="D38" i="10" s="1"/>
  <c r="C24" i="10"/>
  <c r="E24" i="10" s="1"/>
  <c r="C41" i="10"/>
  <c r="D41" i="10" s="1"/>
  <c r="C33" i="10"/>
  <c r="E33" i="10" s="1"/>
  <c r="C30" i="10"/>
  <c r="E30" i="10" s="1"/>
  <c r="C28" i="10"/>
  <c r="D28" i="10" s="1"/>
  <c r="C26" i="10"/>
  <c r="C32" i="10"/>
  <c r="E32" i="10" s="1"/>
  <c r="C34" i="10"/>
  <c r="D34" i="10" s="1"/>
  <c r="C39" i="10"/>
  <c r="D39" i="10" s="1"/>
  <c r="C35" i="10"/>
  <c r="E35" i="10" s="1"/>
  <c r="C42" i="10"/>
  <c r="D42" i="10" s="1"/>
  <c r="C23" i="10"/>
  <c r="E23" i="10" s="1"/>
  <c r="C25" i="10"/>
  <c r="D25" i="10" s="1"/>
  <c r="C31" i="10"/>
  <c r="D31" i="10" s="1"/>
  <c r="C27" i="10"/>
  <c r="E27" i="10" s="1"/>
  <c r="C36" i="10"/>
  <c r="C37" i="10"/>
  <c r="D37" i="10" s="1"/>
  <c r="G30" i="16"/>
  <c r="H30" i="16" s="1"/>
  <c r="G39" i="16"/>
  <c r="H39" i="16" s="1"/>
  <c r="G32" i="10"/>
  <c r="G24" i="18"/>
  <c r="H24" i="18" s="1"/>
  <c r="G34" i="16"/>
  <c r="H34" i="16" s="1"/>
  <c r="G34" i="10"/>
  <c r="G35" i="10"/>
  <c r="G24" i="16"/>
  <c r="H24" i="16" s="1"/>
  <c r="G37" i="10"/>
  <c r="G29" i="18"/>
  <c r="H29" i="18" s="1"/>
  <c r="Y27" i="13"/>
  <c r="G25" i="10"/>
  <c r="G41" i="16"/>
  <c r="H41" i="16" s="1"/>
  <c r="G34" i="18"/>
  <c r="H34" i="18" s="1"/>
  <c r="AC6" i="13"/>
  <c r="Y25" i="13"/>
  <c r="AC10" i="13"/>
  <c r="Y11" i="13"/>
  <c r="Y19" i="13"/>
  <c r="G39" i="10"/>
  <c r="G33" i="18"/>
  <c r="H33" i="18" s="1"/>
  <c r="G31" i="16"/>
  <c r="H31" i="16" s="1"/>
  <c r="K7" i="24"/>
  <c r="L6" i="24"/>
  <c r="G27" i="16"/>
  <c r="H27" i="16" s="1"/>
  <c r="G36" i="16"/>
  <c r="H36" i="16" s="1"/>
  <c r="G37" i="18"/>
  <c r="H37" i="18" s="1"/>
  <c r="Y8" i="13"/>
  <c r="G24" i="10"/>
  <c r="G28" i="18"/>
  <c r="H28" i="18" s="1"/>
  <c r="G25" i="16"/>
  <c r="H25" i="16" s="1"/>
  <c r="G36" i="18"/>
  <c r="H36" i="18" s="1"/>
  <c r="D23" i="16"/>
  <c r="G23" i="16"/>
  <c r="H23" i="16" s="1"/>
  <c r="G37" i="16"/>
  <c r="H37" i="16" s="1"/>
  <c r="G23" i="18"/>
  <c r="H23" i="18" s="1"/>
  <c r="G41" i="10"/>
  <c r="I36" i="18"/>
  <c r="I40" i="18"/>
  <c r="I41" i="18"/>
  <c r="I31" i="18"/>
  <c r="I32" i="18"/>
  <c r="I34" i="18"/>
  <c r="I24" i="18"/>
  <c r="I28" i="18"/>
  <c r="I38" i="18"/>
  <c r="I29" i="18"/>
  <c r="I42" i="18"/>
  <c r="I25" i="18"/>
  <c r="I33" i="18"/>
  <c r="I37" i="18"/>
  <c r="I35" i="18"/>
  <c r="I27" i="18"/>
  <c r="I39" i="18"/>
  <c r="I26" i="18"/>
  <c r="I30" i="18"/>
  <c r="Y15" i="13"/>
  <c r="AC26" i="13"/>
  <c r="AC12" i="13"/>
  <c r="AC25" i="13"/>
  <c r="Y20" i="13"/>
  <c r="Y9" i="13"/>
  <c r="G32" i="16"/>
  <c r="H32" i="16" s="1"/>
  <c r="G30" i="18"/>
  <c r="H30" i="18" s="1"/>
  <c r="G26" i="16"/>
  <c r="H26" i="16" s="1"/>
  <c r="G26" i="18"/>
  <c r="H26" i="18" s="1"/>
  <c r="D26" i="18"/>
  <c r="G31" i="18"/>
  <c r="H31" i="18" s="1"/>
  <c r="G29" i="16"/>
  <c r="H29" i="16" s="1"/>
  <c r="G29" i="10"/>
  <c r="S3" i="21"/>
  <c r="T18" i="21"/>
  <c r="S12" i="21"/>
  <c r="S10" i="21"/>
  <c r="T22" i="21"/>
  <c r="U12" i="13"/>
  <c r="U27" i="13"/>
  <c r="U18" i="13"/>
  <c r="U9" i="13"/>
  <c r="U26" i="13"/>
  <c r="U13" i="13"/>
  <c r="U20" i="13"/>
  <c r="U14" i="13"/>
  <c r="U16" i="13"/>
  <c r="U23" i="13"/>
  <c r="U10" i="13"/>
  <c r="U8" i="13"/>
  <c r="U19" i="13"/>
  <c r="U6" i="13"/>
  <c r="U15" i="13"/>
  <c r="U25" i="13"/>
  <c r="U5" i="13"/>
  <c r="U7" i="13"/>
  <c r="U17" i="13"/>
  <c r="U22" i="13"/>
  <c r="U21" i="13"/>
  <c r="U24" i="13"/>
  <c r="U11" i="13"/>
  <c r="E23" i="18" l="1"/>
  <c r="D41" i="16"/>
  <c r="S16" i="21"/>
  <c r="T12" i="21"/>
  <c r="S20" i="21"/>
  <c r="S6" i="21"/>
  <c r="T5" i="21"/>
  <c r="T6" i="21"/>
  <c r="S13" i="21"/>
  <c r="S17" i="21"/>
  <c r="T14" i="21"/>
  <c r="S8" i="21"/>
  <c r="T16" i="21"/>
  <c r="S21" i="21"/>
  <c r="T20" i="21"/>
  <c r="T7" i="21"/>
  <c r="S4" i="21"/>
  <c r="T10" i="21"/>
  <c r="S15" i="21"/>
  <c r="S19" i="21"/>
  <c r="S11" i="21"/>
  <c r="T9" i="21"/>
  <c r="S14" i="21"/>
  <c r="T13" i="21"/>
  <c r="T4" i="21"/>
  <c r="T15" i="21"/>
  <c r="T17" i="21"/>
  <c r="S22" i="21"/>
  <c r="T21" i="21"/>
  <c r="T3" i="21"/>
  <c r="S18" i="21"/>
  <c r="S5" i="21"/>
  <c r="T11" i="21"/>
  <c r="S9" i="21"/>
  <c r="T8" i="21"/>
  <c r="E31" i="16"/>
  <c r="F31" i="16" s="1"/>
  <c r="E41" i="10"/>
  <c r="D36" i="18"/>
  <c r="F36" i="18" s="1"/>
  <c r="E37" i="16"/>
  <c r="F37" i="16" s="1"/>
  <c r="D36" i="16"/>
  <c r="F36" i="16" s="1"/>
  <c r="E26" i="16"/>
  <c r="F26" i="16" s="1"/>
  <c r="D39" i="16"/>
  <c r="F39" i="16" s="1"/>
  <c r="D30" i="18"/>
  <c r="F30" i="18" s="1"/>
  <c r="E33" i="18"/>
  <c r="F33" i="18" s="1"/>
  <c r="D34" i="16"/>
  <c r="F34" i="16" s="1"/>
  <c r="D27" i="16"/>
  <c r="F27" i="16" s="1"/>
  <c r="E37" i="18"/>
  <c r="F37" i="18" s="1"/>
  <c r="K24" i="18"/>
  <c r="L24" i="18" s="1"/>
  <c r="M24" i="18" s="1"/>
  <c r="E34" i="10"/>
  <c r="F34" i="10" s="1"/>
  <c r="D32" i="10"/>
  <c r="F32" i="10" s="1"/>
  <c r="D31" i="18"/>
  <c r="F31" i="18" s="1"/>
  <c r="E28" i="18"/>
  <c r="F28" i="18" s="1"/>
  <c r="E25" i="10"/>
  <c r="F25" i="10" s="1"/>
  <c r="D29" i="10"/>
  <c r="F29" i="10" s="1"/>
  <c r="D32" i="16"/>
  <c r="F32" i="16" s="1"/>
  <c r="K37" i="18"/>
  <c r="L37" i="18" s="1"/>
  <c r="M37" i="18" s="1"/>
  <c r="E24" i="18"/>
  <c r="F24" i="18" s="1"/>
  <c r="E42" i="10"/>
  <c r="F42" i="10" s="1"/>
  <c r="D35" i="10"/>
  <c r="F35" i="10" s="1"/>
  <c r="K31" i="18"/>
  <c r="L31" i="18" s="1"/>
  <c r="M31" i="18" s="1"/>
  <c r="E29" i="16"/>
  <c r="F29" i="16" s="1"/>
  <c r="K30" i="18"/>
  <c r="L30" i="18" s="1"/>
  <c r="M30" i="18" s="1"/>
  <c r="D34" i="18"/>
  <c r="F34" i="18" s="1"/>
  <c r="V33" i="22"/>
  <c r="V43" i="22" s="1"/>
  <c r="W42" i="22" s="1"/>
  <c r="V32" i="22"/>
  <c r="E24" i="16"/>
  <c r="F24" i="16" s="1"/>
  <c r="K25" i="18"/>
  <c r="L25" i="18" s="1"/>
  <c r="M25" i="18" s="1"/>
  <c r="K28" i="18"/>
  <c r="L28" i="18" s="1"/>
  <c r="M28" i="18" s="1"/>
  <c r="D30" i="16"/>
  <c r="F30" i="16" s="1"/>
  <c r="D25" i="16"/>
  <c r="F25" i="16" s="1"/>
  <c r="X34" i="22"/>
  <c r="K36" i="18"/>
  <c r="L36" i="18" s="1"/>
  <c r="M36" i="18" s="1"/>
  <c r="D24" i="10"/>
  <c r="F24" i="10" s="1"/>
  <c r="E29" i="18"/>
  <c r="F29" i="18" s="1"/>
  <c r="K34" i="18"/>
  <c r="L34" i="18" s="1"/>
  <c r="M34" i="18" s="1"/>
  <c r="K32" i="18"/>
  <c r="L32" i="18" s="1"/>
  <c r="M32" i="18" s="1"/>
  <c r="E39" i="10"/>
  <c r="F39" i="10" s="1"/>
  <c r="D27" i="10"/>
  <c r="F27" i="10" s="1"/>
  <c r="D27" i="18"/>
  <c r="F27" i="18" s="1"/>
  <c r="F41" i="16"/>
  <c r="K23" i="18"/>
  <c r="L23" i="18" s="1"/>
  <c r="M23" i="18" s="1"/>
  <c r="K38" i="18"/>
  <c r="L38" i="18" s="1"/>
  <c r="M38" i="18" s="1"/>
  <c r="K33" i="18"/>
  <c r="L33" i="18" s="1"/>
  <c r="M33" i="18" s="1"/>
  <c r="K40" i="18"/>
  <c r="L40" i="18" s="1"/>
  <c r="M40" i="18" s="1"/>
  <c r="F23" i="18"/>
  <c r="F23" i="16"/>
  <c r="E40" i="18"/>
  <c r="F40" i="18" s="1"/>
  <c r="E37" i="10"/>
  <c r="F37" i="10" s="1"/>
  <c r="F41" i="10"/>
  <c r="E42" i="16"/>
  <c r="F42" i="16" s="1"/>
  <c r="E31" i="10"/>
  <c r="F31" i="10" s="1"/>
  <c r="K26" i="16"/>
  <c r="K29" i="16"/>
  <c r="D33" i="10"/>
  <c r="F33" i="10" s="1"/>
  <c r="D41" i="18"/>
  <c r="F41" i="18" s="1"/>
  <c r="K26" i="18"/>
  <c r="L26" i="18" s="1"/>
  <c r="M26" i="18" s="1"/>
  <c r="K39" i="18"/>
  <c r="L39" i="18" s="1"/>
  <c r="M39" i="18" s="1"/>
  <c r="L19" i="18"/>
  <c r="K35" i="18"/>
  <c r="L35" i="18" s="1"/>
  <c r="M35" i="18" s="1"/>
  <c r="F26" i="18"/>
  <c r="D30" i="10"/>
  <c r="F30" i="10" s="1"/>
  <c r="E38" i="18"/>
  <c r="D38" i="18"/>
  <c r="D35" i="18"/>
  <c r="F35" i="18" s="1"/>
  <c r="E40" i="16"/>
  <c r="D40" i="16"/>
  <c r="K35" i="16"/>
  <c r="K28" i="16"/>
  <c r="K8" i="24"/>
  <c r="L7" i="24"/>
  <c r="E38" i="10"/>
  <c r="F38" i="10" s="1"/>
  <c r="K40" i="16"/>
  <c r="K32" i="16"/>
  <c r="J25" i="16"/>
  <c r="K25" i="16" s="1"/>
  <c r="K27" i="16"/>
  <c r="AG4" i="22"/>
  <c r="AJ4" i="22" s="1"/>
  <c r="AG8" i="22"/>
  <c r="AJ8" i="22" s="1"/>
  <c r="AG12" i="22"/>
  <c r="AJ12" i="22" s="1"/>
  <c r="AG16" i="22"/>
  <c r="AJ16" i="22" s="1"/>
  <c r="AG20" i="22"/>
  <c r="AJ20" i="22" s="1"/>
  <c r="AF4" i="22"/>
  <c r="AI4" i="22" s="1"/>
  <c r="AF8" i="22"/>
  <c r="AI8" i="22" s="1"/>
  <c r="AF12" i="22"/>
  <c r="AI12" i="22" s="1"/>
  <c r="AF16" i="22"/>
  <c r="AI16" i="22" s="1"/>
  <c r="AF20" i="22"/>
  <c r="AI20" i="22" s="1"/>
  <c r="AG5" i="22"/>
  <c r="AJ5" i="22" s="1"/>
  <c r="AG9" i="22"/>
  <c r="AJ9" i="22" s="1"/>
  <c r="AG13" i="22"/>
  <c r="AJ13" i="22" s="1"/>
  <c r="AG17" i="22"/>
  <c r="AJ17" i="22" s="1"/>
  <c r="AG21" i="22"/>
  <c r="AJ21" i="22" s="1"/>
  <c r="AF5" i="22"/>
  <c r="AI5" i="22" s="1"/>
  <c r="AF9" i="22"/>
  <c r="AI9" i="22" s="1"/>
  <c r="AF13" i="22"/>
  <c r="AI13" i="22" s="1"/>
  <c r="AF17" i="22"/>
  <c r="AI17" i="22" s="1"/>
  <c r="AF21" i="22"/>
  <c r="AI21" i="22" s="1"/>
  <c r="AG18" i="22"/>
  <c r="AJ18" i="22" s="1"/>
  <c r="AF14" i="22"/>
  <c r="AI14" i="22" s="1"/>
  <c r="AG19" i="22"/>
  <c r="AJ19" i="22" s="1"/>
  <c r="AF15" i="22"/>
  <c r="AI15" i="22" s="1"/>
  <c r="AG11" i="22"/>
  <c r="AJ11" i="22" s="1"/>
  <c r="AF7" i="22"/>
  <c r="AI7" i="22" s="1"/>
  <c r="AF3" i="22"/>
  <c r="AI3" i="22" s="1"/>
  <c r="AF11" i="22"/>
  <c r="AI11" i="22" s="1"/>
  <c r="AG6" i="22"/>
  <c r="AJ6" i="22" s="1"/>
  <c r="AG22" i="22"/>
  <c r="AJ22" i="22" s="1"/>
  <c r="AF18" i="22"/>
  <c r="AI18" i="22" s="1"/>
  <c r="AG7" i="22"/>
  <c r="AJ7" i="22" s="1"/>
  <c r="AG3" i="22"/>
  <c r="AJ3" i="22" s="1"/>
  <c r="AF19" i="22"/>
  <c r="AI19" i="22" s="1"/>
  <c r="AG10" i="22"/>
  <c r="AJ10" i="22" s="1"/>
  <c r="AF6" i="22"/>
  <c r="AI6" i="22" s="1"/>
  <c r="AF22" i="22"/>
  <c r="AI22" i="22" s="1"/>
  <c r="AG14" i="22"/>
  <c r="AJ14" i="22" s="1"/>
  <c r="AF10" i="22"/>
  <c r="AI10" i="22" s="1"/>
  <c r="AG15" i="22"/>
  <c r="AJ15" i="22" s="1"/>
  <c r="D33" i="16"/>
  <c r="E33" i="16"/>
  <c r="K42" i="18"/>
  <c r="L42" i="18" s="1"/>
  <c r="M42" i="18" s="1"/>
  <c r="K27" i="18"/>
  <c r="L27" i="18" s="1"/>
  <c r="M27" i="18" s="1"/>
  <c r="E36" i="10"/>
  <c r="D36" i="10"/>
  <c r="E35" i="16"/>
  <c r="F35" i="16" s="1"/>
  <c r="D39" i="18"/>
  <c r="F39" i="18" s="1"/>
  <c r="J41" i="16"/>
  <c r="K41" i="16" s="1"/>
  <c r="K33" i="16"/>
  <c r="J37" i="16"/>
  <c r="K37" i="16" s="1"/>
  <c r="K39" i="16"/>
  <c r="K42" i="16"/>
  <c r="K29" i="18"/>
  <c r="L29" i="18" s="1"/>
  <c r="M29" i="18" s="1"/>
  <c r="K41" i="18"/>
  <c r="L41" i="18" s="1"/>
  <c r="M41" i="18" s="1"/>
  <c r="F25" i="18"/>
  <c r="D23" i="10"/>
  <c r="F23" i="10" s="1"/>
  <c r="D32" i="18"/>
  <c r="F32" i="18" s="1"/>
  <c r="K36" i="16"/>
  <c r="K30" i="16"/>
  <c r="D40" i="10"/>
  <c r="F40" i="10" s="1"/>
  <c r="E26" i="10"/>
  <c r="D26" i="10"/>
  <c r="E42" i="18"/>
  <c r="D42" i="18"/>
  <c r="K24" i="16"/>
  <c r="E28" i="16"/>
  <c r="D28" i="16"/>
  <c r="E28" i="10"/>
  <c r="F28" i="10" s="1"/>
  <c r="J23" i="16"/>
  <c r="K23" i="16" s="1"/>
  <c r="K38" i="16"/>
  <c r="E38" i="16"/>
  <c r="D38" i="16"/>
  <c r="K31" i="16"/>
  <c r="J34" i="16"/>
  <c r="K34" i="16" s="1"/>
  <c r="F26" i="10" l="1"/>
  <c r="F36" i="10"/>
  <c r="F38" i="16"/>
  <c r="F38" i="18"/>
  <c r="F33" i="16"/>
  <c r="F28" i="16"/>
  <c r="F40" i="16"/>
  <c r="F42" i="18"/>
  <c r="L8" i="24"/>
  <c r="K9" i="24"/>
  <c r="K10" i="24" l="1"/>
  <c r="L9" i="24"/>
  <c r="L10" i="24" l="1"/>
  <c r="K11" i="24"/>
  <c r="K12" i="24" l="1"/>
  <c r="L11" i="24"/>
  <c r="K13" i="24" l="1"/>
  <c r="L12" i="24"/>
  <c r="K14" i="24" l="1"/>
  <c r="L13" i="24"/>
  <c r="K15" i="24" l="1"/>
  <c r="L14" i="24"/>
  <c r="K16" i="24" l="1"/>
  <c r="L15" i="24"/>
  <c r="L16" i="24" l="1"/>
  <c r="K17" i="24"/>
  <c r="K18" i="24" l="1"/>
  <c r="L17" i="24"/>
  <c r="K19" i="24" l="1"/>
  <c r="L18" i="24"/>
  <c r="K20" i="24" l="1"/>
  <c r="L19" i="24"/>
  <c r="L20" i="24" l="1"/>
  <c r="K21" i="24"/>
  <c r="L21" i="24" l="1"/>
  <c r="K22" i="24"/>
  <c r="K23" i="24" l="1"/>
  <c r="L22" i="24"/>
  <c r="K24" i="24" l="1"/>
  <c r="L23" i="24"/>
  <c r="L24" i="24" l="1"/>
  <c r="K25" i="24"/>
  <c r="K26" i="24" l="1"/>
  <c r="L25" i="24"/>
  <c r="K27" i="24" l="1"/>
  <c r="L26" i="24"/>
  <c r="K28" i="24" l="1"/>
  <c r="L27" i="24"/>
  <c r="K29" i="24" l="1"/>
  <c r="L28" i="24"/>
  <c r="K30" i="24" l="1"/>
  <c r="L29" i="24"/>
  <c r="K31" i="24" l="1"/>
  <c r="L30" i="24"/>
  <c r="K32" i="24" l="1"/>
  <c r="L31" i="24"/>
  <c r="L32" i="24" l="1"/>
  <c r="K33" i="24"/>
  <c r="K34" i="24" l="1"/>
  <c r="L33" i="24"/>
  <c r="K35" i="24" l="1"/>
  <c r="L34" i="24"/>
  <c r="K36" i="24" l="1"/>
  <c r="L35" i="24"/>
  <c r="K37" i="24" l="1"/>
  <c r="L36" i="24"/>
  <c r="K38" i="24" l="1"/>
  <c r="L37" i="24"/>
  <c r="K39" i="24" l="1"/>
  <c r="L38" i="24"/>
  <c r="K40" i="24" l="1"/>
  <c r="L39" i="24"/>
  <c r="L40" i="24" l="1"/>
  <c r="K41" i="24"/>
  <c r="L41" i="24" l="1"/>
  <c r="K42" i="24"/>
  <c r="L42" i="24" l="1"/>
  <c r="K43" i="24"/>
  <c r="K44" i="24" l="1"/>
  <c r="L43" i="24"/>
  <c r="K45" i="24" l="1"/>
  <c r="L44" i="24"/>
  <c r="K46" i="24" l="1"/>
  <c r="L45" i="24"/>
  <c r="K47" i="24" l="1"/>
  <c r="L46" i="24"/>
  <c r="L47" i="24" l="1"/>
  <c r="K48" i="24"/>
  <c r="L48" i="24" l="1"/>
  <c r="K49" i="24"/>
  <c r="K50" i="24" l="1"/>
  <c r="L49" i="24"/>
  <c r="K51" i="24" l="1"/>
  <c r="L50" i="24"/>
  <c r="K52" i="24" l="1"/>
  <c r="L51" i="24"/>
  <c r="K53" i="24" l="1"/>
  <c r="L52" i="24"/>
  <c r="K54" i="24" l="1"/>
  <c r="L53" i="24"/>
  <c r="K55" i="24" l="1"/>
  <c r="L54" i="24"/>
  <c r="K56" i="24" l="1"/>
  <c r="L55" i="24"/>
  <c r="L56" i="24" l="1"/>
  <c r="K57" i="24"/>
  <c r="K58" i="24" l="1"/>
  <c r="L57" i="24"/>
  <c r="K59" i="24" l="1"/>
  <c r="L58" i="24"/>
  <c r="K60" i="24" l="1"/>
  <c r="L59" i="24"/>
  <c r="K61" i="24" l="1"/>
  <c r="L60" i="24"/>
  <c r="K62" i="24" l="1"/>
  <c r="L61" i="24"/>
  <c r="K63" i="24" l="1"/>
  <c r="L62" i="24"/>
  <c r="K64" i="24" l="1"/>
  <c r="L63" i="24"/>
  <c r="L64" i="24" l="1"/>
  <c r="K65" i="24"/>
  <c r="K66" i="24" l="1"/>
  <c r="L65" i="24"/>
  <c r="K67" i="24" l="1"/>
  <c r="L66" i="24"/>
  <c r="K68" i="24" l="1"/>
  <c r="L67" i="24"/>
  <c r="L68" i="24" l="1"/>
  <c r="K69" i="24"/>
  <c r="K70" i="24" l="1"/>
  <c r="L69" i="24"/>
  <c r="K71" i="24" l="1"/>
  <c r="L70" i="24"/>
  <c r="K72" i="24" l="1"/>
  <c r="L71" i="24"/>
  <c r="L72" i="24" l="1"/>
  <c r="K73" i="24"/>
  <c r="K74" i="24" l="1"/>
  <c r="L73" i="24"/>
  <c r="L74" i="24" l="1"/>
  <c r="K75" i="24"/>
  <c r="K76" i="24" l="1"/>
  <c r="L75" i="24"/>
  <c r="K77" i="24" l="1"/>
  <c r="L76" i="24"/>
  <c r="K78" i="24" l="1"/>
  <c r="L77" i="24"/>
  <c r="L78" i="24" l="1"/>
  <c r="K79" i="24"/>
  <c r="K80" i="24" l="1"/>
  <c r="L79" i="24"/>
  <c r="L80" i="24" l="1"/>
  <c r="K81" i="24"/>
  <c r="K82" i="24" l="1"/>
  <c r="L81" i="24"/>
  <c r="K83" i="24" l="1"/>
  <c r="L82" i="24"/>
  <c r="K84" i="24" l="1"/>
  <c r="L83" i="24"/>
  <c r="K85" i="24" l="1"/>
  <c r="L84" i="24"/>
  <c r="K86" i="24" l="1"/>
  <c r="L85" i="24"/>
  <c r="K87" i="24" l="1"/>
  <c r="L86" i="24"/>
  <c r="K88" i="24" l="1"/>
  <c r="L87" i="24"/>
  <c r="L88" i="24" l="1"/>
  <c r="K89" i="24"/>
  <c r="K90" i="24" l="1"/>
  <c r="L89" i="24"/>
  <c r="K91" i="24" l="1"/>
  <c r="L90" i="24"/>
  <c r="K92" i="24" l="1"/>
  <c r="L91" i="24"/>
  <c r="K93" i="24" l="1"/>
  <c r="L92" i="24"/>
  <c r="L93" i="24" l="1"/>
  <c r="K94" i="24"/>
  <c r="K95" i="24" l="1"/>
  <c r="L94" i="24"/>
  <c r="K96" i="24" l="1"/>
  <c r="L95" i="24"/>
  <c r="L96" i="24" l="1"/>
  <c r="K97" i="24"/>
  <c r="K98" i="24" l="1"/>
  <c r="L97" i="24"/>
  <c r="K99" i="24" l="1"/>
  <c r="L98" i="24"/>
  <c r="K100" i="24" l="1"/>
  <c r="L99" i="24"/>
  <c r="K101" i="24" l="1"/>
  <c r="L100" i="24"/>
  <c r="L101" i="24" l="1"/>
  <c r="K102" i="24"/>
  <c r="L102" i="24" l="1"/>
  <c r="K103" i="24"/>
  <c r="K104" i="24" l="1"/>
  <c r="L103" i="24"/>
  <c r="L104" i="24" l="1"/>
  <c r="K105" i="24"/>
  <c r="K106" i="24" l="1"/>
  <c r="L105" i="24"/>
  <c r="K107" i="24" l="1"/>
  <c r="L106" i="24"/>
  <c r="K108" i="24" l="1"/>
  <c r="L107" i="24"/>
  <c r="K109" i="24" l="1"/>
  <c r="L108" i="24"/>
  <c r="K110" i="24" l="1"/>
  <c r="L109" i="24"/>
  <c r="K111" i="24" l="1"/>
  <c r="L110" i="24"/>
  <c r="L111" i="24" l="1"/>
  <c r="K112" i="24"/>
  <c r="K113" i="24" l="1"/>
  <c r="L112" i="24"/>
  <c r="K114" i="24" l="1"/>
  <c r="L113" i="24"/>
  <c r="L114" i="24" l="1"/>
  <c r="K115" i="24"/>
  <c r="K116" i="24" l="1"/>
  <c r="L115" i="24"/>
  <c r="K117" i="24" l="1"/>
  <c r="L116" i="24"/>
  <c r="K118" i="24" l="1"/>
  <c r="L117" i="24"/>
  <c r="K119" i="24" l="1"/>
  <c r="L118" i="24"/>
  <c r="K120" i="24" l="1"/>
  <c r="L119" i="24"/>
  <c r="L120" i="24" l="1"/>
  <c r="K121" i="24"/>
  <c r="K122" i="24" l="1"/>
  <c r="L121" i="24"/>
  <c r="K123" i="24" l="1"/>
  <c r="L122" i="24"/>
  <c r="K124" i="24" l="1"/>
  <c r="L123" i="24"/>
  <c r="L124" i="24" l="1"/>
  <c r="K125" i="24"/>
  <c r="K126" i="24" l="1"/>
  <c r="L125" i="24"/>
  <c r="K127" i="24" l="1"/>
  <c r="L126" i="24"/>
  <c r="K128" i="24" l="1"/>
  <c r="L127" i="24"/>
  <c r="L128" i="24" l="1"/>
  <c r="K129" i="24"/>
  <c r="K130" i="24" l="1"/>
  <c r="L129" i="24"/>
  <c r="K131" i="24" l="1"/>
  <c r="L130" i="24"/>
  <c r="K132" i="24" l="1"/>
  <c r="L131" i="24"/>
  <c r="K133" i="24" l="1"/>
  <c r="L132" i="24"/>
  <c r="K134" i="24" l="1"/>
  <c r="L133" i="24"/>
  <c r="K135" i="24" l="1"/>
  <c r="L134" i="24"/>
  <c r="K136" i="24" l="1"/>
  <c r="L135" i="24"/>
  <c r="L136" i="24" l="1"/>
  <c r="K137" i="24"/>
  <c r="K138" i="24" l="1"/>
  <c r="L137" i="24"/>
  <c r="L138" i="24" l="1"/>
  <c r="K139" i="24"/>
  <c r="K140" i="24" l="1"/>
  <c r="L139" i="24"/>
  <c r="K141" i="24" l="1"/>
  <c r="L140" i="24"/>
  <c r="K142" i="24" l="1"/>
  <c r="L141" i="24"/>
  <c r="L142" i="24" l="1"/>
  <c r="K143" i="24"/>
  <c r="K144" i="24" l="1"/>
  <c r="L143" i="24"/>
  <c r="L144" i="24" l="1"/>
  <c r="K145" i="24"/>
  <c r="K146" i="24" l="1"/>
  <c r="L145" i="24"/>
  <c r="K147" i="24" l="1"/>
  <c r="L146" i="24"/>
  <c r="K148" i="24" l="1"/>
  <c r="L147" i="24"/>
  <c r="L148" i="24" l="1"/>
  <c r="K149" i="24"/>
  <c r="K150" i="24" l="1"/>
  <c r="L149" i="24"/>
  <c r="K151" i="24" l="1"/>
  <c r="L150" i="24"/>
  <c r="L151" i="24" l="1"/>
  <c r="K152" i="24"/>
  <c r="L152" i="24" l="1"/>
  <c r="K153" i="24"/>
  <c r="K154" i="24" l="1"/>
  <c r="L153" i="24"/>
  <c r="K155" i="24" l="1"/>
  <c r="L154" i="24"/>
  <c r="K156" i="24" l="1"/>
  <c r="L155" i="24"/>
  <c r="K157" i="24" l="1"/>
  <c r="L156" i="24"/>
  <c r="K158" i="24" l="1"/>
  <c r="L157" i="24"/>
  <c r="K159" i="24" l="1"/>
  <c r="L158" i="24"/>
  <c r="K160" i="24" l="1"/>
  <c r="L159" i="24"/>
  <c r="L160" i="24" l="1"/>
  <c r="K161" i="24"/>
  <c r="K162" i="24" l="1"/>
  <c r="L161" i="24"/>
  <c r="K163" i="24" l="1"/>
  <c r="L162" i="24"/>
  <c r="K164" i="24" l="1"/>
  <c r="L163" i="24"/>
  <c r="K165" i="24" l="1"/>
  <c r="L164" i="24"/>
  <c r="K166" i="24" l="1"/>
  <c r="L165" i="24"/>
  <c r="L166" i="24" l="1"/>
  <c r="K167" i="24"/>
  <c r="K168" i="24" l="1"/>
  <c r="L167" i="24"/>
  <c r="L168" i="24" l="1"/>
  <c r="K169" i="24"/>
  <c r="L169" i="24" l="1"/>
  <c r="K170" i="24"/>
  <c r="K171" i="24" l="1"/>
  <c r="L170" i="24"/>
  <c r="K172" i="24" l="1"/>
  <c r="L171" i="24"/>
  <c r="K173" i="24" l="1"/>
  <c r="L172" i="24"/>
  <c r="K174" i="24" l="1"/>
  <c r="L173" i="24"/>
  <c r="K175" i="24" l="1"/>
  <c r="L174" i="24"/>
  <c r="L175" i="24" l="1"/>
  <c r="K176" i="24"/>
  <c r="K177" i="24" l="1"/>
  <c r="L176" i="24"/>
  <c r="K178" i="24" l="1"/>
  <c r="L177" i="24"/>
  <c r="K179" i="24" l="1"/>
  <c r="L178" i="24"/>
  <c r="K180" i="24" l="1"/>
  <c r="L179" i="24"/>
  <c r="K181" i="24" l="1"/>
  <c r="L180" i="24"/>
  <c r="K182" i="24" l="1"/>
  <c r="L181" i="24"/>
  <c r="K183" i="24" l="1"/>
  <c r="L182" i="24"/>
  <c r="K184" i="24" l="1"/>
  <c r="L183" i="24"/>
  <c r="L184" i="24" l="1"/>
  <c r="K185" i="24"/>
  <c r="K186" i="24" l="1"/>
  <c r="L185" i="24"/>
  <c r="K187" i="24" l="1"/>
  <c r="L186" i="24"/>
  <c r="K188" i="24" l="1"/>
  <c r="L187" i="24"/>
  <c r="K189" i="24" l="1"/>
  <c r="L188" i="24"/>
  <c r="K190" i="24" l="1"/>
  <c r="L189" i="24"/>
  <c r="K191" i="24" l="1"/>
  <c r="L190" i="24"/>
  <c r="K192" i="24" l="1"/>
  <c r="L191" i="24"/>
  <c r="L192" i="24" l="1"/>
  <c r="K193" i="24"/>
  <c r="L193" i="24" l="1"/>
  <c r="K194" i="24"/>
  <c r="K195" i="24" l="1"/>
  <c r="L194" i="24"/>
  <c r="K196" i="24" l="1"/>
  <c r="L195" i="24"/>
  <c r="K197" i="24" l="1"/>
  <c r="L196" i="24"/>
  <c r="K198" i="24" l="1"/>
  <c r="L197" i="24"/>
  <c r="K199" i="24" l="1"/>
  <c r="L198" i="24"/>
  <c r="K200" i="24" l="1"/>
  <c r="L199" i="24"/>
  <c r="L200" i="24" l="1"/>
  <c r="K201" i="24"/>
  <c r="K202" i="24" l="1"/>
  <c r="L201" i="24"/>
  <c r="L202" i="24" l="1"/>
  <c r="K203" i="24"/>
  <c r="K204" i="24" l="1"/>
  <c r="L203" i="24"/>
  <c r="K205" i="24" l="1"/>
  <c r="L204" i="24"/>
  <c r="K206" i="24" l="1"/>
  <c r="L205" i="24"/>
  <c r="K207" i="24" l="1"/>
  <c r="L206" i="24"/>
  <c r="K208" i="24" l="1"/>
  <c r="L207" i="24"/>
  <c r="L208" i="24" l="1"/>
  <c r="K209" i="24"/>
  <c r="L209" i="24" l="1"/>
  <c r="K210" i="24"/>
  <c r="K211" i="24" l="1"/>
  <c r="L210" i="24"/>
  <c r="K212" i="24" l="1"/>
  <c r="L211" i="24"/>
  <c r="L212" i="24" l="1"/>
  <c r="K213" i="24"/>
  <c r="K214" i="24" l="1"/>
  <c r="L213" i="24"/>
  <c r="K215" i="24" l="1"/>
  <c r="L214" i="24"/>
  <c r="L215" i="24" l="1"/>
  <c r="K216" i="24"/>
  <c r="L216" i="24" l="1"/>
  <c r="K217" i="24"/>
  <c r="K218" i="24" l="1"/>
  <c r="L217" i="24"/>
  <c r="L218" i="24" l="1"/>
  <c r="K219" i="24"/>
  <c r="K220" i="24" l="1"/>
  <c r="L219" i="24"/>
  <c r="K221" i="24" l="1"/>
  <c r="L220" i="24"/>
  <c r="K222" i="24" l="1"/>
  <c r="L221" i="24"/>
  <c r="K223" i="24" l="1"/>
  <c r="L222" i="24"/>
  <c r="K224" i="24" l="1"/>
  <c r="L223" i="24"/>
  <c r="K225" i="24" l="1"/>
  <c r="L224" i="24"/>
  <c r="K226" i="24" l="1"/>
  <c r="L225" i="24"/>
  <c r="K227" i="24" l="1"/>
  <c r="L226" i="24"/>
  <c r="K228" i="24" l="1"/>
  <c r="L227" i="24"/>
  <c r="K229" i="24" l="1"/>
  <c r="L228" i="24"/>
  <c r="K230" i="24" l="1"/>
  <c r="L229" i="24"/>
  <c r="K231" i="24" l="1"/>
  <c r="L230" i="24"/>
  <c r="K232" i="24" l="1"/>
  <c r="L231" i="24"/>
  <c r="K233" i="24" l="1"/>
  <c r="L232" i="24"/>
  <c r="L233" i="24" l="1"/>
  <c r="K234" i="24"/>
  <c r="K235" i="24" l="1"/>
  <c r="L234" i="24"/>
  <c r="K236" i="24" l="1"/>
  <c r="L235" i="24"/>
  <c r="K237" i="24" l="1"/>
  <c r="L236" i="24"/>
  <c r="K238" i="24" l="1"/>
  <c r="L237" i="24"/>
  <c r="K239" i="24" l="1"/>
  <c r="L238" i="24"/>
  <c r="K240" i="24" l="1"/>
  <c r="L239" i="24"/>
  <c r="K241" i="24" l="1"/>
  <c r="L240" i="24"/>
  <c r="K242" i="24" l="1"/>
  <c r="L241" i="24"/>
  <c r="L242" i="24" l="1"/>
  <c r="K243" i="24"/>
  <c r="K244" i="24" l="1"/>
  <c r="L243" i="24"/>
  <c r="K245" i="24" l="1"/>
  <c r="L244" i="24"/>
  <c r="K246" i="24" l="1"/>
  <c r="L245" i="24"/>
  <c r="K247" i="24" l="1"/>
  <c r="L246" i="24"/>
  <c r="K248" i="24" l="1"/>
  <c r="L247" i="24"/>
  <c r="L248" i="24" l="1"/>
  <c r="K249" i="24"/>
  <c r="K250" i="24" l="1"/>
  <c r="L249" i="24"/>
  <c r="K251" i="24" l="1"/>
  <c r="L250" i="24"/>
  <c r="K252" i="24" l="1"/>
  <c r="L251" i="24"/>
  <c r="K253" i="24" l="1"/>
  <c r="L252" i="24"/>
  <c r="K254" i="24" l="1"/>
  <c r="L253" i="24"/>
  <c r="K255" i="24" l="1"/>
  <c r="L254" i="24"/>
  <c r="L255" i="24" l="1"/>
  <c r="K256" i="24"/>
  <c r="K257" i="24" l="1"/>
  <c r="L256" i="24"/>
  <c r="K258" i="24" l="1"/>
  <c r="L257" i="24"/>
  <c r="K259" i="24" l="1"/>
  <c r="L258" i="24"/>
  <c r="K260" i="24" l="1"/>
  <c r="L259" i="24"/>
  <c r="K261" i="24" l="1"/>
  <c r="L260" i="24"/>
  <c r="K262" i="24" l="1"/>
  <c r="L261" i="24"/>
  <c r="K263" i="24" l="1"/>
  <c r="L262" i="24"/>
  <c r="K264" i="24" l="1"/>
  <c r="L263" i="24"/>
  <c r="L264" i="24" l="1"/>
  <c r="K265" i="24"/>
  <c r="K266" i="24" l="1"/>
  <c r="L265" i="24"/>
  <c r="L266" i="24" l="1"/>
  <c r="K267" i="24"/>
  <c r="K268" i="24" l="1"/>
  <c r="L267" i="24"/>
  <c r="K269" i="24" l="1"/>
  <c r="L268" i="24"/>
  <c r="K270" i="24" l="1"/>
  <c r="L269" i="24"/>
  <c r="L270" i="24" l="1"/>
  <c r="K271" i="24"/>
  <c r="K272" i="24" l="1"/>
  <c r="L271" i="24"/>
  <c r="K273" i="24" l="1"/>
  <c r="L272" i="24"/>
  <c r="L273" i="24" l="1"/>
  <c r="K274" i="24"/>
  <c r="K275" i="24" l="1"/>
  <c r="L274" i="24"/>
  <c r="K276" i="24" l="1"/>
  <c r="L275" i="24"/>
  <c r="K277" i="24" l="1"/>
  <c r="L276" i="24"/>
  <c r="K278" i="24" l="1"/>
  <c r="L277" i="24"/>
  <c r="K279" i="24" l="1"/>
  <c r="L278" i="24"/>
  <c r="K280" i="24" l="1"/>
  <c r="L279" i="24"/>
  <c r="K281" i="24" l="1"/>
  <c r="L280" i="24"/>
  <c r="K282" i="24" l="1"/>
  <c r="L281" i="24"/>
  <c r="L282" i="24" l="1"/>
  <c r="K283" i="24"/>
  <c r="K284" i="24" l="1"/>
  <c r="L283" i="24"/>
  <c r="K285" i="24" l="1"/>
  <c r="L284" i="24"/>
  <c r="K286" i="24" l="1"/>
  <c r="L285" i="24"/>
  <c r="K287" i="24" l="1"/>
  <c r="L286" i="24"/>
  <c r="K288" i="24" l="1"/>
  <c r="L287" i="24"/>
  <c r="L288" i="24" l="1"/>
  <c r="K289" i="24"/>
  <c r="K290" i="24" l="1"/>
  <c r="L289" i="24"/>
  <c r="K291" i="24" l="1"/>
  <c r="L290" i="24"/>
  <c r="K292" i="24" l="1"/>
  <c r="L291" i="24"/>
  <c r="L292" i="24" l="1"/>
  <c r="K293" i="24"/>
  <c r="K294" i="24" l="1"/>
  <c r="L293" i="24"/>
  <c r="K295" i="24" l="1"/>
  <c r="L294" i="24"/>
  <c r="K296" i="24" l="1"/>
  <c r="L295" i="24"/>
  <c r="K297" i="24" l="1"/>
  <c r="L296" i="24"/>
  <c r="K298" i="24" l="1"/>
  <c r="L297" i="24"/>
  <c r="K299" i="24" l="1"/>
  <c r="L298" i="24"/>
  <c r="K300" i="24" l="1"/>
  <c r="L299" i="24"/>
  <c r="K301" i="24" l="1"/>
  <c r="L300" i="24"/>
  <c r="K302" i="24" l="1"/>
  <c r="L301" i="24"/>
  <c r="K303" i="24" l="1"/>
  <c r="L302" i="24"/>
  <c r="K304" i="24" l="1"/>
  <c r="L303" i="24"/>
  <c r="K305" i="24" l="1"/>
  <c r="L304" i="24"/>
  <c r="K306" i="24" l="1"/>
  <c r="L305" i="24"/>
  <c r="L306" i="24" l="1"/>
  <c r="K307" i="24"/>
  <c r="K308" i="24" l="1"/>
  <c r="L307" i="24"/>
  <c r="K309" i="24" l="1"/>
  <c r="L308" i="24"/>
  <c r="K310" i="24" l="1"/>
  <c r="L309" i="24"/>
  <c r="K311" i="24" l="1"/>
  <c r="L310" i="24"/>
  <c r="K312" i="24" l="1"/>
  <c r="L311" i="24"/>
  <c r="K313" i="24" l="1"/>
  <c r="L312" i="24"/>
  <c r="K314" i="24" l="1"/>
  <c r="L313" i="24"/>
  <c r="K315" i="24" l="1"/>
  <c r="L314" i="24"/>
  <c r="K316" i="24" l="1"/>
  <c r="L315" i="24"/>
  <c r="K317" i="24" l="1"/>
  <c r="L316" i="24"/>
  <c r="K318" i="24" l="1"/>
  <c r="L317" i="24"/>
  <c r="K319" i="24" l="1"/>
  <c r="L318" i="24"/>
  <c r="K320" i="24" l="1"/>
  <c r="L319" i="24"/>
  <c r="L320" i="24" l="1"/>
  <c r="K321" i="24"/>
  <c r="K322" i="24" l="1"/>
  <c r="L321" i="24"/>
  <c r="K323" i="24" l="1"/>
  <c r="L322" i="24"/>
  <c r="K324" i="24" l="1"/>
  <c r="L323" i="24"/>
  <c r="K325" i="24" l="1"/>
  <c r="L324" i="24"/>
  <c r="K326" i="24" l="1"/>
  <c r="L325" i="24"/>
  <c r="K327" i="24" l="1"/>
  <c r="L326" i="24"/>
  <c r="K328" i="24" l="1"/>
  <c r="L327" i="24"/>
  <c r="L328" i="24" l="1"/>
  <c r="K329" i="24"/>
  <c r="K330" i="24" l="1"/>
  <c r="L329" i="24"/>
  <c r="L330" i="24" l="1"/>
  <c r="K331" i="24"/>
  <c r="K332" i="24" l="1"/>
  <c r="L331" i="24"/>
  <c r="K333" i="24" l="1"/>
  <c r="L332" i="24"/>
  <c r="K334" i="24" l="1"/>
  <c r="L333" i="24"/>
  <c r="K335" i="24" l="1"/>
  <c r="L334" i="24"/>
  <c r="K336" i="24" l="1"/>
  <c r="L335" i="24"/>
  <c r="K337" i="24" l="1"/>
  <c r="L336" i="24"/>
  <c r="K338" i="24" l="1"/>
  <c r="L337" i="24"/>
  <c r="L338" i="24" l="1"/>
  <c r="K339" i="24"/>
  <c r="K340" i="24" l="1"/>
  <c r="L339" i="24"/>
  <c r="K341" i="24" l="1"/>
  <c r="L340" i="24"/>
  <c r="K342" i="24" l="1"/>
  <c r="L341" i="24"/>
  <c r="K343" i="24" l="1"/>
  <c r="L342" i="24"/>
  <c r="K344" i="24" l="1"/>
  <c r="L343" i="24"/>
  <c r="K345" i="24" l="1"/>
  <c r="L344" i="24"/>
  <c r="K346" i="24" l="1"/>
  <c r="L345" i="24"/>
  <c r="L346" i="24" l="1"/>
  <c r="K347" i="24"/>
  <c r="K348" i="24" l="1"/>
  <c r="L347" i="24"/>
  <c r="K349" i="24" l="1"/>
  <c r="L348" i="24"/>
  <c r="K350" i="24" l="1"/>
  <c r="L349" i="24"/>
  <c r="K351" i="24" l="1"/>
  <c r="L350" i="24"/>
  <c r="K352" i="24" l="1"/>
  <c r="L351" i="24"/>
  <c r="K353" i="24" l="1"/>
  <c r="L352" i="24"/>
  <c r="K354" i="24" l="1"/>
  <c r="L353" i="24"/>
  <c r="K355" i="24" l="1"/>
  <c r="L354" i="24"/>
  <c r="K356" i="24" l="1"/>
  <c r="L355" i="24"/>
  <c r="K357" i="24" l="1"/>
  <c r="L356" i="24"/>
  <c r="K358" i="24" l="1"/>
  <c r="L357" i="24"/>
  <c r="K359" i="24" l="1"/>
  <c r="L358" i="24"/>
  <c r="K360" i="24" l="1"/>
  <c r="L359" i="24"/>
  <c r="K361" i="24" l="1"/>
  <c r="L360" i="24"/>
  <c r="K362" i="24" l="1"/>
  <c r="L361" i="24"/>
  <c r="K363" i="24" l="1"/>
  <c r="L362" i="24"/>
  <c r="K364" i="24" l="1"/>
  <c r="L363" i="24"/>
  <c r="K365" i="24" l="1"/>
  <c r="L364" i="24"/>
  <c r="K366" i="24" l="1"/>
  <c r="L365" i="24"/>
  <c r="K367" i="24" l="1"/>
  <c r="L366" i="24"/>
  <c r="K368" i="24" l="1"/>
  <c r="L367" i="24"/>
  <c r="K369" i="24" l="1"/>
  <c r="L368" i="24"/>
  <c r="K370" i="24" l="1"/>
  <c r="L369" i="24"/>
  <c r="L370" i="24" l="1"/>
  <c r="K371" i="24"/>
  <c r="K372" i="24" l="1"/>
  <c r="L371" i="24"/>
  <c r="K373" i="24" l="1"/>
  <c r="L372" i="24"/>
  <c r="K374" i="24" l="1"/>
  <c r="L373" i="24"/>
  <c r="K375" i="24" l="1"/>
  <c r="L374" i="24"/>
  <c r="K376" i="24" l="1"/>
  <c r="L375" i="24"/>
  <c r="L376" i="24" l="1"/>
  <c r="K377" i="24"/>
  <c r="K378" i="24" l="1"/>
  <c r="L377" i="24"/>
  <c r="K379" i="24" l="1"/>
  <c r="L378" i="24"/>
  <c r="K380" i="24" l="1"/>
  <c r="L379" i="24"/>
  <c r="L380" i="24" l="1"/>
  <c r="K381" i="24"/>
  <c r="K382" i="24" l="1"/>
  <c r="L381" i="24"/>
  <c r="K383" i="24" l="1"/>
  <c r="L382" i="24"/>
  <c r="K384" i="24" l="1"/>
  <c r="L383" i="24"/>
  <c r="K385" i="24" l="1"/>
  <c r="L384" i="24"/>
  <c r="K386" i="24" l="1"/>
  <c r="L385" i="24"/>
  <c r="K387" i="24" l="1"/>
  <c r="L386" i="24"/>
  <c r="K388" i="24" l="1"/>
  <c r="L387" i="24"/>
  <c r="K389" i="24" l="1"/>
  <c r="L388" i="24"/>
  <c r="K390" i="24" l="1"/>
  <c r="L389" i="24"/>
  <c r="K391" i="24" l="1"/>
  <c r="L390" i="24"/>
  <c r="K392" i="24" l="1"/>
  <c r="L391" i="24"/>
  <c r="K393" i="24" l="1"/>
  <c r="L392" i="24"/>
  <c r="K394" i="24" l="1"/>
  <c r="L393" i="24"/>
  <c r="L394" i="24" l="1"/>
  <c r="K395" i="24"/>
  <c r="K396" i="24" l="1"/>
  <c r="L395" i="24"/>
  <c r="K397" i="24" l="1"/>
  <c r="L396" i="24"/>
  <c r="K398" i="24" l="1"/>
  <c r="L397" i="24"/>
  <c r="K399" i="24" l="1"/>
  <c r="L398" i="24"/>
  <c r="K400" i="24" l="1"/>
  <c r="L399" i="24"/>
  <c r="K401" i="24" l="1"/>
  <c r="L400" i="24"/>
  <c r="K402" i="24" l="1"/>
  <c r="L401" i="24"/>
  <c r="L402" i="24" l="1"/>
  <c r="K403" i="24"/>
  <c r="K404" i="24" l="1"/>
  <c r="L403" i="24"/>
  <c r="K405" i="24" l="1"/>
  <c r="L404" i="24"/>
  <c r="K406" i="24" l="1"/>
  <c r="L405" i="24"/>
  <c r="K407" i="24" l="1"/>
  <c r="L406" i="24"/>
  <c r="K408" i="24" l="1"/>
  <c r="L407" i="24"/>
  <c r="K409" i="24" l="1"/>
  <c r="L408" i="24"/>
  <c r="K410" i="24" l="1"/>
  <c r="L409" i="24"/>
  <c r="L410" i="24" l="1"/>
  <c r="K411" i="24"/>
  <c r="K412" i="24" l="1"/>
  <c r="L411" i="24"/>
  <c r="K413" i="24" l="1"/>
  <c r="L412" i="24"/>
  <c r="K414" i="24" l="1"/>
  <c r="L413" i="24"/>
  <c r="K415" i="24" l="1"/>
  <c r="L414" i="24"/>
  <c r="K416" i="24" l="1"/>
  <c r="L415" i="24"/>
  <c r="K417" i="24" l="1"/>
  <c r="L416" i="24"/>
  <c r="K418" i="24" l="1"/>
  <c r="L417" i="24"/>
  <c r="L418" i="24" l="1"/>
  <c r="K419" i="24"/>
  <c r="K420" i="24" l="1"/>
  <c r="L419" i="24"/>
  <c r="K421" i="24" l="1"/>
  <c r="L420" i="24"/>
  <c r="K422" i="24" l="1"/>
  <c r="L421" i="24"/>
  <c r="K423" i="24" l="1"/>
  <c r="L422" i="24"/>
  <c r="K424" i="24" l="1"/>
  <c r="L423" i="24"/>
  <c r="K425" i="24" l="1"/>
  <c r="L424" i="24"/>
  <c r="K426" i="24" l="1"/>
  <c r="L425" i="24"/>
  <c r="L426" i="24" l="1"/>
  <c r="K427" i="24"/>
  <c r="K428" i="24" l="1"/>
  <c r="L427" i="24"/>
  <c r="K429" i="24" l="1"/>
  <c r="L428" i="24"/>
  <c r="K430" i="24" l="1"/>
  <c r="L429" i="24"/>
  <c r="K431" i="24" l="1"/>
  <c r="L430" i="24"/>
  <c r="K432" i="24" l="1"/>
  <c r="L431" i="24"/>
  <c r="L432" i="24" l="1"/>
  <c r="K433" i="24"/>
  <c r="K434" i="24" l="1"/>
  <c r="L433" i="24"/>
  <c r="K435" i="24" l="1"/>
  <c r="L434" i="24"/>
  <c r="K436" i="24" l="1"/>
  <c r="L435" i="24"/>
  <c r="K437" i="24" l="1"/>
  <c r="L436" i="24"/>
  <c r="K438" i="24" l="1"/>
  <c r="L437" i="24"/>
  <c r="K439" i="24" l="1"/>
  <c r="L438" i="24"/>
  <c r="K440" i="24" l="1"/>
  <c r="L439" i="24"/>
  <c r="K441" i="24" l="1"/>
  <c r="L440" i="24"/>
  <c r="L441" i="24" l="1"/>
  <c r="K442" i="24"/>
  <c r="K443" i="24" l="1"/>
  <c r="L442" i="24"/>
  <c r="K444" i="24" l="1"/>
  <c r="L443" i="24"/>
  <c r="K445" i="24" l="1"/>
  <c r="L444" i="24"/>
  <c r="K446" i="24" l="1"/>
  <c r="L445" i="24"/>
  <c r="K447" i="24" l="1"/>
  <c r="L446" i="24"/>
  <c r="K448" i="24" l="1"/>
  <c r="L447" i="24"/>
  <c r="K449" i="24" l="1"/>
  <c r="L448" i="24"/>
  <c r="K450" i="24" l="1"/>
  <c r="L449" i="24"/>
  <c r="K451" i="24" l="1"/>
  <c r="L450" i="24"/>
  <c r="K452" i="24" l="1"/>
  <c r="L451" i="24"/>
  <c r="K453" i="24" l="1"/>
  <c r="L452" i="24"/>
  <c r="K454" i="24" l="1"/>
  <c r="L453" i="24"/>
  <c r="K455" i="24" l="1"/>
  <c r="L454" i="24"/>
  <c r="K456" i="24" l="1"/>
  <c r="L455" i="24"/>
  <c r="K457" i="24" l="1"/>
  <c r="L456" i="24"/>
  <c r="K458" i="24" l="1"/>
  <c r="L457" i="24"/>
  <c r="K459" i="24" l="1"/>
  <c r="L458" i="24"/>
  <c r="K460" i="24" l="1"/>
  <c r="L459" i="24"/>
  <c r="K461" i="24" l="1"/>
  <c r="L460" i="24"/>
  <c r="K462" i="24" l="1"/>
  <c r="L461" i="24"/>
  <c r="K463" i="24" l="1"/>
  <c r="L462" i="24"/>
  <c r="K464" i="24" l="1"/>
  <c r="L463" i="24"/>
  <c r="L464" i="24" l="1"/>
  <c r="K465" i="24"/>
  <c r="K466" i="24" l="1"/>
  <c r="L465" i="24"/>
  <c r="K467" i="24" l="1"/>
  <c r="L466" i="24"/>
  <c r="K468" i="24" l="1"/>
  <c r="L467" i="24"/>
  <c r="K469" i="24" l="1"/>
  <c r="L468" i="24"/>
  <c r="K470" i="24" l="1"/>
  <c r="L469" i="24"/>
  <c r="K471" i="24" l="1"/>
  <c r="L470" i="24"/>
  <c r="K472" i="24" l="1"/>
  <c r="L471" i="24"/>
  <c r="K473" i="24" l="1"/>
  <c r="L472" i="24"/>
  <c r="L473" i="24" l="1"/>
  <c r="K474" i="24"/>
  <c r="K475" i="24" l="1"/>
  <c r="L474" i="24"/>
  <c r="K476" i="24" l="1"/>
  <c r="L475" i="24"/>
  <c r="K477" i="24" l="1"/>
  <c r="L476" i="24"/>
  <c r="K478" i="24" l="1"/>
  <c r="L477" i="24"/>
  <c r="K479" i="24" l="1"/>
  <c r="L478" i="24"/>
  <c r="K480" i="24" l="1"/>
  <c r="L479" i="24"/>
  <c r="K481" i="24" l="1"/>
  <c r="L480" i="24"/>
  <c r="K482" i="24" l="1"/>
  <c r="L481" i="24"/>
  <c r="K483" i="24" l="1"/>
  <c r="L482" i="24"/>
  <c r="K484" i="24" l="1"/>
  <c r="L483" i="24"/>
  <c r="K485" i="24" l="1"/>
  <c r="L484" i="24"/>
  <c r="K486" i="24" l="1"/>
  <c r="L485" i="24"/>
  <c r="K487" i="24" l="1"/>
  <c r="L486" i="24"/>
  <c r="K488" i="24" l="1"/>
  <c r="L487" i="24"/>
  <c r="K489" i="24" l="1"/>
  <c r="L488" i="24"/>
  <c r="K490" i="24" l="1"/>
  <c r="L489" i="24"/>
  <c r="K491" i="24" l="1"/>
  <c r="L490" i="24"/>
  <c r="K492" i="24" l="1"/>
  <c r="L491" i="24"/>
  <c r="K493" i="24" l="1"/>
  <c r="L492" i="24"/>
  <c r="K494" i="24" l="1"/>
  <c r="L493" i="24"/>
  <c r="K495" i="24" l="1"/>
  <c r="L494" i="24"/>
  <c r="K496" i="24" l="1"/>
  <c r="L495" i="24"/>
  <c r="L496" i="24" l="1"/>
  <c r="K497" i="24"/>
  <c r="K498" i="24" l="1"/>
  <c r="L497" i="24"/>
  <c r="K499" i="24" l="1"/>
  <c r="L498" i="24"/>
  <c r="K500" i="24" l="1"/>
  <c r="L499" i="24"/>
  <c r="K501" i="24" l="1"/>
  <c r="L500" i="24"/>
  <c r="K502" i="24" l="1"/>
  <c r="L501" i="24"/>
  <c r="K503" i="24" l="1"/>
  <c r="L502" i="24"/>
  <c r="K504" i="24" l="1"/>
  <c r="L504" i="24" s="1"/>
  <c r="M2" i="24" s="1"/>
  <c r="L503" i="24"/>
  <c r="M5" i="24" l="1"/>
  <c r="N5" i="24" s="1"/>
  <c r="M13" i="24"/>
  <c r="N13" i="24" s="1"/>
  <c r="M21" i="24"/>
  <c r="N21" i="24" s="1"/>
  <c r="M29" i="24"/>
  <c r="N29" i="24" s="1"/>
  <c r="M37" i="24"/>
  <c r="N37" i="24" s="1"/>
  <c r="M45" i="24"/>
  <c r="N45" i="24" s="1"/>
  <c r="M53" i="24"/>
  <c r="N53" i="24" s="1"/>
  <c r="M61" i="24"/>
  <c r="N61" i="24" s="1"/>
  <c r="M69" i="24"/>
  <c r="N69" i="24" s="1"/>
  <c r="M77" i="24"/>
  <c r="N77" i="24" s="1"/>
  <c r="M85" i="24"/>
  <c r="N85" i="24" s="1"/>
  <c r="M93" i="24"/>
  <c r="N93" i="24" s="1"/>
  <c r="M101" i="24"/>
  <c r="N101" i="24" s="1"/>
  <c r="M109" i="24"/>
  <c r="N109" i="24" s="1"/>
  <c r="M117" i="24"/>
  <c r="N117" i="24" s="1"/>
  <c r="M125" i="24"/>
  <c r="N125" i="24" s="1"/>
  <c r="M133" i="24"/>
  <c r="N133" i="24" s="1"/>
  <c r="M141" i="24"/>
  <c r="N141" i="24" s="1"/>
  <c r="M149" i="24"/>
  <c r="N149" i="24" s="1"/>
  <c r="M157" i="24"/>
  <c r="N157" i="24" s="1"/>
  <c r="M165" i="24"/>
  <c r="N165" i="24" s="1"/>
  <c r="M173" i="24"/>
  <c r="N173" i="24" s="1"/>
  <c r="M181" i="24"/>
  <c r="N181" i="24" s="1"/>
  <c r="M189" i="24"/>
  <c r="N189" i="24" s="1"/>
  <c r="M197" i="24"/>
  <c r="N197" i="24" s="1"/>
  <c r="M205" i="24"/>
  <c r="N205" i="24" s="1"/>
  <c r="M213" i="24"/>
  <c r="N213" i="24" s="1"/>
  <c r="M221" i="24"/>
  <c r="N221" i="24" s="1"/>
  <c r="M8" i="24"/>
  <c r="N8" i="24" s="1"/>
  <c r="M9" i="24"/>
  <c r="N9" i="24" s="1"/>
  <c r="M16" i="24"/>
  <c r="N16" i="24" s="1"/>
  <c r="M19" i="24"/>
  <c r="N19" i="24" s="1"/>
  <c r="M22" i="24"/>
  <c r="N22" i="24" s="1"/>
  <c r="M25" i="24"/>
  <c r="N25" i="24" s="1"/>
  <c r="M28" i="24"/>
  <c r="N28" i="24" s="1"/>
  <c r="M31" i="24"/>
  <c r="N31" i="24" s="1"/>
  <c r="M34" i="24"/>
  <c r="N34" i="24" s="1"/>
  <c r="M80" i="24"/>
  <c r="N80" i="24" s="1"/>
  <c r="M83" i="24"/>
  <c r="N83" i="24" s="1"/>
  <c r="M86" i="24"/>
  <c r="N86" i="24" s="1"/>
  <c r="M89" i="24"/>
  <c r="N89" i="24" s="1"/>
  <c r="M92" i="24"/>
  <c r="N92" i="24" s="1"/>
  <c r="M95" i="24"/>
  <c r="N95" i="24" s="1"/>
  <c r="M98" i="24"/>
  <c r="N98" i="24" s="1"/>
  <c r="M144" i="24"/>
  <c r="N144" i="24" s="1"/>
  <c r="M147" i="24"/>
  <c r="N147" i="24" s="1"/>
  <c r="M150" i="24"/>
  <c r="N150" i="24" s="1"/>
  <c r="M153" i="24"/>
  <c r="N153" i="24" s="1"/>
  <c r="M156" i="24"/>
  <c r="N156" i="24" s="1"/>
  <c r="M159" i="24"/>
  <c r="N159" i="24" s="1"/>
  <c r="M162" i="24"/>
  <c r="N162" i="24" s="1"/>
  <c r="M208" i="24"/>
  <c r="N208" i="24" s="1"/>
  <c r="M211" i="24"/>
  <c r="N211" i="24" s="1"/>
  <c r="M214" i="24"/>
  <c r="N214" i="24" s="1"/>
  <c r="M217" i="24"/>
  <c r="N217" i="24" s="1"/>
  <c r="M220" i="24"/>
  <c r="N220" i="24" s="1"/>
  <c r="M223" i="24"/>
  <c r="N223" i="24" s="1"/>
  <c r="M231" i="24"/>
  <c r="N231" i="24" s="1"/>
  <c r="M239" i="24"/>
  <c r="N239" i="24" s="1"/>
  <c r="M247" i="24"/>
  <c r="N247" i="24" s="1"/>
  <c r="M255" i="24"/>
  <c r="N255" i="24" s="1"/>
  <c r="M263" i="24"/>
  <c r="N263" i="24" s="1"/>
  <c r="M271" i="24"/>
  <c r="N271" i="24" s="1"/>
  <c r="M279" i="24"/>
  <c r="N279" i="24" s="1"/>
  <c r="M287" i="24"/>
  <c r="N287" i="24" s="1"/>
  <c r="M295" i="24"/>
  <c r="N295" i="24" s="1"/>
  <c r="M303" i="24"/>
  <c r="N303" i="24" s="1"/>
  <c r="M311" i="24"/>
  <c r="N311" i="24" s="1"/>
  <c r="M319" i="24"/>
  <c r="N319" i="24" s="1"/>
  <c r="M327" i="24"/>
  <c r="N327" i="24" s="1"/>
  <c r="M335" i="24"/>
  <c r="N335" i="24" s="1"/>
  <c r="M343" i="24"/>
  <c r="N343" i="24" s="1"/>
  <c r="M351" i="24"/>
  <c r="N351" i="24" s="1"/>
  <c r="M359" i="24"/>
  <c r="N359" i="24" s="1"/>
  <c r="M367" i="24"/>
  <c r="N367" i="24" s="1"/>
  <c r="M375" i="24"/>
  <c r="N375" i="24" s="1"/>
  <c r="M383" i="24"/>
  <c r="N383" i="24" s="1"/>
  <c r="M391" i="24"/>
  <c r="N391" i="24" s="1"/>
  <c r="M399" i="24"/>
  <c r="N399" i="24" s="1"/>
  <c r="M407" i="24"/>
  <c r="N407" i="24" s="1"/>
  <c r="M415" i="24"/>
  <c r="N415" i="24" s="1"/>
  <c r="M423" i="24"/>
  <c r="N423" i="24" s="1"/>
  <c r="M6" i="24"/>
  <c r="N6" i="24" s="1"/>
  <c r="M56" i="24"/>
  <c r="N56" i="24" s="1"/>
  <c r="M59" i="24"/>
  <c r="N59" i="24" s="1"/>
  <c r="M62" i="24"/>
  <c r="N62" i="24" s="1"/>
  <c r="M65" i="24"/>
  <c r="N65" i="24" s="1"/>
  <c r="M68" i="24"/>
  <c r="N68" i="24" s="1"/>
  <c r="M71" i="24"/>
  <c r="N71" i="24" s="1"/>
  <c r="M74" i="24"/>
  <c r="N74" i="24" s="1"/>
  <c r="M120" i="24"/>
  <c r="N120" i="24" s="1"/>
  <c r="M123" i="24"/>
  <c r="N123" i="24" s="1"/>
  <c r="M126" i="24"/>
  <c r="N126" i="24" s="1"/>
  <c r="M129" i="24"/>
  <c r="N129" i="24" s="1"/>
  <c r="M132" i="24"/>
  <c r="N132" i="24" s="1"/>
  <c r="M135" i="24"/>
  <c r="N135" i="24" s="1"/>
  <c r="M138" i="24"/>
  <c r="N138" i="24" s="1"/>
  <c r="M184" i="24"/>
  <c r="N184" i="24" s="1"/>
  <c r="M187" i="24"/>
  <c r="N187" i="24" s="1"/>
  <c r="M190" i="24"/>
  <c r="N190" i="24" s="1"/>
  <c r="M193" i="24"/>
  <c r="N193" i="24" s="1"/>
  <c r="M196" i="24"/>
  <c r="N196" i="24" s="1"/>
  <c r="M199" i="24"/>
  <c r="N199" i="24" s="1"/>
  <c r="M202" i="24"/>
  <c r="N202" i="24" s="1"/>
  <c r="M32" i="24"/>
  <c r="N32" i="24" s="1"/>
  <c r="M35" i="24"/>
  <c r="N35" i="24" s="1"/>
  <c r="M38" i="24"/>
  <c r="N38" i="24" s="1"/>
  <c r="M41" i="24"/>
  <c r="N41" i="24" s="1"/>
  <c r="M44" i="24"/>
  <c r="N44" i="24" s="1"/>
  <c r="M47" i="24"/>
  <c r="N47" i="24" s="1"/>
  <c r="M50" i="24"/>
  <c r="N50" i="24" s="1"/>
  <c r="M96" i="24"/>
  <c r="N96" i="24" s="1"/>
  <c r="M99" i="24"/>
  <c r="N99" i="24" s="1"/>
  <c r="M102" i="24"/>
  <c r="N102" i="24" s="1"/>
  <c r="M105" i="24"/>
  <c r="N105" i="24" s="1"/>
  <c r="M108" i="24"/>
  <c r="N108" i="24" s="1"/>
  <c r="M111" i="24"/>
  <c r="N111" i="24" s="1"/>
  <c r="M114" i="24"/>
  <c r="N114" i="24" s="1"/>
  <c r="M160" i="24"/>
  <c r="N160" i="24" s="1"/>
  <c r="M163" i="24"/>
  <c r="N163" i="24" s="1"/>
  <c r="M166" i="24"/>
  <c r="N166" i="24" s="1"/>
  <c r="M169" i="24"/>
  <c r="N169" i="24" s="1"/>
  <c r="M172" i="24"/>
  <c r="N172" i="24" s="1"/>
  <c r="M175" i="24"/>
  <c r="N175" i="24" s="1"/>
  <c r="M178" i="24"/>
  <c r="N178" i="24" s="1"/>
  <c r="M229" i="24"/>
  <c r="N229" i="24" s="1"/>
  <c r="M237" i="24"/>
  <c r="N237" i="24" s="1"/>
  <c r="M245" i="24"/>
  <c r="N245" i="24" s="1"/>
  <c r="M253" i="24"/>
  <c r="N253" i="24" s="1"/>
  <c r="M261" i="24"/>
  <c r="N261" i="24" s="1"/>
  <c r="M269" i="24"/>
  <c r="N269" i="24" s="1"/>
  <c r="M277" i="24"/>
  <c r="N277" i="24" s="1"/>
  <c r="M285" i="24"/>
  <c r="N285" i="24" s="1"/>
  <c r="M293" i="24"/>
  <c r="N293" i="24" s="1"/>
  <c r="M301" i="24"/>
  <c r="N301" i="24" s="1"/>
  <c r="M309" i="24"/>
  <c r="N309" i="24" s="1"/>
  <c r="M317" i="24"/>
  <c r="N317" i="24" s="1"/>
  <c r="M325" i="24"/>
  <c r="N325" i="24" s="1"/>
  <c r="M333" i="24"/>
  <c r="N333" i="24" s="1"/>
  <c r="M341" i="24"/>
  <c r="N341" i="24" s="1"/>
  <c r="M349" i="24"/>
  <c r="N349" i="24" s="1"/>
  <c r="M357" i="24"/>
  <c r="N357" i="24" s="1"/>
  <c r="M365" i="24"/>
  <c r="N365" i="24" s="1"/>
  <c r="M373" i="24"/>
  <c r="N373" i="24" s="1"/>
  <c r="M381" i="24"/>
  <c r="N381" i="24" s="1"/>
  <c r="M10" i="24"/>
  <c r="N10" i="24" s="1"/>
  <c r="M14" i="24"/>
  <c r="N14" i="24" s="1"/>
  <c r="M17" i="24"/>
  <c r="N17" i="24" s="1"/>
  <c r="M20" i="24"/>
  <c r="N20" i="24" s="1"/>
  <c r="M23" i="24"/>
  <c r="N23" i="24" s="1"/>
  <c r="M26" i="24"/>
  <c r="N26" i="24" s="1"/>
  <c r="M72" i="24"/>
  <c r="N72" i="24" s="1"/>
  <c r="M75" i="24"/>
  <c r="N75" i="24" s="1"/>
  <c r="M78" i="24"/>
  <c r="N78" i="24" s="1"/>
  <c r="M81" i="24"/>
  <c r="N81" i="24" s="1"/>
  <c r="M84" i="24"/>
  <c r="N84" i="24" s="1"/>
  <c r="M87" i="24"/>
  <c r="N87" i="24" s="1"/>
  <c r="M90" i="24"/>
  <c r="N90" i="24" s="1"/>
  <c r="M7" i="24"/>
  <c r="N7" i="24" s="1"/>
  <c r="M11" i="24"/>
  <c r="N11" i="24" s="1"/>
  <c r="M48" i="24"/>
  <c r="N48" i="24" s="1"/>
  <c r="M51" i="24"/>
  <c r="N51" i="24" s="1"/>
  <c r="M54" i="24"/>
  <c r="N54" i="24" s="1"/>
  <c r="M57" i="24"/>
  <c r="N57" i="24" s="1"/>
  <c r="M60" i="24"/>
  <c r="N60" i="24" s="1"/>
  <c r="M63" i="24"/>
  <c r="N63" i="24" s="1"/>
  <c r="M66" i="24"/>
  <c r="N66" i="24" s="1"/>
  <c r="M24" i="24"/>
  <c r="N24" i="24" s="1"/>
  <c r="M27" i="24"/>
  <c r="N27" i="24" s="1"/>
  <c r="M30" i="24"/>
  <c r="N30" i="24" s="1"/>
  <c r="M33" i="24"/>
  <c r="N33" i="24" s="1"/>
  <c r="M36" i="24"/>
  <c r="N36" i="24" s="1"/>
  <c r="M39" i="24"/>
  <c r="N39" i="24" s="1"/>
  <c r="M42" i="24"/>
  <c r="N42" i="24" s="1"/>
  <c r="M88" i="24"/>
  <c r="N88" i="24" s="1"/>
  <c r="M91" i="24"/>
  <c r="N91" i="24" s="1"/>
  <c r="M94" i="24"/>
  <c r="N94" i="24" s="1"/>
  <c r="M97" i="24"/>
  <c r="N97" i="24" s="1"/>
  <c r="M100" i="24"/>
  <c r="N100" i="24" s="1"/>
  <c r="M103" i="24"/>
  <c r="N103" i="24" s="1"/>
  <c r="M106" i="24"/>
  <c r="N106" i="24" s="1"/>
  <c r="M12" i="24"/>
  <c r="N12" i="24" s="1"/>
  <c r="M49" i="24"/>
  <c r="N49" i="24" s="1"/>
  <c r="M128" i="24"/>
  <c r="N128" i="24" s="1"/>
  <c r="M134" i="24"/>
  <c r="N134" i="24" s="1"/>
  <c r="M154" i="24"/>
  <c r="N154" i="24" s="1"/>
  <c r="M168" i="24"/>
  <c r="N168" i="24" s="1"/>
  <c r="M188" i="24"/>
  <c r="N188" i="24" s="1"/>
  <c r="M203" i="24"/>
  <c r="N203" i="24" s="1"/>
  <c r="M215" i="24"/>
  <c r="N215" i="24" s="1"/>
  <c r="M219" i="24"/>
  <c r="N219" i="24" s="1"/>
  <c r="M230" i="24"/>
  <c r="N230" i="24" s="1"/>
  <c r="M244" i="24"/>
  <c r="N244" i="24" s="1"/>
  <c r="M248" i="24"/>
  <c r="N248" i="24" s="1"/>
  <c r="M262" i="24"/>
  <c r="N262" i="24" s="1"/>
  <c r="M276" i="24"/>
  <c r="N276" i="24" s="1"/>
  <c r="M280" i="24"/>
  <c r="N280" i="24" s="1"/>
  <c r="M294" i="24"/>
  <c r="N294" i="24" s="1"/>
  <c r="M308" i="24"/>
  <c r="N308" i="24" s="1"/>
  <c r="M312" i="24"/>
  <c r="N312" i="24" s="1"/>
  <c r="M326" i="24"/>
  <c r="N326" i="24" s="1"/>
  <c r="M340" i="24"/>
  <c r="N340" i="24" s="1"/>
  <c r="M344" i="24"/>
  <c r="N344" i="24" s="1"/>
  <c r="M358" i="24"/>
  <c r="N358" i="24" s="1"/>
  <c r="M372" i="24"/>
  <c r="N372" i="24" s="1"/>
  <c r="M376" i="24"/>
  <c r="N376" i="24" s="1"/>
  <c r="M426" i="24"/>
  <c r="N426" i="24" s="1"/>
  <c r="M429" i="24"/>
  <c r="N429" i="24" s="1"/>
  <c r="M437" i="24"/>
  <c r="N437" i="24" s="1"/>
  <c r="M445" i="24"/>
  <c r="N445" i="24" s="1"/>
  <c r="M453" i="24"/>
  <c r="N453" i="24" s="1"/>
  <c r="M461" i="24"/>
  <c r="N461" i="24" s="1"/>
  <c r="M469" i="24"/>
  <c r="N469" i="24" s="1"/>
  <c r="M477" i="24"/>
  <c r="N477" i="24" s="1"/>
  <c r="M485" i="24"/>
  <c r="N485" i="24" s="1"/>
  <c r="M493" i="24"/>
  <c r="N493" i="24" s="1"/>
  <c r="M501" i="24"/>
  <c r="N501" i="24" s="1"/>
  <c r="M504" i="24"/>
  <c r="N504" i="24" s="1"/>
  <c r="M15" i="24"/>
  <c r="N15" i="24" s="1"/>
  <c r="M64" i="24"/>
  <c r="N64" i="24" s="1"/>
  <c r="M76" i="24"/>
  <c r="N76" i="24" s="1"/>
  <c r="M116" i="24"/>
  <c r="N116" i="24" s="1"/>
  <c r="M122" i="24"/>
  <c r="N122" i="24" s="1"/>
  <c r="M145" i="24"/>
  <c r="N145" i="24" s="1"/>
  <c r="M164" i="24"/>
  <c r="N164" i="24" s="1"/>
  <c r="M179" i="24"/>
  <c r="N179" i="24" s="1"/>
  <c r="M183" i="24"/>
  <c r="N183" i="24" s="1"/>
  <c r="M198" i="24"/>
  <c r="N198" i="24" s="1"/>
  <c r="M207" i="24"/>
  <c r="N207" i="24" s="1"/>
  <c r="M227" i="24"/>
  <c r="N227" i="24" s="1"/>
  <c r="M234" i="24"/>
  <c r="N234" i="24" s="1"/>
  <c r="M241" i="24"/>
  <c r="N241" i="24" s="1"/>
  <c r="M259" i="24"/>
  <c r="N259" i="24" s="1"/>
  <c r="M266" i="24"/>
  <c r="N266" i="24" s="1"/>
  <c r="M273" i="24"/>
  <c r="N273" i="24" s="1"/>
  <c r="M291" i="24"/>
  <c r="N291" i="24" s="1"/>
  <c r="M298" i="24"/>
  <c r="N298" i="24" s="1"/>
  <c r="M305" i="24"/>
  <c r="N305" i="24" s="1"/>
  <c r="M323" i="24"/>
  <c r="N323" i="24" s="1"/>
  <c r="M330" i="24"/>
  <c r="N330" i="24" s="1"/>
  <c r="M337" i="24"/>
  <c r="N337" i="24" s="1"/>
  <c r="M355" i="24"/>
  <c r="N355" i="24" s="1"/>
  <c r="M362" i="24"/>
  <c r="N362" i="24" s="1"/>
  <c r="M369" i="24"/>
  <c r="N369" i="24" s="1"/>
  <c r="M402" i="24"/>
  <c r="N402" i="24" s="1"/>
  <c r="M405" i="24"/>
  <c r="N405" i="24" s="1"/>
  <c r="M408" i="24"/>
  <c r="N408" i="24" s="1"/>
  <c r="M411" i="24"/>
  <c r="N411" i="24" s="1"/>
  <c r="M414" i="24"/>
  <c r="N414" i="24" s="1"/>
  <c r="M417" i="24"/>
  <c r="N417" i="24" s="1"/>
  <c r="M420" i="24"/>
  <c r="N420" i="24" s="1"/>
  <c r="M432" i="24"/>
  <c r="N432" i="24" s="1"/>
  <c r="M440" i="24"/>
  <c r="N440" i="24" s="1"/>
  <c r="M448" i="24"/>
  <c r="N448" i="24" s="1"/>
  <c r="M456" i="24"/>
  <c r="N456" i="24" s="1"/>
  <c r="M464" i="24"/>
  <c r="N464" i="24" s="1"/>
  <c r="M472" i="24"/>
  <c r="N472" i="24" s="1"/>
  <c r="M480" i="24"/>
  <c r="N480" i="24" s="1"/>
  <c r="M488" i="24"/>
  <c r="N488" i="24" s="1"/>
  <c r="M496" i="24"/>
  <c r="N496" i="24" s="1"/>
  <c r="M40" i="24"/>
  <c r="N40" i="24" s="1"/>
  <c r="M52" i="24"/>
  <c r="N52" i="24" s="1"/>
  <c r="M110" i="24"/>
  <c r="N110" i="24" s="1"/>
  <c r="M118" i="24"/>
  <c r="N118" i="24" s="1"/>
  <c r="M124" i="24"/>
  <c r="N124" i="24" s="1"/>
  <c r="M130" i="24"/>
  <c r="N130" i="24" s="1"/>
  <c r="M136" i="24"/>
  <c r="N136" i="24" s="1"/>
  <c r="M140" i="24"/>
  <c r="N140" i="24" s="1"/>
  <c r="M155" i="24"/>
  <c r="N155" i="24" s="1"/>
  <c r="M174" i="24"/>
  <c r="N174" i="24" s="1"/>
  <c r="M194" i="24"/>
  <c r="N194" i="24" s="1"/>
  <c r="M212" i="24"/>
  <c r="N212" i="24" s="1"/>
  <c r="M216" i="24"/>
  <c r="N216" i="24" s="1"/>
  <c r="M224" i="24"/>
  <c r="N224" i="24" s="1"/>
  <c r="M238" i="24"/>
  <c r="N238" i="24" s="1"/>
  <c r="M252" i="24"/>
  <c r="N252" i="24" s="1"/>
  <c r="M256" i="24"/>
  <c r="N256" i="24" s="1"/>
  <c r="M270" i="24"/>
  <c r="N270" i="24" s="1"/>
  <c r="M284" i="24"/>
  <c r="N284" i="24" s="1"/>
  <c r="M288" i="24"/>
  <c r="N288" i="24" s="1"/>
  <c r="M302" i="24"/>
  <c r="N302" i="24" s="1"/>
  <c r="M316" i="24"/>
  <c r="N316" i="24" s="1"/>
  <c r="M320" i="24"/>
  <c r="N320" i="24" s="1"/>
  <c r="M334" i="24"/>
  <c r="N334" i="24" s="1"/>
  <c r="M348" i="24"/>
  <c r="N348" i="24" s="1"/>
  <c r="M352" i="24"/>
  <c r="N352" i="24" s="1"/>
  <c r="M366" i="24"/>
  <c r="N366" i="24" s="1"/>
  <c r="M380" i="24"/>
  <c r="N380" i="24" s="1"/>
  <c r="M384" i="24"/>
  <c r="N384" i="24" s="1"/>
  <c r="M387" i="24"/>
  <c r="N387" i="24" s="1"/>
  <c r="M390" i="24"/>
  <c r="N390" i="24" s="1"/>
  <c r="M393" i="24"/>
  <c r="N393" i="24" s="1"/>
  <c r="M396" i="24"/>
  <c r="N396" i="24" s="1"/>
  <c r="M435" i="24"/>
  <c r="N435" i="24" s="1"/>
  <c r="M443" i="24"/>
  <c r="N443" i="24" s="1"/>
  <c r="M451" i="24"/>
  <c r="N451" i="24" s="1"/>
  <c r="M459" i="24"/>
  <c r="N459" i="24" s="1"/>
  <c r="M467" i="24"/>
  <c r="N467" i="24" s="1"/>
  <c r="M475" i="24"/>
  <c r="N475" i="24" s="1"/>
  <c r="M483" i="24"/>
  <c r="N483" i="24" s="1"/>
  <c r="M491" i="24"/>
  <c r="N491" i="24" s="1"/>
  <c r="M499" i="24"/>
  <c r="N499" i="24" s="1"/>
  <c r="M18" i="24"/>
  <c r="N18" i="24" s="1"/>
  <c r="M67" i="24"/>
  <c r="N67" i="24" s="1"/>
  <c r="M79" i="24"/>
  <c r="N79" i="24" s="1"/>
  <c r="M112" i="24"/>
  <c r="N112" i="24" s="1"/>
  <c r="M151" i="24"/>
  <c r="N151" i="24" s="1"/>
  <c r="M170" i="24"/>
  <c r="N170" i="24" s="1"/>
  <c r="M185" i="24"/>
  <c r="N185" i="24" s="1"/>
  <c r="M200" i="24"/>
  <c r="N200" i="24" s="1"/>
  <c r="M204" i="24"/>
  <c r="N204" i="24" s="1"/>
  <c r="M235" i="24"/>
  <c r="N235" i="24" s="1"/>
  <c r="M242" i="24"/>
  <c r="N242" i="24" s="1"/>
  <c r="M249" i="24"/>
  <c r="N249" i="24" s="1"/>
  <c r="M267" i="24"/>
  <c r="N267" i="24" s="1"/>
  <c r="M274" i="24"/>
  <c r="N274" i="24" s="1"/>
  <c r="M281" i="24"/>
  <c r="N281" i="24" s="1"/>
  <c r="M299" i="24"/>
  <c r="N299" i="24" s="1"/>
  <c r="M306" i="24"/>
  <c r="N306" i="24" s="1"/>
  <c r="M313" i="24"/>
  <c r="N313" i="24" s="1"/>
  <c r="M331" i="24"/>
  <c r="N331" i="24" s="1"/>
  <c r="M338" i="24"/>
  <c r="N338" i="24" s="1"/>
  <c r="M345" i="24"/>
  <c r="N345" i="24" s="1"/>
  <c r="M363" i="24"/>
  <c r="N363" i="24" s="1"/>
  <c r="M370" i="24"/>
  <c r="N370" i="24" s="1"/>
  <c r="M377" i="24"/>
  <c r="N377" i="24" s="1"/>
  <c r="M418" i="24"/>
  <c r="N418" i="24" s="1"/>
  <c r="M421" i="24"/>
  <c r="N421" i="24" s="1"/>
  <c r="M424" i="24"/>
  <c r="N424" i="24" s="1"/>
  <c r="M427" i="24"/>
  <c r="N427" i="24" s="1"/>
  <c r="M430" i="24"/>
  <c r="N430" i="24" s="1"/>
  <c r="M438" i="24"/>
  <c r="N438" i="24" s="1"/>
  <c r="M446" i="24"/>
  <c r="N446" i="24" s="1"/>
  <c r="M454" i="24"/>
  <c r="N454" i="24" s="1"/>
  <c r="M462" i="24"/>
  <c r="N462" i="24" s="1"/>
  <c r="M470" i="24"/>
  <c r="N470" i="24" s="1"/>
  <c r="M478" i="24"/>
  <c r="N478" i="24" s="1"/>
  <c r="M486" i="24"/>
  <c r="N486" i="24" s="1"/>
  <c r="M494" i="24"/>
  <c r="N494" i="24" s="1"/>
  <c r="M502" i="24"/>
  <c r="N502" i="24" s="1"/>
  <c r="M43" i="24"/>
  <c r="N43" i="24" s="1"/>
  <c r="M55" i="24"/>
  <c r="N55" i="24" s="1"/>
  <c r="M104" i="24"/>
  <c r="N104" i="24" s="1"/>
  <c r="M131" i="24"/>
  <c r="N131" i="24" s="1"/>
  <c r="M142" i="24"/>
  <c r="N142" i="24" s="1"/>
  <c r="M146" i="24"/>
  <c r="N146" i="24" s="1"/>
  <c r="M161" i="24"/>
  <c r="N161" i="24" s="1"/>
  <c r="M176" i="24"/>
  <c r="N176" i="24" s="1"/>
  <c r="M180" i="24"/>
  <c r="N180" i="24" s="1"/>
  <c r="M195" i="24"/>
  <c r="N195" i="24" s="1"/>
  <c r="M209" i="24"/>
  <c r="N209" i="24" s="1"/>
  <c r="M228" i="24"/>
  <c r="N228" i="24" s="1"/>
  <c r="M232" i="24"/>
  <c r="N232" i="24" s="1"/>
  <c r="M246" i="24"/>
  <c r="N246" i="24" s="1"/>
  <c r="M260" i="24"/>
  <c r="N260" i="24" s="1"/>
  <c r="M264" i="24"/>
  <c r="N264" i="24" s="1"/>
  <c r="M278" i="24"/>
  <c r="N278" i="24" s="1"/>
  <c r="M292" i="24"/>
  <c r="N292" i="24" s="1"/>
  <c r="M296" i="24"/>
  <c r="N296" i="24" s="1"/>
  <c r="M310" i="24"/>
  <c r="N310" i="24" s="1"/>
  <c r="M324" i="24"/>
  <c r="N324" i="24" s="1"/>
  <c r="M328" i="24"/>
  <c r="N328" i="24" s="1"/>
  <c r="M342" i="24"/>
  <c r="N342" i="24" s="1"/>
  <c r="M356" i="24"/>
  <c r="N356" i="24" s="1"/>
  <c r="M360" i="24"/>
  <c r="N360" i="24" s="1"/>
  <c r="M374" i="24"/>
  <c r="N374" i="24" s="1"/>
  <c r="M394" i="24"/>
  <c r="N394" i="24" s="1"/>
  <c r="M397" i="24"/>
  <c r="N397" i="24" s="1"/>
  <c r="M400" i="24"/>
  <c r="N400" i="24" s="1"/>
  <c r="M403" i="24"/>
  <c r="N403" i="24" s="1"/>
  <c r="M406" i="24"/>
  <c r="N406" i="24" s="1"/>
  <c r="M409" i="24"/>
  <c r="N409" i="24" s="1"/>
  <c r="M412" i="24"/>
  <c r="N412" i="24" s="1"/>
  <c r="M433" i="24"/>
  <c r="N433" i="24" s="1"/>
  <c r="M441" i="24"/>
  <c r="N441" i="24" s="1"/>
  <c r="M449" i="24"/>
  <c r="N449" i="24" s="1"/>
  <c r="M457" i="24"/>
  <c r="N457" i="24" s="1"/>
  <c r="M465" i="24"/>
  <c r="N465" i="24" s="1"/>
  <c r="M473" i="24"/>
  <c r="N473" i="24" s="1"/>
  <c r="M481" i="24"/>
  <c r="N481" i="24" s="1"/>
  <c r="M489" i="24"/>
  <c r="N489" i="24" s="1"/>
  <c r="M497" i="24"/>
  <c r="N497" i="24" s="1"/>
  <c r="M70" i="24"/>
  <c r="N70" i="24" s="1"/>
  <c r="M82" i="24"/>
  <c r="N82" i="24" s="1"/>
  <c r="M113" i="24"/>
  <c r="N113" i="24" s="1"/>
  <c r="M119" i="24"/>
  <c r="N119" i="24" s="1"/>
  <c r="M137" i="24"/>
  <c r="N137" i="24" s="1"/>
  <c r="M152" i="24"/>
  <c r="N152" i="24" s="1"/>
  <c r="M171" i="24"/>
  <c r="N171" i="24" s="1"/>
  <c r="M191" i="24"/>
  <c r="N191" i="24" s="1"/>
  <c r="M225" i="24"/>
  <c r="N225" i="24" s="1"/>
  <c r="M243" i="24"/>
  <c r="N243" i="24" s="1"/>
  <c r="M250" i="24"/>
  <c r="N250" i="24" s="1"/>
  <c r="M257" i="24"/>
  <c r="N257" i="24" s="1"/>
  <c r="M275" i="24"/>
  <c r="N275" i="24" s="1"/>
  <c r="M282" i="24"/>
  <c r="N282" i="24" s="1"/>
  <c r="M289" i="24"/>
  <c r="N289" i="24" s="1"/>
  <c r="M307" i="24"/>
  <c r="N307" i="24" s="1"/>
  <c r="M314" i="24"/>
  <c r="N314" i="24" s="1"/>
  <c r="M321" i="24"/>
  <c r="N321" i="24" s="1"/>
  <c r="M339" i="24"/>
  <c r="N339" i="24" s="1"/>
  <c r="M346" i="24"/>
  <c r="N346" i="24" s="1"/>
  <c r="M353" i="24"/>
  <c r="N353" i="24" s="1"/>
  <c r="M371" i="24"/>
  <c r="N371" i="24" s="1"/>
  <c r="M378" i="24"/>
  <c r="N378" i="24" s="1"/>
  <c r="M385" i="24"/>
  <c r="N385" i="24" s="1"/>
  <c r="M388" i="24"/>
  <c r="N388" i="24" s="1"/>
  <c r="M436" i="24"/>
  <c r="N436" i="24" s="1"/>
  <c r="M444" i="24"/>
  <c r="N444" i="24" s="1"/>
  <c r="M452" i="24"/>
  <c r="N452" i="24" s="1"/>
  <c r="M460" i="24"/>
  <c r="N460" i="24" s="1"/>
  <c r="M468" i="24"/>
  <c r="N468" i="24" s="1"/>
  <c r="M476" i="24"/>
  <c r="N476" i="24" s="1"/>
  <c r="M484" i="24"/>
  <c r="N484" i="24" s="1"/>
  <c r="M492" i="24"/>
  <c r="N492" i="24" s="1"/>
  <c r="M500" i="24"/>
  <c r="N500" i="24" s="1"/>
  <c r="M46" i="24"/>
  <c r="N46" i="24" s="1"/>
  <c r="M58" i="24"/>
  <c r="N58" i="24" s="1"/>
  <c r="M115" i="24"/>
  <c r="N115" i="24" s="1"/>
  <c r="M121" i="24"/>
  <c r="N121" i="24" s="1"/>
  <c r="M127" i="24"/>
  <c r="N127" i="24" s="1"/>
  <c r="M148" i="24"/>
  <c r="N148" i="24" s="1"/>
  <c r="M167" i="24"/>
  <c r="N167" i="24" s="1"/>
  <c r="M182" i="24"/>
  <c r="N182" i="24" s="1"/>
  <c r="M186" i="24"/>
  <c r="N186" i="24" s="1"/>
  <c r="M201" i="24"/>
  <c r="N201" i="24" s="1"/>
  <c r="M206" i="24"/>
  <c r="N206" i="24" s="1"/>
  <c r="M218" i="24"/>
  <c r="N218" i="24" s="1"/>
  <c r="M222" i="24"/>
  <c r="N222" i="24" s="1"/>
  <c r="M236" i="24"/>
  <c r="N236" i="24" s="1"/>
  <c r="M240" i="24"/>
  <c r="N240" i="24" s="1"/>
  <c r="M254" i="24"/>
  <c r="N254" i="24" s="1"/>
  <c r="M268" i="24"/>
  <c r="N268" i="24" s="1"/>
  <c r="M272" i="24"/>
  <c r="N272" i="24" s="1"/>
  <c r="M286" i="24"/>
  <c r="N286" i="24" s="1"/>
  <c r="M300" i="24"/>
  <c r="N300" i="24" s="1"/>
  <c r="M304" i="24"/>
  <c r="N304" i="24" s="1"/>
  <c r="M318" i="24"/>
  <c r="N318" i="24" s="1"/>
  <c r="M332" i="24"/>
  <c r="N332" i="24" s="1"/>
  <c r="M336" i="24"/>
  <c r="N336" i="24" s="1"/>
  <c r="M350" i="24"/>
  <c r="N350" i="24" s="1"/>
  <c r="M364" i="24"/>
  <c r="N364" i="24" s="1"/>
  <c r="M368" i="24"/>
  <c r="N368" i="24" s="1"/>
  <c r="M382" i="24"/>
  <c r="N382" i="24" s="1"/>
  <c r="M410" i="24"/>
  <c r="N410" i="24" s="1"/>
  <c r="M413" i="24"/>
  <c r="N413" i="24" s="1"/>
  <c r="M416" i="24"/>
  <c r="N416" i="24" s="1"/>
  <c r="M419" i="24"/>
  <c r="N419" i="24" s="1"/>
  <c r="M422" i="24"/>
  <c r="N422" i="24" s="1"/>
  <c r="M425" i="24"/>
  <c r="N425" i="24" s="1"/>
  <c r="M428" i="24"/>
  <c r="N428" i="24" s="1"/>
  <c r="M431" i="24"/>
  <c r="N431" i="24" s="1"/>
  <c r="M439" i="24"/>
  <c r="N439" i="24" s="1"/>
  <c r="M447" i="24"/>
  <c r="N447" i="24" s="1"/>
  <c r="M455" i="24"/>
  <c r="N455" i="24" s="1"/>
  <c r="M463" i="24"/>
  <c r="N463" i="24" s="1"/>
  <c r="M471" i="24"/>
  <c r="N471" i="24" s="1"/>
  <c r="M479" i="24"/>
  <c r="N479" i="24" s="1"/>
  <c r="M487" i="24"/>
  <c r="N487" i="24" s="1"/>
  <c r="M495" i="24"/>
  <c r="N495" i="24" s="1"/>
  <c r="M503" i="24"/>
  <c r="N503" i="24" s="1"/>
  <c r="M73" i="24"/>
  <c r="N73" i="24" s="1"/>
  <c r="M107" i="24"/>
  <c r="N107" i="24" s="1"/>
  <c r="M139" i="24"/>
  <c r="N139" i="24" s="1"/>
  <c r="M143" i="24"/>
  <c r="N143" i="24" s="1"/>
  <c r="M158" i="24"/>
  <c r="N158" i="24" s="1"/>
  <c r="M177" i="24"/>
  <c r="N177" i="24" s="1"/>
  <c r="M192" i="24"/>
  <c r="N192" i="24" s="1"/>
  <c r="M210" i="24"/>
  <c r="N210" i="24" s="1"/>
  <c r="M226" i="24"/>
  <c r="N226" i="24" s="1"/>
  <c r="M233" i="24"/>
  <c r="N233" i="24" s="1"/>
  <c r="M251" i="24"/>
  <c r="N251" i="24" s="1"/>
  <c r="M258" i="24"/>
  <c r="N258" i="24" s="1"/>
  <c r="M265" i="24"/>
  <c r="N265" i="24" s="1"/>
  <c r="M283" i="24"/>
  <c r="N283" i="24" s="1"/>
  <c r="M290" i="24"/>
  <c r="N290" i="24" s="1"/>
  <c r="M297" i="24"/>
  <c r="N297" i="24" s="1"/>
  <c r="M315" i="24"/>
  <c r="N315" i="24" s="1"/>
  <c r="M322" i="24"/>
  <c r="N322" i="24" s="1"/>
  <c r="M329" i="24"/>
  <c r="N329" i="24" s="1"/>
  <c r="M347" i="24"/>
  <c r="N347" i="24" s="1"/>
  <c r="M354" i="24"/>
  <c r="N354" i="24" s="1"/>
  <c r="M361" i="24"/>
  <c r="N361" i="24" s="1"/>
  <c r="M379" i="24"/>
  <c r="N379" i="24" s="1"/>
  <c r="M404" i="24"/>
  <c r="N404" i="24" s="1"/>
  <c r="M450" i="24"/>
  <c r="N450" i="24" s="1"/>
  <c r="M474" i="24"/>
  <c r="N474" i="24" s="1"/>
  <c r="M386" i="24"/>
  <c r="N386" i="24" s="1"/>
  <c r="M434" i="24"/>
  <c r="N434" i="24" s="1"/>
  <c r="M498" i="24"/>
  <c r="N498" i="24" s="1"/>
  <c r="M389" i="24"/>
  <c r="N389" i="24" s="1"/>
  <c r="M458" i="24"/>
  <c r="N458" i="24" s="1"/>
  <c r="M392" i="24"/>
  <c r="N392" i="24" s="1"/>
  <c r="M482" i="24"/>
  <c r="N482" i="24" s="1"/>
  <c r="M395" i="24"/>
  <c r="N395" i="24" s="1"/>
  <c r="M442" i="24"/>
  <c r="N442" i="24" s="1"/>
  <c r="M466" i="24"/>
  <c r="N466" i="24" s="1"/>
  <c r="M398" i="24"/>
  <c r="N398" i="24" s="1"/>
  <c r="M401" i="24"/>
  <c r="N401" i="24" s="1"/>
  <c r="M490" i="24"/>
  <c r="N490" i="24" s="1"/>
  <c r="B24" i="24" l="1"/>
  <c r="B18" i="24"/>
  <c r="B17" i="24"/>
  <c r="B16" i="24"/>
  <c r="B26" i="24"/>
  <c r="B15" i="24"/>
  <c r="B14" i="24"/>
  <c r="B27" i="24"/>
  <c r="B33" i="24"/>
  <c r="B38" i="24"/>
  <c r="B28" i="24"/>
  <c r="B39" i="24"/>
  <c r="B29" i="24"/>
  <c r="B34" i="24"/>
  <c r="B35" i="24"/>
  <c r="B40" i="24"/>
  <c r="B30" i="24"/>
  <c r="B41" i="24"/>
  <c r="B13" i="24"/>
  <c r="B31" i="24"/>
  <c r="B36" i="24"/>
  <c r="B37" i="24"/>
  <c r="B42" i="24"/>
  <c r="B23" i="24"/>
  <c r="B25" i="24"/>
  <c r="B32" i="24"/>
  <c r="G25" i="24" l="1"/>
  <c r="G23" i="24"/>
  <c r="G40" i="24"/>
  <c r="G27" i="24"/>
  <c r="G34" i="24"/>
  <c r="G30" i="24"/>
  <c r="G42" i="24"/>
  <c r="G35" i="24"/>
  <c r="G29" i="24"/>
  <c r="G26" i="24"/>
  <c r="G37" i="24"/>
  <c r="C41" i="24"/>
  <c r="E41" i="24" s="1"/>
  <c r="C39" i="24"/>
  <c r="D39" i="24" s="1"/>
  <c r="C37" i="24"/>
  <c r="D37" i="24" s="1"/>
  <c r="C35" i="24"/>
  <c r="E35" i="24" s="1"/>
  <c r="C33" i="24"/>
  <c r="D33" i="24" s="1"/>
  <c r="C31" i="24"/>
  <c r="E31" i="24" s="1"/>
  <c r="C29" i="24"/>
  <c r="E29" i="24" s="1"/>
  <c r="C26" i="24"/>
  <c r="E26" i="24" s="1"/>
  <c r="C27" i="24"/>
  <c r="E27" i="24" s="1"/>
  <c r="C23" i="24"/>
  <c r="E23" i="24" s="1"/>
  <c r="C24" i="24"/>
  <c r="D24" i="24" s="1"/>
  <c r="C25" i="24"/>
  <c r="D25" i="24" s="1"/>
  <c r="C42" i="24"/>
  <c r="E42" i="24" s="1"/>
  <c r="C32" i="24"/>
  <c r="E32" i="24" s="1"/>
  <c r="C34" i="24"/>
  <c r="E34" i="24" s="1"/>
  <c r="C36" i="24"/>
  <c r="E36" i="24" s="1"/>
  <c r="C38" i="24"/>
  <c r="E38" i="24" s="1"/>
  <c r="C40" i="24"/>
  <c r="D40" i="24" s="1"/>
  <c r="C28" i="24"/>
  <c r="D28" i="24" s="1"/>
  <c r="C30" i="24"/>
  <c r="E30" i="24" s="1"/>
  <c r="G31" i="24"/>
  <c r="G39" i="24"/>
  <c r="G36" i="24"/>
  <c r="G28" i="24"/>
  <c r="G41" i="24"/>
  <c r="G38" i="24"/>
  <c r="G32" i="24"/>
  <c r="G33" i="24"/>
  <c r="E33" i="24"/>
  <c r="G24" i="24"/>
  <c r="D32" i="24" l="1"/>
  <c r="F32" i="24" s="1"/>
  <c r="E28" i="24"/>
  <c r="F28" i="24" s="1"/>
  <c r="D38" i="24"/>
  <c r="F38" i="24" s="1"/>
  <c r="D41" i="24"/>
  <c r="F41" i="24" s="1"/>
  <c r="F33" i="24"/>
  <c r="D29" i="24"/>
  <c r="F29" i="24" s="1"/>
  <c r="E39" i="24"/>
  <c r="F39" i="24" s="1"/>
  <c r="D31" i="24"/>
  <c r="F31" i="24" s="1"/>
  <c r="E24" i="24"/>
  <c r="F24" i="24" s="1"/>
  <c r="D30" i="24"/>
  <c r="F30" i="24" s="1"/>
  <c r="D34" i="24"/>
  <c r="F34" i="24" s="1"/>
  <c r="E37" i="24"/>
  <c r="F37" i="24" s="1"/>
  <c r="D35" i="24"/>
  <c r="F35" i="24" s="1"/>
  <c r="E40" i="24"/>
  <c r="F40" i="24" s="1"/>
  <c r="D36" i="24"/>
  <c r="F36" i="24" s="1"/>
  <c r="D26" i="24"/>
  <c r="F26" i="24" s="1"/>
  <c r="D23" i="24"/>
  <c r="F23" i="24" s="1"/>
  <c r="D42" i="24"/>
  <c r="F42" i="24" s="1"/>
  <c r="D27" i="24"/>
  <c r="F27" i="24" s="1"/>
  <c r="E25" i="24"/>
  <c r="F25" i="24" s="1"/>
</calcChain>
</file>

<file path=xl/sharedStrings.xml><?xml version="1.0" encoding="utf-8"?>
<sst xmlns="http://schemas.openxmlformats.org/spreadsheetml/2006/main" count="423" uniqueCount="109">
  <si>
    <t>DJIA</t>
  </si>
  <si>
    <t>Day</t>
  </si>
  <si>
    <t>Scenario</t>
  </si>
  <si>
    <t>Mean</t>
  </si>
  <si>
    <t>Skewness</t>
  </si>
  <si>
    <t>Kurtosis</t>
  </si>
  <si>
    <t>Std Error</t>
  </si>
  <si>
    <t>FTSE-100</t>
  </si>
  <si>
    <t>CAC-40</t>
  </si>
  <si>
    <t>EUR/USD</t>
  </si>
  <si>
    <t>Nikkei</t>
  </si>
  <si>
    <t>YEN/USD</t>
  </si>
  <si>
    <t>Weight</t>
  </si>
  <si>
    <t>lambda</t>
  </si>
  <si>
    <t>Cum Weight</t>
  </si>
  <si>
    <t>Date</t>
  </si>
  <si>
    <t>USD Nikkei</t>
  </si>
  <si>
    <t>Security</t>
  </si>
  <si>
    <t>Value (USD)</t>
  </si>
  <si>
    <t>Price (USD)</t>
  </si>
  <si>
    <t>Units</t>
  </si>
  <si>
    <t>Portfolio</t>
  </si>
  <si>
    <t>P/L</t>
  </si>
  <si>
    <t>Ranked</t>
  </si>
  <si>
    <t>Max</t>
  </si>
  <si>
    <t>Min</t>
  </si>
  <si>
    <t>Bins</t>
  </si>
  <si>
    <t>Frequency</t>
  </si>
  <si>
    <t>Std Dev</t>
  </si>
  <si>
    <t>Loss</t>
  </si>
  <si>
    <t>Confidence</t>
  </si>
  <si>
    <t>ES</t>
  </si>
  <si>
    <t xml:space="preserve"> $ VaR</t>
  </si>
  <si>
    <t>$ Loss</t>
  </si>
  <si>
    <t>CI_Low</t>
  </si>
  <si>
    <t>CI_UP</t>
  </si>
  <si>
    <t>Scenarios</t>
  </si>
  <si>
    <t>CI Confidence</t>
  </si>
  <si>
    <t xml:space="preserve">Normal </t>
  </si>
  <si>
    <t>NLoss</t>
  </si>
  <si>
    <t>F(Nloss)</t>
  </si>
  <si>
    <t>Rel Freq</t>
  </si>
  <si>
    <t>Cum Freq</t>
  </si>
  <si>
    <t>T</t>
  </si>
  <si>
    <t>Tloss</t>
  </si>
  <si>
    <t>F(Tloss)</t>
  </si>
  <si>
    <t>Std T</t>
  </si>
  <si>
    <t>Normal</t>
  </si>
  <si>
    <t>C_Int</t>
  </si>
  <si>
    <t>N VaR</t>
  </si>
  <si>
    <t>N ES</t>
  </si>
  <si>
    <t xml:space="preserve">VaR/ ES </t>
  </si>
  <si>
    <t>N Var/N ES</t>
  </si>
  <si>
    <t>t VaR</t>
  </si>
  <si>
    <t>t ES</t>
  </si>
  <si>
    <t>std t</t>
  </si>
  <si>
    <t>adj</t>
  </si>
  <si>
    <t>t Var/t ES</t>
  </si>
  <si>
    <t>v</t>
  </si>
  <si>
    <t>k</t>
  </si>
  <si>
    <t>Variance-Covariance</t>
  </si>
  <si>
    <t>Nikkei 225</t>
  </si>
  <si>
    <t>CAC40</t>
  </si>
  <si>
    <t>FTSE 100</t>
  </si>
  <si>
    <t>CAC 40</t>
  </si>
  <si>
    <t>RETURNS</t>
  </si>
  <si>
    <t>SD</t>
  </si>
  <si>
    <t>STD DEV</t>
  </si>
  <si>
    <t>1 - alpha</t>
  </si>
  <si>
    <t>Z_1-alpha</t>
  </si>
  <si>
    <t xml:space="preserve">Parm VaR </t>
  </si>
  <si>
    <t>P Variance</t>
  </si>
  <si>
    <t>P SD</t>
  </si>
  <si>
    <t>COVARIANCE</t>
  </si>
  <si>
    <t>DJIA/FTSE</t>
  </si>
  <si>
    <t>DJIA/CAC</t>
  </si>
  <si>
    <t>DJIA/Nikkei</t>
  </si>
  <si>
    <t>FTSE/CAC</t>
  </si>
  <si>
    <t>FTSE/Nikkei</t>
  </si>
  <si>
    <t>CAC/Nikkei</t>
  </si>
  <si>
    <t>VARIANCE</t>
  </si>
  <si>
    <t>Correlation</t>
  </si>
  <si>
    <t>CORRELATION</t>
  </si>
  <si>
    <t>Profit</t>
  </si>
  <si>
    <t>One Year Estimate</t>
  </si>
  <si>
    <t>Stress</t>
  </si>
  <si>
    <t>STRESS</t>
  </si>
  <si>
    <t>Det</t>
  </si>
  <si>
    <t>PERCENTILE.INC</t>
  </si>
  <si>
    <t>PERCENTILE.EXC</t>
  </si>
  <si>
    <t>Rank</t>
  </si>
  <si>
    <t>Data</t>
  </si>
  <si>
    <t>p</t>
  </si>
  <si>
    <t>PER.INC</t>
  </si>
  <si>
    <t>PER.EXC</t>
  </si>
  <si>
    <t>.INC</t>
  </si>
  <si>
    <t>Avg Returns</t>
  </si>
  <si>
    <t>BASE</t>
  </si>
  <si>
    <t>Loss  Var</t>
  </si>
  <si>
    <t>Loss SD</t>
  </si>
  <si>
    <t>SD Ratio</t>
  </si>
  <si>
    <t>Adj Loss</t>
  </si>
  <si>
    <t>GSPC</t>
  </si>
  <si>
    <t>USD/HKD</t>
  </si>
  <si>
    <t>HangSeng</t>
  </si>
  <si>
    <t>USD Hang Seng</t>
  </si>
  <si>
    <t>DAX</t>
  </si>
  <si>
    <t>USD DAX</t>
  </si>
  <si>
    <t>Hang Seng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</si>
</sst>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"/>
    <numFmt numFmtId="165" formatCode="0.0%"/>
    <numFmt numFmtId="166" formatCode="0.0000%"/>
    <numFmt numFmtId="167" formatCode="0.0000"/>
    <numFmt numFmtId="168" formatCode="#,##0.0000"/>
    <numFmt numFmtId="169" formatCode="0.0"/>
    <numFmt numFmtId="170" formatCode="0.000E+00"/>
    <numFmt numFmtId="171" formatCode="#,##0.000"/>
    <numFmt numFmtId="172" formatCode="#,##0.00000"/>
    <numFmt numFmtId="173" formatCode="0.0000000"/>
    <numFmt numFmtId="174" formatCode="0.00000"/>
    <numFmt numFmtId="175" formatCode="0.000000"/>
    <numFmt numFmtId="176" formatCode="0.00E+00;\_x0000_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3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27" borderId="1" applyNumberFormat="0" applyAlignment="0" applyProtection="0"/>
    <xf numFmtId="0" fontId="5" fillId="28" borderId="2" applyNumberFormat="0" applyAlignment="0" applyProtection="0"/>
    <xf numFmtId="0" fontId="6" fillId="0" borderId="0" applyNumberFormat="0" applyFill="0" applyBorder="0" applyAlignment="0" applyProtection="0"/>
    <xf numFmtId="0" fontId="7" fillId="29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30" borderId="1" applyNumberFormat="0" applyAlignment="0" applyProtection="0"/>
    <xf numFmtId="0" fontId="12" fillId="0" borderId="6" applyNumberFormat="0" applyFill="0" applyAlignment="0" applyProtection="0"/>
    <xf numFmtId="0" fontId="13" fillId="31" borderId="0" applyNumberFormat="0" applyBorder="0" applyAlignment="0" applyProtection="0"/>
    <xf numFmtId="0" fontId="1" fillId="0" borderId="0"/>
    <xf numFmtId="0" fontId="1" fillId="32" borderId="7" applyNumberFormat="0" applyFont="0" applyAlignment="0" applyProtection="0"/>
    <xf numFmtId="0" fontId="14" fillId="27" borderId="8" applyNumberForma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</cellStyleXfs>
  <cellXfs count="166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0" borderId="0" xfId="0" applyFont="1"/>
    <xf numFmtId="14" fontId="0" fillId="0" borderId="0" xfId="0" applyNumberFormat="1"/>
    <xf numFmtId="10" fontId="0" fillId="0" borderId="0" xfId="0" applyNumberFormat="1"/>
    <xf numFmtId="0" fontId="18" fillId="34" borderId="0" xfId="0" applyFont="1" applyFill="1" applyAlignment="1">
      <alignment horizontal="center"/>
    </xf>
    <xf numFmtId="0" fontId="0" fillId="34" borderId="0" xfId="0" applyFont="1" applyFill="1"/>
    <xf numFmtId="0" fontId="19" fillId="34" borderId="0" xfId="0" applyFont="1" applyFill="1"/>
    <xf numFmtId="0" fontId="16" fillId="0" borderId="0" xfId="0" applyFont="1"/>
    <xf numFmtId="0" fontId="18" fillId="33" borderId="0" xfId="0" applyFont="1" applyFill="1" applyAlignment="1">
      <alignment horizontal="center"/>
    </xf>
    <xf numFmtId="0" fontId="16" fillId="33" borderId="0" xfId="0" applyFont="1" applyFill="1"/>
    <xf numFmtId="0" fontId="0" fillId="33" borderId="0" xfId="0" applyFont="1" applyFill="1"/>
    <xf numFmtId="0" fontId="19" fillId="33" borderId="0" xfId="0" applyFont="1" applyFill="1"/>
    <xf numFmtId="0" fontId="1" fillId="33" borderId="0" xfId="37" applyFill="1" applyAlignment="1">
      <alignment horizontal="right" wrapText="1"/>
    </xf>
    <xf numFmtId="0" fontId="0" fillId="33" borderId="0" xfId="0" applyFont="1" applyFill="1" applyAlignment="1">
      <alignment horizontal="right" wrapText="1"/>
    </xf>
    <xf numFmtId="0" fontId="0" fillId="33" borderId="0" xfId="0" applyFill="1"/>
    <xf numFmtId="2" fontId="18" fillId="34" borderId="0" xfId="0" applyNumberFormat="1" applyFont="1" applyFill="1" applyAlignment="1">
      <alignment horizontal="center"/>
    </xf>
    <xf numFmtId="2" fontId="19" fillId="34" borderId="0" xfId="0" applyNumberFormat="1" applyFont="1" applyFill="1"/>
    <xf numFmtId="0" fontId="16" fillId="34" borderId="0" xfId="0" applyFont="1" applyFill="1" applyBorder="1" applyAlignment="1">
      <alignment horizontal="center"/>
    </xf>
    <xf numFmtId="0" fontId="0" fillId="34" borderId="0" xfId="0" applyFill="1" applyBorder="1" applyAlignment="1">
      <alignment horizontal="center"/>
    </xf>
    <xf numFmtId="14" fontId="18" fillId="33" borderId="0" xfId="0" applyNumberFormat="1" applyFont="1" applyFill="1" applyAlignment="1">
      <alignment horizontal="right" indent="1"/>
    </xf>
    <xf numFmtId="14" fontId="19" fillId="33" borderId="0" xfId="0" applyNumberFormat="1" applyFont="1" applyFill="1"/>
    <xf numFmtId="4" fontId="0" fillId="0" borderId="0" xfId="0" applyNumberFormat="1"/>
    <xf numFmtId="4" fontId="0" fillId="0" borderId="0" xfId="0" applyNumberFormat="1" applyFont="1" applyFill="1"/>
    <xf numFmtId="4" fontId="19" fillId="0" borderId="0" xfId="0" applyNumberFormat="1" applyFont="1" applyFill="1"/>
    <xf numFmtId="4" fontId="16" fillId="0" borderId="0" xfId="0" applyNumberFormat="1" applyFont="1"/>
    <xf numFmtId="0" fontId="16" fillId="0" borderId="0" xfId="0" applyFont="1" applyAlignment="1">
      <alignment horizontal="right"/>
    </xf>
    <xf numFmtId="4" fontId="16" fillId="0" borderId="0" xfId="0" applyNumberFormat="1" applyFont="1" applyAlignment="1">
      <alignment horizontal="right"/>
    </xf>
    <xf numFmtId="0" fontId="0" fillId="34" borderId="0" xfId="0" applyFill="1"/>
    <xf numFmtId="0" fontId="0" fillId="34" borderId="0" xfId="0" applyFill="1" applyAlignment="1">
      <alignment horizontal="right"/>
    </xf>
    <xf numFmtId="167" fontId="0" fillId="0" borderId="0" xfId="0" applyNumberFormat="1"/>
    <xf numFmtId="14" fontId="0" fillId="33" borderId="0" xfId="0" applyNumberFormat="1" applyFill="1"/>
    <xf numFmtId="2" fontId="0" fillId="33" borderId="0" xfId="0" applyNumberFormat="1" applyFill="1"/>
    <xf numFmtId="2" fontId="18" fillId="33" borderId="0" xfId="0" applyNumberFormat="1" applyFont="1" applyFill="1" applyAlignment="1">
      <alignment horizontal="center"/>
    </xf>
    <xf numFmtId="2" fontId="19" fillId="33" borderId="0" xfId="0" applyNumberFormat="1" applyFont="1" applyFill="1"/>
    <xf numFmtId="0" fontId="0" fillId="0" borderId="0" xfId="0" applyFill="1"/>
    <xf numFmtId="166" fontId="0" fillId="0" borderId="0" xfId="0" applyNumberFormat="1"/>
    <xf numFmtId="168" fontId="0" fillId="0" borderId="0" xfId="0" applyNumberFormat="1"/>
    <xf numFmtId="3" fontId="0" fillId="0" borderId="0" xfId="0" applyNumberFormat="1"/>
    <xf numFmtId="165" fontId="0" fillId="0" borderId="0" xfId="43" applyNumberFormat="1" applyFont="1"/>
    <xf numFmtId="10" fontId="0" fillId="0" borderId="0" xfId="43" applyNumberFormat="1" applyFont="1"/>
    <xf numFmtId="169" fontId="0" fillId="0" borderId="0" xfId="0" applyNumberFormat="1"/>
    <xf numFmtId="170" fontId="0" fillId="0" borderId="0" xfId="0" applyNumberFormat="1"/>
    <xf numFmtId="0" fontId="16" fillId="0" borderId="0" xfId="0" applyFont="1" applyFill="1"/>
    <xf numFmtId="0" fontId="16" fillId="0" borderId="0" xfId="0" applyFont="1" applyFill="1" applyAlignment="1">
      <alignment horizontal="right"/>
    </xf>
    <xf numFmtId="10" fontId="0" fillId="0" borderId="0" xfId="43" applyNumberFormat="1" applyFont="1" applyFill="1"/>
    <xf numFmtId="167" fontId="16" fillId="0" borderId="0" xfId="0" applyNumberFormat="1" applyFont="1"/>
    <xf numFmtId="172" fontId="0" fillId="0" borderId="0" xfId="0" applyNumberFormat="1"/>
    <xf numFmtId="171" fontId="16" fillId="0" borderId="0" xfId="0" applyNumberFormat="1" applyFont="1"/>
    <xf numFmtId="4" fontId="0" fillId="0" borderId="0" xfId="0" applyNumberFormat="1" applyFill="1"/>
    <xf numFmtId="172" fontId="0" fillId="0" borderId="0" xfId="0" applyNumberFormat="1" applyFill="1"/>
    <xf numFmtId="0" fontId="20" fillId="0" borderId="0" xfId="0" applyFont="1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 applyBorder="1" applyAlignment="1"/>
    <xf numFmtId="0" fontId="21" fillId="0" borderId="13" xfId="0" applyFont="1" applyFill="1" applyBorder="1" applyAlignment="1">
      <alignment horizontal="center"/>
    </xf>
    <xf numFmtId="0" fontId="0" fillId="0" borderId="20" xfId="0" applyBorder="1"/>
    <xf numFmtId="0" fontId="0" fillId="0" borderId="20" xfId="0" applyFill="1" applyBorder="1" applyAlignment="1"/>
    <xf numFmtId="174" fontId="0" fillId="0" borderId="0" xfId="0" applyNumberFormat="1"/>
    <xf numFmtId="175" fontId="0" fillId="0" borderId="0" xfId="0" applyNumberFormat="1"/>
    <xf numFmtId="174" fontId="0" fillId="0" borderId="0" xfId="0" applyNumberFormat="1" applyFill="1" applyBorder="1" applyAlignment="1"/>
    <xf numFmtId="174" fontId="0" fillId="0" borderId="20" xfId="0" applyNumberFormat="1" applyFill="1" applyBorder="1" applyAlignment="1"/>
    <xf numFmtId="0" fontId="0" fillId="34" borderId="0" xfId="0" applyFill="1" applyAlignment="1">
      <alignment horizontal="center"/>
    </xf>
    <xf numFmtId="0" fontId="16" fillId="0" borderId="0" xfId="0" applyFont="1" applyAlignment="1">
      <alignment horizontal="center"/>
    </xf>
    <xf numFmtId="0" fontId="16" fillId="0" borderId="13" xfId="0" applyFont="1" applyFill="1" applyBorder="1" applyAlignment="1">
      <alignment horizontal="right"/>
    </xf>
    <xf numFmtId="173" fontId="0" fillId="0" borderId="21" xfId="0" applyNumberFormat="1" applyBorder="1"/>
    <xf numFmtId="173" fontId="0" fillId="0" borderId="11" xfId="0" applyNumberFormat="1" applyBorder="1"/>
    <xf numFmtId="173" fontId="0" fillId="0" borderId="15" xfId="0" applyNumberFormat="1" applyBorder="1"/>
    <xf numFmtId="173" fontId="0" fillId="0" borderId="0" xfId="0" applyNumberFormat="1" applyBorder="1"/>
    <xf numFmtId="173" fontId="0" fillId="0" borderId="16" xfId="0" applyNumberFormat="1" applyBorder="1"/>
    <xf numFmtId="173" fontId="0" fillId="0" borderId="18" xfId="0" applyNumberFormat="1" applyBorder="1"/>
    <xf numFmtId="173" fontId="0" fillId="0" borderId="20" xfId="0" applyNumberFormat="1" applyBorder="1"/>
    <xf numFmtId="0" fontId="16" fillId="0" borderId="13" xfId="0" applyFont="1" applyBorder="1"/>
    <xf numFmtId="0" fontId="0" fillId="0" borderId="13" xfId="0" applyBorder="1"/>
    <xf numFmtId="0" fontId="0" fillId="0" borderId="14" xfId="0" applyBorder="1"/>
    <xf numFmtId="0" fontId="0" fillId="0" borderId="17" xfId="0" applyBorder="1"/>
    <xf numFmtId="175" fontId="16" fillId="0" borderId="0" xfId="0" applyNumberFormat="1" applyFont="1" applyAlignment="1">
      <alignment horizontal="center"/>
    </xf>
    <xf numFmtId="0" fontId="0" fillId="0" borderId="15" xfId="0" applyBorder="1"/>
    <xf numFmtId="175" fontId="16" fillId="0" borderId="13" xfId="0" applyNumberFormat="1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0" borderId="20" xfId="0" applyFont="1" applyBorder="1" applyAlignment="1">
      <alignment horizontal="right"/>
    </xf>
    <xf numFmtId="0" fontId="16" fillId="0" borderId="18" xfId="0" applyFont="1" applyBorder="1" applyAlignment="1">
      <alignment horizontal="right"/>
    </xf>
    <xf numFmtId="175" fontId="16" fillId="0" borderId="0" xfId="0" applyNumberFormat="1" applyFont="1" applyAlignment="1">
      <alignment horizontal="right"/>
    </xf>
    <xf numFmtId="175" fontId="0" fillId="0" borderId="20" xfId="0" applyNumberFormat="1" applyBorder="1"/>
    <xf numFmtId="175" fontId="0" fillId="0" borderId="15" xfId="0" applyNumberFormat="1" applyBorder="1"/>
    <xf numFmtId="164" fontId="0" fillId="0" borderId="21" xfId="0" applyNumberFormat="1" applyBorder="1"/>
    <xf numFmtId="164" fontId="0" fillId="0" borderId="11" xfId="0" applyNumberFormat="1" applyBorder="1"/>
    <xf numFmtId="164" fontId="0" fillId="0" borderId="15" xfId="0" applyNumberFormat="1" applyBorder="1"/>
    <xf numFmtId="164" fontId="0" fillId="0" borderId="0" xfId="0" applyNumberFormat="1" applyBorder="1"/>
    <xf numFmtId="164" fontId="0" fillId="0" borderId="16" xfId="0" applyNumberFormat="1" applyBorder="1"/>
    <xf numFmtId="164" fontId="0" fillId="0" borderId="18" xfId="0" applyNumberFormat="1" applyBorder="1"/>
    <xf numFmtId="164" fontId="0" fillId="0" borderId="20" xfId="0" applyNumberFormat="1" applyBorder="1"/>
    <xf numFmtId="0" fontId="16" fillId="0" borderId="20" xfId="0" applyFont="1" applyBorder="1" applyAlignment="1">
      <alignment horizontal="left"/>
    </xf>
    <xf numFmtId="2" fontId="20" fillId="0" borderId="0" xfId="0" applyNumberFormat="1" applyFont="1"/>
    <xf numFmtId="0" fontId="16" fillId="0" borderId="12" xfId="0" applyFont="1" applyBorder="1" applyAlignment="1">
      <alignment horizontal="right"/>
    </xf>
    <xf numFmtId="173" fontId="16" fillId="0" borderId="10" xfId="0" applyNumberFormat="1" applyFont="1" applyBorder="1"/>
    <xf numFmtId="173" fontId="16" fillId="0" borderId="0" xfId="0" applyNumberFormat="1" applyFont="1" applyBorder="1"/>
    <xf numFmtId="173" fontId="16" fillId="0" borderId="19" xfId="0" applyNumberFormat="1" applyFont="1" applyBorder="1"/>
    <xf numFmtId="164" fontId="16" fillId="0" borderId="10" xfId="0" applyNumberFormat="1" applyFont="1" applyBorder="1"/>
    <xf numFmtId="164" fontId="16" fillId="0" borderId="0" xfId="0" applyNumberFormat="1" applyFont="1" applyBorder="1"/>
    <xf numFmtId="164" fontId="16" fillId="0" borderId="19" xfId="0" applyNumberFormat="1" applyFont="1" applyBorder="1"/>
    <xf numFmtId="0" fontId="24" fillId="0" borderId="0" xfId="0" applyFont="1"/>
    <xf numFmtId="167" fontId="24" fillId="0" borderId="0" xfId="0" applyNumberFormat="1" applyFont="1"/>
    <xf numFmtId="164" fontId="24" fillId="0" borderId="0" xfId="0" applyNumberFormat="1" applyFont="1"/>
    <xf numFmtId="2" fontId="24" fillId="0" borderId="0" xfId="0" applyNumberFormat="1" applyFont="1"/>
    <xf numFmtId="0" fontId="16" fillId="34" borderId="0" xfId="0" applyFont="1" applyFill="1" applyAlignment="1">
      <alignment horizontal="right"/>
    </xf>
    <xf numFmtId="2" fontId="0" fillId="34" borderId="0" xfId="0" applyNumberFormat="1" applyFill="1"/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175" fontId="0" fillId="0" borderId="0" xfId="0" applyNumberFormat="1" applyFill="1" applyBorder="1" applyAlignment="1"/>
    <xf numFmtId="175" fontId="0" fillId="0" borderId="20" xfId="0" applyNumberFormat="1" applyFill="1" applyBorder="1" applyAlignment="1"/>
    <xf numFmtId="0" fontId="20" fillId="0" borderId="0" xfId="0" applyFont="1" applyFill="1" applyBorder="1" applyAlignment="1">
      <alignment horizontal="right"/>
    </xf>
    <xf numFmtId="0" fontId="16" fillId="0" borderId="20" xfId="0" applyFont="1" applyBorder="1" applyAlignment="1">
      <alignment horizontal="center"/>
    </xf>
    <xf numFmtId="0" fontId="0" fillId="0" borderId="20" xfId="0" applyBorder="1" applyAlignment="1">
      <alignment horizontal="center"/>
    </xf>
    <xf numFmtId="175" fontId="0" fillId="0" borderId="0" xfId="0" applyNumberFormat="1" applyBorder="1"/>
    <xf numFmtId="175" fontId="0" fillId="0" borderId="16" xfId="0" applyNumberFormat="1" applyBorder="1"/>
    <xf numFmtId="175" fontId="0" fillId="0" borderId="18" xfId="0" applyNumberFormat="1" applyBorder="1"/>
    <xf numFmtId="176" fontId="20" fillId="0" borderId="0" xfId="0" applyNumberFormat="1" applyFont="1"/>
    <xf numFmtId="175" fontId="16" fillId="0" borderId="15" xfId="0" applyNumberFormat="1" applyFont="1" applyBorder="1"/>
    <xf numFmtId="175" fontId="16" fillId="0" borderId="0" xfId="0" applyNumberFormat="1" applyFont="1" applyBorder="1"/>
    <xf numFmtId="175" fontId="16" fillId="0" borderId="19" xfId="0" applyNumberFormat="1" applyFont="1" applyBorder="1"/>
    <xf numFmtId="175" fontId="16" fillId="0" borderId="0" xfId="0" applyNumberFormat="1" applyFont="1" applyFill="1" applyBorder="1" applyAlignment="1"/>
    <xf numFmtId="175" fontId="16" fillId="0" borderId="20" xfId="0" applyNumberFormat="1" applyFont="1" applyFill="1" applyBorder="1" applyAlignment="1"/>
    <xf numFmtId="11" fontId="20" fillId="0" borderId="0" xfId="0" applyNumberFormat="1" applyFont="1"/>
    <xf numFmtId="176" fontId="0" fillId="0" borderId="0" xfId="0" applyNumberFormat="1"/>
    <xf numFmtId="176" fontId="16" fillId="0" borderId="0" xfId="0" applyNumberFormat="1" applyFont="1"/>
    <xf numFmtId="0" fontId="16" fillId="33" borderId="12" xfId="0" applyFont="1" applyFill="1" applyBorder="1" applyAlignment="1">
      <alignment horizontal="right"/>
    </xf>
    <xf numFmtId="0" fontId="16" fillId="33" borderId="22" xfId="0" applyFont="1" applyFill="1" applyBorder="1" applyAlignment="1">
      <alignment horizontal="right"/>
    </xf>
    <xf numFmtId="167" fontId="16" fillId="33" borderId="22" xfId="0" applyNumberFormat="1" applyFont="1" applyFill="1" applyBorder="1" applyAlignment="1">
      <alignment horizontal="right"/>
    </xf>
    <xf numFmtId="0" fontId="16" fillId="33" borderId="13" xfId="0" applyFont="1" applyFill="1" applyBorder="1" applyAlignment="1">
      <alignment horizontal="right"/>
    </xf>
    <xf numFmtId="0" fontId="16" fillId="33" borderId="23" xfId="0" applyFont="1" applyFill="1" applyBorder="1" applyAlignment="1">
      <alignment horizontal="right"/>
    </xf>
    <xf numFmtId="0" fontId="16" fillId="33" borderId="0" xfId="0" applyFont="1" applyFill="1" applyAlignment="1">
      <alignment horizontal="right"/>
    </xf>
    <xf numFmtId="0" fontId="0" fillId="33" borderId="24" xfId="0" applyFill="1" applyBorder="1"/>
    <xf numFmtId="167" fontId="0" fillId="33" borderId="14" xfId="0" applyNumberFormat="1" applyFill="1" applyBorder="1"/>
    <xf numFmtId="0" fontId="0" fillId="33" borderId="14" xfId="0" applyFill="1" applyBorder="1"/>
    <xf numFmtId="2" fontId="0" fillId="33" borderId="10" xfId="0" applyNumberFormat="1" applyFill="1" applyBorder="1"/>
    <xf numFmtId="0" fontId="0" fillId="33" borderId="11" xfId="0" applyFill="1" applyBorder="1"/>
    <xf numFmtId="2" fontId="0" fillId="33" borderId="24" xfId="0" applyNumberFormat="1" applyFill="1" applyBorder="1"/>
    <xf numFmtId="2" fontId="17" fillId="33" borderId="10" xfId="0" applyNumberFormat="1" applyFont="1" applyFill="1" applyBorder="1"/>
    <xf numFmtId="0" fontId="17" fillId="33" borderId="11" xfId="0" applyFont="1" applyFill="1" applyBorder="1"/>
    <xf numFmtId="2" fontId="0" fillId="33" borderId="15" xfId="0" applyNumberFormat="1" applyFill="1" applyBorder="1"/>
    <xf numFmtId="0" fontId="0" fillId="33" borderId="16" xfId="0" applyFill="1" applyBorder="1"/>
    <xf numFmtId="2" fontId="0" fillId="33" borderId="14" xfId="0" applyNumberFormat="1" applyFill="1" applyBorder="1"/>
    <xf numFmtId="0" fontId="0" fillId="33" borderId="17" xfId="0" applyFill="1" applyBorder="1"/>
    <xf numFmtId="2" fontId="0" fillId="33" borderId="18" xfId="0" applyNumberFormat="1" applyFill="1" applyBorder="1"/>
    <xf numFmtId="0" fontId="0" fillId="33" borderId="19" xfId="0" applyFill="1" applyBorder="1"/>
    <xf numFmtId="2" fontId="0" fillId="33" borderId="17" xfId="0" applyNumberFormat="1" applyFill="1" applyBorder="1"/>
    <xf numFmtId="2" fontId="17" fillId="33" borderId="18" xfId="0" applyNumberFormat="1" applyFont="1" applyFill="1" applyBorder="1"/>
    <xf numFmtId="0" fontId="17" fillId="33" borderId="19" xfId="0" applyFont="1" applyFill="1" applyBorder="1"/>
    <xf numFmtId="167" fontId="0" fillId="33" borderId="17" xfId="0" applyNumberFormat="1" applyFill="1" applyBorder="1"/>
    <xf numFmtId="167" fontId="0" fillId="33" borderId="0" xfId="0" applyNumberFormat="1" applyFill="1"/>
    <xf numFmtId="164" fontId="16" fillId="0" borderId="0" xfId="0" applyNumberFormat="1" applyFont="1"/>
    <xf numFmtId="2" fontId="16" fillId="0" borderId="0" xfId="0" applyNumberFormat="1" applyFont="1"/>
    <xf numFmtId="2" fontId="0" fillId="0" borderId="0" xfId="0" applyNumberFormat="1" applyFont="1"/>
    <xf numFmtId="0" fontId="16" fillId="0" borderId="12" xfId="0" applyFont="1" applyFill="1" applyBorder="1" applyAlignment="1">
      <alignment horizontal="center"/>
    </xf>
    <xf numFmtId="172" fontId="0" fillId="0" borderId="0" xfId="0" applyNumberFormat="1" applyFont="1" applyFill="1"/>
    <xf numFmtId="0" fontId="16" fillId="33" borderId="10" xfId="0" applyFont="1" applyFill="1" applyBorder="1" applyAlignment="1">
      <alignment horizontal="center"/>
    </xf>
    <xf numFmtId="0" fontId="16" fillId="33" borderId="11" xfId="0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0" xfId="0" applyFont="1" applyAlignment="1"/>
    <xf numFmtId="2" fontId="25" fillId="0" borderId="0" xfId="0" applyNumberFormat="1" applyFont="1"/>
    <xf numFmtId="164" fontId="25" fillId="0" borderId="0" xfId="0" applyNumberFormat="1" applyFont="1"/>
    <xf numFmtId="167" fontId="0" fillId="0" borderId="0" xfId="0" applyNumberFormat="1" applyFont="1"/>
  </cellXfs>
  <cellStyles count="13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7F000000}"/>
    <cellStyle name="Note" xfId="38" builtinId="10" customBuiltin="1"/>
    <cellStyle name="Output" xfId="39" builtinId="21" customBuiltin="1"/>
    <cellStyle name="Percent" xfId="43" builtinId="5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S&amp;P 500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Data!$B$2:$B$502</c:f>
              <c:numCache>
                <c:formatCode>m/d/yyyy</c:formatCode>
                <c:ptCount val="501"/>
                <c:pt idx="0">
                  <c:v>43138</c:v>
                </c:pt>
                <c:pt idx="1">
                  <c:v>43139</c:v>
                </c:pt>
                <c:pt idx="2">
                  <c:v>43140</c:v>
                </c:pt>
                <c:pt idx="3">
                  <c:v>43143</c:v>
                </c:pt>
                <c:pt idx="4">
                  <c:v>43144</c:v>
                </c:pt>
                <c:pt idx="5">
                  <c:v>43145</c:v>
                </c:pt>
                <c:pt idx="6">
                  <c:v>43146</c:v>
                </c:pt>
                <c:pt idx="7">
                  <c:v>43147</c:v>
                </c:pt>
                <c:pt idx="8">
                  <c:v>43151</c:v>
                </c:pt>
                <c:pt idx="9">
                  <c:v>43152</c:v>
                </c:pt>
                <c:pt idx="10">
                  <c:v>43153</c:v>
                </c:pt>
                <c:pt idx="11">
                  <c:v>43154</c:v>
                </c:pt>
                <c:pt idx="12">
                  <c:v>43157</c:v>
                </c:pt>
                <c:pt idx="13">
                  <c:v>43158</c:v>
                </c:pt>
                <c:pt idx="14">
                  <c:v>43159</c:v>
                </c:pt>
                <c:pt idx="15">
                  <c:v>43160</c:v>
                </c:pt>
                <c:pt idx="16">
                  <c:v>43161</c:v>
                </c:pt>
                <c:pt idx="17">
                  <c:v>43164</c:v>
                </c:pt>
                <c:pt idx="18">
                  <c:v>43165</c:v>
                </c:pt>
                <c:pt idx="19">
                  <c:v>43166</c:v>
                </c:pt>
                <c:pt idx="20">
                  <c:v>43167</c:v>
                </c:pt>
                <c:pt idx="21">
                  <c:v>43168</c:v>
                </c:pt>
                <c:pt idx="22">
                  <c:v>43171</c:v>
                </c:pt>
                <c:pt idx="23">
                  <c:v>43172</c:v>
                </c:pt>
                <c:pt idx="24">
                  <c:v>43173</c:v>
                </c:pt>
                <c:pt idx="25">
                  <c:v>43174</c:v>
                </c:pt>
                <c:pt idx="26">
                  <c:v>43175</c:v>
                </c:pt>
                <c:pt idx="27">
                  <c:v>43178</c:v>
                </c:pt>
                <c:pt idx="28">
                  <c:v>43179</c:v>
                </c:pt>
                <c:pt idx="29">
                  <c:v>43180</c:v>
                </c:pt>
                <c:pt idx="30">
                  <c:v>43181</c:v>
                </c:pt>
                <c:pt idx="31">
                  <c:v>43182</c:v>
                </c:pt>
                <c:pt idx="32">
                  <c:v>43185</c:v>
                </c:pt>
                <c:pt idx="33">
                  <c:v>43186</c:v>
                </c:pt>
                <c:pt idx="34">
                  <c:v>43187</c:v>
                </c:pt>
                <c:pt idx="35">
                  <c:v>43188</c:v>
                </c:pt>
                <c:pt idx="36">
                  <c:v>43192</c:v>
                </c:pt>
                <c:pt idx="37">
                  <c:v>43193</c:v>
                </c:pt>
                <c:pt idx="38">
                  <c:v>43194</c:v>
                </c:pt>
                <c:pt idx="39">
                  <c:v>43195</c:v>
                </c:pt>
                <c:pt idx="40">
                  <c:v>43196</c:v>
                </c:pt>
                <c:pt idx="41">
                  <c:v>43199</c:v>
                </c:pt>
                <c:pt idx="42">
                  <c:v>43200</c:v>
                </c:pt>
                <c:pt idx="43">
                  <c:v>43201</c:v>
                </c:pt>
                <c:pt idx="44">
                  <c:v>43202</c:v>
                </c:pt>
                <c:pt idx="45">
                  <c:v>43203</c:v>
                </c:pt>
                <c:pt idx="46">
                  <c:v>43206</c:v>
                </c:pt>
                <c:pt idx="47">
                  <c:v>43207</c:v>
                </c:pt>
                <c:pt idx="48">
                  <c:v>43208</c:v>
                </c:pt>
                <c:pt idx="49">
                  <c:v>43209</c:v>
                </c:pt>
                <c:pt idx="50">
                  <c:v>43210</c:v>
                </c:pt>
                <c:pt idx="51">
                  <c:v>43213</c:v>
                </c:pt>
                <c:pt idx="52">
                  <c:v>43214</c:v>
                </c:pt>
                <c:pt idx="53">
                  <c:v>43215</c:v>
                </c:pt>
                <c:pt idx="54">
                  <c:v>43216</c:v>
                </c:pt>
                <c:pt idx="55">
                  <c:v>43217</c:v>
                </c:pt>
                <c:pt idx="56">
                  <c:v>43220</c:v>
                </c:pt>
                <c:pt idx="57">
                  <c:v>43221</c:v>
                </c:pt>
                <c:pt idx="58">
                  <c:v>43222</c:v>
                </c:pt>
                <c:pt idx="59">
                  <c:v>43223</c:v>
                </c:pt>
                <c:pt idx="60">
                  <c:v>43224</c:v>
                </c:pt>
                <c:pt idx="61">
                  <c:v>43227</c:v>
                </c:pt>
                <c:pt idx="62">
                  <c:v>43228</c:v>
                </c:pt>
                <c:pt idx="63">
                  <c:v>43229</c:v>
                </c:pt>
                <c:pt idx="64">
                  <c:v>43230</c:v>
                </c:pt>
                <c:pt idx="65">
                  <c:v>43231</c:v>
                </c:pt>
                <c:pt idx="66">
                  <c:v>43234</c:v>
                </c:pt>
                <c:pt idx="67">
                  <c:v>43235</c:v>
                </c:pt>
                <c:pt idx="68">
                  <c:v>43236</c:v>
                </c:pt>
                <c:pt idx="69">
                  <c:v>43237</c:v>
                </c:pt>
                <c:pt idx="70">
                  <c:v>43238</c:v>
                </c:pt>
                <c:pt idx="71">
                  <c:v>43241</c:v>
                </c:pt>
                <c:pt idx="72">
                  <c:v>43242</c:v>
                </c:pt>
                <c:pt idx="73">
                  <c:v>43243</c:v>
                </c:pt>
                <c:pt idx="74">
                  <c:v>43244</c:v>
                </c:pt>
                <c:pt idx="75">
                  <c:v>43245</c:v>
                </c:pt>
                <c:pt idx="76">
                  <c:v>43249</c:v>
                </c:pt>
                <c:pt idx="77">
                  <c:v>43250</c:v>
                </c:pt>
                <c:pt idx="78">
                  <c:v>43251</c:v>
                </c:pt>
                <c:pt idx="79">
                  <c:v>43252</c:v>
                </c:pt>
                <c:pt idx="80">
                  <c:v>43255</c:v>
                </c:pt>
                <c:pt idx="81">
                  <c:v>43256</c:v>
                </c:pt>
                <c:pt idx="82">
                  <c:v>43257</c:v>
                </c:pt>
                <c:pt idx="83">
                  <c:v>43258</c:v>
                </c:pt>
                <c:pt idx="84">
                  <c:v>43259</c:v>
                </c:pt>
                <c:pt idx="85">
                  <c:v>43262</c:v>
                </c:pt>
                <c:pt idx="86">
                  <c:v>43263</c:v>
                </c:pt>
                <c:pt idx="87">
                  <c:v>43264</c:v>
                </c:pt>
                <c:pt idx="88">
                  <c:v>43265</c:v>
                </c:pt>
                <c:pt idx="89">
                  <c:v>43266</c:v>
                </c:pt>
                <c:pt idx="90">
                  <c:v>43269</c:v>
                </c:pt>
                <c:pt idx="91">
                  <c:v>43270</c:v>
                </c:pt>
                <c:pt idx="92">
                  <c:v>43271</c:v>
                </c:pt>
                <c:pt idx="93">
                  <c:v>43272</c:v>
                </c:pt>
                <c:pt idx="94">
                  <c:v>43273</c:v>
                </c:pt>
                <c:pt idx="95">
                  <c:v>43276</c:v>
                </c:pt>
                <c:pt idx="96">
                  <c:v>43277</c:v>
                </c:pt>
                <c:pt idx="97">
                  <c:v>43278</c:v>
                </c:pt>
                <c:pt idx="98">
                  <c:v>43279</c:v>
                </c:pt>
                <c:pt idx="99">
                  <c:v>43280</c:v>
                </c:pt>
                <c:pt idx="100">
                  <c:v>43283</c:v>
                </c:pt>
                <c:pt idx="101">
                  <c:v>43284</c:v>
                </c:pt>
                <c:pt idx="102">
                  <c:v>43286</c:v>
                </c:pt>
                <c:pt idx="103">
                  <c:v>43287</c:v>
                </c:pt>
                <c:pt idx="104">
                  <c:v>43290</c:v>
                </c:pt>
                <c:pt idx="105">
                  <c:v>43291</c:v>
                </c:pt>
                <c:pt idx="106">
                  <c:v>43292</c:v>
                </c:pt>
                <c:pt idx="107">
                  <c:v>43293</c:v>
                </c:pt>
                <c:pt idx="108">
                  <c:v>43294</c:v>
                </c:pt>
                <c:pt idx="109">
                  <c:v>43297</c:v>
                </c:pt>
                <c:pt idx="110">
                  <c:v>43298</c:v>
                </c:pt>
                <c:pt idx="111">
                  <c:v>43299</c:v>
                </c:pt>
                <c:pt idx="112">
                  <c:v>43300</c:v>
                </c:pt>
                <c:pt idx="113">
                  <c:v>43301</c:v>
                </c:pt>
                <c:pt idx="114">
                  <c:v>43304</c:v>
                </c:pt>
                <c:pt idx="115">
                  <c:v>43305</c:v>
                </c:pt>
                <c:pt idx="116">
                  <c:v>43306</c:v>
                </c:pt>
                <c:pt idx="117">
                  <c:v>43307</c:v>
                </c:pt>
                <c:pt idx="118">
                  <c:v>43308</c:v>
                </c:pt>
                <c:pt idx="119">
                  <c:v>43311</c:v>
                </c:pt>
                <c:pt idx="120">
                  <c:v>43312</c:v>
                </c:pt>
                <c:pt idx="121">
                  <c:v>43313</c:v>
                </c:pt>
                <c:pt idx="122">
                  <c:v>43314</c:v>
                </c:pt>
                <c:pt idx="123">
                  <c:v>43315</c:v>
                </c:pt>
                <c:pt idx="124">
                  <c:v>43318</c:v>
                </c:pt>
                <c:pt idx="125">
                  <c:v>43319</c:v>
                </c:pt>
                <c:pt idx="126">
                  <c:v>43320</c:v>
                </c:pt>
                <c:pt idx="127">
                  <c:v>43321</c:v>
                </c:pt>
                <c:pt idx="128">
                  <c:v>43322</c:v>
                </c:pt>
                <c:pt idx="129">
                  <c:v>43325</c:v>
                </c:pt>
                <c:pt idx="130">
                  <c:v>43326</c:v>
                </c:pt>
                <c:pt idx="131">
                  <c:v>43327</c:v>
                </c:pt>
                <c:pt idx="132">
                  <c:v>43328</c:v>
                </c:pt>
                <c:pt idx="133">
                  <c:v>43329</c:v>
                </c:pt>
                <c:pt idx="134">
                  <c:v>43332</c:v>
                </c:pt>
                <c:pt idx="135">
                  <c:v>43333</c:v>
                </c:pt>
                <c:pt idx="136">
                  <c:v>43334</c:v>
                </c:pt>
                <c:pt idx="137">
                  <c:v>43335</c:v>
                </c:pt>
                <c:pt idx="138">
                  <c:v>43336</c:v>
                </c:pt>
                <c:pt idx="139">
                  <c:v>43339</c:v>
                </c:pt>
                <c:pt idx="140">
                  <c:v>43340</c:v>
                </c:pt>
                <c:pt idx="141">
                  <c:v>43341</c:v>
                </c:pt>
                <c:pt idx="142">
                  <c:v>43342</c:v>
                </c:pt>
                <c:pt idx="143">
                  <c:v>43343</c:v>
                </c:pt>
                <c:pt idx="144">
                  <c:v>43347</c:v>
                </c:pt>
                <c:pt idx="145">
                  <c:v>43348</c:v>
                </c:pt>
                <c:pt idx="146">
                  <c:v>43349</c:v>
                </c:pt>
                <c:pt idx="147">
                  <c:v>43350</c:v>
                </c:pt>
                <c:pt idx="148">
                  <c:v>43353</c:v>
                </c:pt>
                <c:pt idx="149">
                  <c:v>43354</c:v>
                </c:pt>
                <c:pt idx="150">
                  <c:v>43355</c:v>
                </c:pt>
                <c:pt idx="151">
                  <c:v>43356</c:v>
                </c:pt>
                <c:pt idx="152">
                  <c:v>43357</c:v>
                </c:pt>
                <c:pt idx="153">
                  <c:v>43360</c:v>
                </c:pt>
                <c:pt idx="154">
                  <c:v>43361</c:v>
                </c:pt>
                <c:pt idx="155">
                  <c:v>43362</c:v>
                </c:pt>
                <c:pt idx="156">
                  <c:v>43363</c:v>
                </c:pt>
                <c:pt idx="157">
                  <c:v>43364</c:v>
                </c:pt>
                <c:pt idx="158">
                  <c:v>43367</c:v>
                </c:pt>
                <c:pt idx="159">
                  <c:v>43368</c:v>
                </c:pt>
                <c:pt idx="160">
                  <c:v>43369</c:v>
                </c:pt>
                <c:pt idx="161">
                  <c:v>43370</c:v>
                </c:pt>
                <c:pt idx="162">
                  <c:v>43371</c:v>
                </c:pt>
                <c:pt idx="163">
                  <c:v>43374</c:v>
                </c:pt>
                <c:pt idx="164">
                  <c:v>43375</c:v>
                </c:pt>
                <c:pt idx="165">
                  <c:v>43376</c:v>
                </c:pt>
                <c:pt idx="166">
                  <c:v>43377</c:v>
                </c:pt>
                <c:pt idx="167">
                  <c:v>43378</c:v>
                </c:pt>
                <c:pt idx="168">
                  <c:v>43381</c:v>
                </c:pt>
                <c:pt idx="169">
                  <c:v>43382</c:v>
                </c:pt>
                <c:pt idx="170">
                  <c:v>43383</c:v>
                </c:pt>
                <c:pt idx="171">
                  <c:v>43384</c:v>
                </c:pt>
                <c:pt idx="172">
                  <c:v>43385</c:v>
                </c:pt>
                <c:pt idx="173">
                  <c:v>43388</c:v>
                </c:pt>
                <c:pt idx="174">
                  <c:v>43389</c:v>
                </c:pt>
                <c:pt idx="175">
                  <c:v>43390</c:v>
                </c:pt>
                <c:pt idx="176">
                  <c:v>43391</c:v>
                </c:pt>
                <c:pt idx="177">
                  <c:v>43392</c:v>
                </c:pt>
                <c:pt idx="178">
                  <c:v>43395</c:v>
                </c:pt>
                <c:pt idx="179">
                  <c:v>43396</c:v>
                </c:pt>
                <c:pt idx="180">
                  <c:v>43397</c:v>
                </c:pt>
                <c:pt idx="181">
                  <c:v>43398</c:v>
                </c:pt>
                <c:pt idx="182">
                  <c:v>43399</c:v>
                </c:pt>
                <c:pt idx="183">
                  <c:v>43402</c:v>
                </c:pt>
                <c:pt idx="184">
                  <c:v>43403</c:v>
                </c:pt>
                <c:pt idx="185">
                  <c:v>43404</c:v>
                </c:pt>
                <c:pt idx="186">
                  <c:v>43405</c:v>
                </c:pt>
                <c:pt idx="187">
                  <c:v>43406</c:v>
                </c:pt>
                <c:pt idx="188">
                  <c:v>43409</c:v>
                </c:pt>
                <c:pt idx="189">
                  <c:v>43410</c:v>
                </c:pt>
                <c:pt idx="190">
                  <c:v>43411</c:v>
                </c:pt>
                <c:pt idx="191">
                  <c:v>43412</c:v>
                </c:pt>
                <c:pt idx="192">
                  <c:v>43413</c:v>
                </c:pt>
                <c:pt idx="193">
                  <c:v>43416</c:v>
                </c:pt>
                <c:pt idx="194">
                  <c:v>43417</c:v>
                </c:pt>
                <c:pt idx="195">
                  <c:v>43418</c:v>
                </c:pt>
                <c:pt idx="196">
                  <c:v>43419</c:v>
                </c:pt>
                <c:pt idx="197">
                  <c:v>43420</c:v>
                </c:pt>
                <c:pt idx="198">
                  <c:v>43423</c:v>
                </c:pt>
                <c:pt idx="199">
                  <c:v>43424</c:v>
                </c:pt>
                <c:pt idx="200">
                  <c:v>43425</c:v>
                </c:pt>
                <c:pt idx="201">
                  <c:v>43427</c:v>
                </c:pt>
                <c:pt idx="202">
                  <c:v>43430</c:v>
                </c:pt>
                <c:pt idx="203">
                  <c:v>43431</c:v>
                </c:pt>
                <c:pt idx="204">
                  <c:v>43432</c:v>
                </c:pt>
                <c:pt idx="205">
                  <c:v>43433</c:v>
                </c:pt>
                <c:pt idx="206">
                  <c:v>43434</c:v>
                </c:pt>
                <c:pt idx="207">
                  <c:v>43437</c:v>
                </c:pt>
                <c:pt idx="208">
                  <c:v>43438</c:v>
                </c:pt>
                <c:pt idx="209">
                  <c:v>43440</c:v>
                </c:pt>
                <c:pt idx="210">
                  <c:v>43441</c:v>
                </c:pt>
                <c:pt idx="211">
                  <c:v>43444</c:v>
                </c:pt>
                <c:pt idx="212">
                  <c:v>43445</c:v>
                </c:pt>
                <c:pt idx="213">
                  <c:v>43446</c:v>
                </c:pt>
                <c:pt idx="214">
                  <c:v>43447</c:v>
                </c:pt>
                <c:pt idx="215">
                  <c:v>43448</c:v>
                </c:pt>
                <c:pt idx="216">
                  <c:v>43451</c:v>
                </c:pt>
                <c:pt idx="217">
                  <c:v>43452</c:v>
                </c:pt>
                <c:pt idx="218">
                  <c:v>43453</c:v>
                </c:pt>
                <c:pt idx="219">
                  <c:v>43454</c:v>
                </c:pt>
                <c:pt idx="220">
                  <c:v>43455</c:v>
                </c:pt>
                <c:pt idx="221">
                  <c:v>43458</c:v>
                </c:pt>
                <c:pt idx="222">
                  <c:v>43460</c:v>
                </c:pt>
                <c:pt idx="223">
                  <c:v>43461</c:v>
                </c:pt>
                <c:pt idx="224">
                  <c:v>43462</c:v>
                </c:pt>
                <c:pt idx="225">
                  <c:v>43465</c:v>
                </c:pt>
                <c:pt idx="226">
                  <c:v>43467</c:v>
                </c:pt>
                <c:pt idx="227">
                  <c:v>43468</c:v>
                </c:pt>
                <c:pt idx="228">
                  <c:v>43469</c:v>
                </c:pt>
                <c:pt idx="229">
                  <c:v>43472</c:v>
                </c:pt>
                <c:pt idx="230">
                  <c:v>43473</c:v>
                </c:pt>
                <c:pt idx="231">
                  <c:v>43474</c:v>
                </c:pt>
                <c:pt idx="232">
                  <c:v>43475</c:v>
                </c:pt>
                <c:pt idx="233">
                  <c:v>43476</c:v>
                </c:pt>
                <c:pt idx="234">
                  <c:v>43479</c:v>
                </c:pt>
                <c:pt idx="235">
                  <c:v>43480</c:v>
                </c:pt>
                <c:pt idx="236">
                  <c:v>43481</c:v>
                </c:pt>
                <c:pt idx="237">
                  <c:v>43482</c:v>
                </c:pt>
                <c:pt idx="238">
                  <c:v>43483</c:v>
                </c:pt>
                <c:pt idx="239">
                  <c:v>43487</c:v>
                </c:pt>
                <c:pt idx="240">
                  <c:v>43488</c:v>
                </c:pt>
                <c:pt idx="241">
                  <c:v>43489</c:v>
                </c:pt>
                <c:pt idx="242">
                  <c:v>43490</c:v>
                </c:pt>
                <c:pt idx="243">
                  <c:v>43493</c:v>
                </c:pt>
                <c:pt idx="244">
                  <c:v>43494</c:v>
                </c:pt>
                <c:pt idx="245">
                  <c:v>43495</c:v>
                </c:pt>
                <c:pt idx="246">
                  <c:v>43496</c:v>
                </c:pt>
                <c:pt idx="247">
                  <c:v>43497</c:v>
                </c:pt>
                <c:pt idx="248">
                  <c:v>43500</c:v>
                </c:pt>
                <c:pt idx="249">
                  <c:v>43501</c:v>
                </c:pt>
                <c:pt idx="250">
                  <c:v>43502</c:v>
                </c:pt>
                <c:pt idx="251">
                  <c:v>43503</c:v>
                </c:pt>
                <c:pt idx="252">
                  <c:v>43504</c:v>
                </c:pt>
                <c:pt idx="253">
                  <c:v>43507</c:v>
                </c:pt>
                <c:pt idx="254">
                  <c:v>43508</c:v>
                </c:pt>
                <c:pt idx="255">
                  <c:v>43509</c:v>
                </c:pt>
                <c:pt idx="256">
                  <c:v>43510</c:v>
                </c:pt>
                <c:pt idx="257">
                  <c:v>43511</c:v>
                </c:pt>
                <c:pt idx="258">
                  <c:v>43515</c:v>
                </c:pt>
                <c:pt idx="259">
                  <c:v>43516</c:v>
                </c:pt>
                <c:pt idx="260">
                  <c:v>43517</c:v>
                </c:pt>
                <c:pt idx="261">
                  <c:v>43518</c:v>
                </c:pt>
                <c:pt idx="262">
                  <c:v>43521</c:v>
                </c:pt>
                <c:pt idx="263">
                  <c:v>43522</c:v>
                </c:pt>
                <c:pt idx="264">
                  <c:v>43523</c:v>
                </c:pt>
                <c:pt idx="265">
                  <c:v>43524</c:v>
                </c:pt>
                <c:pt idx="266">
                  <c:v>43525</c:v>
                </c:pt>
                <c:pt idx="267">
                  <c:v>43528</c:v>
                </c:pt>
                <c:pt idx="268">
                  <c:v>43529</c:v>
                </c:pt>
                <c:pt idx="269">
                  <c:v>43530</c:v>
                </c:pt>
                <c:pt idx="270">
                  <c:v>43531</c:v>
                </c:pt>
                <c:pt idx="271">
                  <c:v>43532</c:v>
                </c:pt>
                <c:pt idx="272">
                  <c:v>43535</c:v>
                </c:pt>
                <c:pt idx="273">
                  <c:v>43536</c:v>
                </c:pt>
                <c:pt idx="274">
                  <c:v>43537</c:v>
                </c:pt>
                <c:pt idx="275">
                  <c:v>43538</c:v>
                </c:pt>
                <c:pt idx="276">
                  <c:v>43539</c:v>
                </c:pt>
                <c:pt idx="277">
                  <c:v>43542</c:v>
                </c:pt>
                <c:pt idx="278">
                  <c:v>43543</c:v>
                </c:pt>
                <c:pt idx="279">
                  <c:v>43544</c:v>
                </c:pt>
                <c:pt idx="280">
                  <c:v>43545</c:v>
                </c:pt>
                <c:pt idx="281">
                  <c:v>43546</c:v>
                </c:pt>
                <c:pt idx="282">
                  <c:v>43549</c:v>
                </c:pt>
                <c:pt idx="283">
                  <c:v>43550</c:v>
                </c:pt>
                <c:pt idx="284">
                  <c:v>43551</c:v>
                </c:pt>
                <c:pt idx="285">
                  <c:v>43552</c:v>
                </c:pt>
                <c:pt idx="286">
                  <c:v>43553</c:v>
                </c:pt>
                <c:pt idx="287">
                  <c:v>43556</c:v>
                </c:pt>
                <c:pt idx="288">
                  <c:v>43557</c:v>
                </c:pt>
                <c:pt idx="289">
                  <c:v>43558</c:v>
                </c:pt>
                <c:pt idx="290">
                  <c:v>43559</c:v>
                </c:pt>
                <c:pt idx="291">
                  <c:v>43560</c:v>
                </c:pt>
                <c:pt idx="292">
                  <c:v>43563</c:v>
                </c:pt>
                <c:pt idx="293">
                  <c:v>43564</c:v>
                </c:pt>
                <c:pt idx="294">
                  <c:v>43565</c:v>
                </c:pt>
                <c:pt idx="295">
                  <c:v>43566</c:v>
                </c:pt>
                <c:pt idx="296">
                  <c:v>43567</c:v>
                </c:pt>
                <c:pt idx="297">
                  <c:v>43570</c:v>
                </c:pt>
                <c:pt idx="298">
                  <c:v>43571</c:v>
                </c:pt>
                <c:pt idx="299">
                  <c:v>43572</c:v>
                </c:pt>
                <c:pt idx="300">
                  <c:v>43573</c:v>
                </c:pt>
                <c:pt idx="301">
                  <c:v>43577</c:v>
                </c:pt>
                <c:pt idx="302">
                  <c:v>43578</c:v>
                </c:pt>
                <c:pt idx="303">
                  <c:v>43579</c:v>
                </c:pt>
                <c:pt idx="304">
                  <c:v>43580</c:v>
                </c:pt>
                <c:pt idx="305">
                  <c:v>43581</c:v>
                </c:pt>
                <c:pt idx="306">
                  <c:v>43584</c:v>
                </c:pt>
                <c:pt idx="307">
                  <c:v>43585</c:v>
                </c:pt>
                <c:pt idx="308">
                  <c:v>43586</c:v>
                </c:pt>
                <c:pt idx="309">
                  <c:v>43587</c:v>
                </c:pt>
                <c:pt idx="310">
                  <c:v>43588</c:v>
                </c:pt>
                <c:pt idx="311">
                  <c:v>43591</c:v>
                </c:pt>
                <c:pt idx="312">
                  <c:v>43592</c:v>
                </c:pt>
                <c:pt idx="313">
                  <c:v>43593</c:v>
                </c:pt>
                <c:pt idx="314">
                  <c:v>43594</c:v>
                </c:pt>
                <c:pt idx="315">
                  <c:v>43595</c:v>
                </c:pt>
                <c:pt idx="316">
                  <c:v>43598</c:v>
                </c:pt>
                <c:pt idx="317">
                  <c:v>43599</c:v>
                </c:pt>
                <c:pt idx="318">
                  <c:v>43600</c:v>
                </c:pt>
                <c:pt idx="319">
                  <c:v>43601</c:v>
                </c:pt>
                <c:pt idx="320">
                  <c:v>43602</c:v>
                </c:pt>
                <c:pt idx="321">
                  <c:v>43605</c:v>
                </c:pt>
                <c:pt idx="322">
                  <c:v>43606</c:v>
                </c:pt>
                <c:pt idx="323">
                  <c:v>43607</c:v>
                </c:pt>
                <c:pt idx="324">
                  <c:v>43608</c:v>
                </c:pt>
                <c:pt idx="325">
                  <c:v>43609</c:v>
                </c:pt>
                <c:pt idx="326">
                  <c:v>43613</c:v>
                </c:pt>
                <c:pt idx="327">
                  <c:v>43614</c:v>
                </c:pt>
                <c:pt idx="328">
                  <c:v>43615</c:v>
                </c:pt>
                <c:pt idx="329">
                  <c:v>43616</c:v>
                </c:pt>
                <c:pt idx="330">
                  <c:v>43619</c:v>
                </c:pt>
                <c:pt idx="331">
                  <c:v>43620</c:v>
                </c:pt>
                <c:pt idx="332">
                  <c:v>43621</c:v>
                </c:pt>
                <c:pt idx="333">
                  <c:v>43622</c:v>
                </c:pt>
                <c:pt idx="334">
                  <c:v>43623</c:v>
                </c:pt>
                <c:pt idx="335">
                  <c:v>43626</c:v>
                </c:pt>
                <c:pt idx="336">
                  <c:v>43627</c:v>
                </c:pt>
                <c:pt idx="337">
                  <c:v>43628</c:v>
                </c:pt>
                <c:pt idx="338">
                  <c:v>43629</c:v>
                </c:pt>
                <c:pt idx="339">
                  <c:v>43630</c:v>
                </c:pt>
                <c:pt idx="340">
                  <c:v>43633</c:v>
                </c:pt>
                <c:pt idx="341">
                  <c:v>43634</c:v>
                </c:pt>
                <c:pt idx="342">
                  <c:v>43635</c:v>
                </c:pt>
                <c:pt idx="343">
                  <c:v>43636</c:v>
                </c:pt>
                <c:pt idx="344">
                  <c:v>43637</c:v>
                </c:pt>
                <c:pt idx="345">
                  <c:v>43640</c:v>
                </c:pt>
                <c:pt idx="346">
                  <c:v>43641</c:v>
                </c:pt>
                <c:pt idx="347">
                  <c:v>43642</c:v>
                </c:pt>
                <c:pt idx="348">
                  <c:v>43643</c:v>
                </c:pt>
                <c:pt idx="349">
                  <c:v>43644</c:v>
                </c:pt>
                <c:pt idx="350">
                  <c:v>43647</c:v>
                </c:pt>
                <c:pt idx="351">
                  <c:v>43648</c:v>
                </c:pt>
                <c:pt idx="352">
                  <c:v>43649</c:v>
                </c:pt>
                <c:pt idx="353">
                  <c:v>43651</c:v>
                </c:pt>
                <c:pt idx="354">
                  <c:v>43654</c:v>
                </c:pt>
                <c:pt idx="355">
                  <c:v>43655</c:v>
                </c:pt>
                <c:pt idx="356">
                  <c:v>43656</c:v>
                </c:pt>
                <c:pt idx="357">
                  <c:v>43657</c:v>
                </c:pt>
                <c:pt idx="358">
                  <c:v>43658</c:v>
                </c:pt>
                <c:pt idx="359">
                  <c:v>43661</c:v>
                </c:pt>
                <c:pt idx="360">
                  <c:v>43662</c:v>
                </c:pt>
                <c:pt idx="361">
                  <c:v>43663</c:v>
                </c:pt>
                <c:pt idx="362">
                  <c:v>43664</c:v>
                </c:pt>
                <c:pt idx="363">
                  <c:v>43665</c:v>
                </c:pt>
                <c:pt idx="364">
                  <c:v>43668</c:v>
                </c:pt>
                <c:pt idx="365">
                  <c:v>43669</c:v>
                </c:pt>
                <c:pt idx="366">
                  <c:v>43670</c:v>
                </c:pt>
                <c:pt idx="367">
                  <c:v>43671</c:v>
                </c:pt>
                <c:pt idx="368">
                  <c:v>43672</c:v>
                </c:pt>
                <c:pt idx="369">
                  <c:v>43675</c:v>
                </c:pt>
                <c:pt idx="370">
                  <c:v>43676</c:v>
                </c:pt>
                <c:pt idx="371">
                  <c:v>43677</c:v>
                </c:pt>
                <c:pt idx="372">
                  <c:v>43678</c:v>
                </c:pt>
                <c:pt idx="373">
                  <c:v>43679</c:v>
                </c:pt>
                <c:pt idx="374">
                  <c:v>43682</c:v>
                </c:pt>
                <c:pt idx="375">
                  <c:v>43683</c:v>
                </c:pt>
                <c:pt idx="376">
                  <c:v>43684</c:v>
                </c:pt>
                <c:pt idx="377">
                  <c:v>43685</c:v>
                </c:pt>
                <c:pt idx="378">
                  <c:v>43686</c:v>
                </c:pt>
                <c:pt idx="379">
                  <c:v>43689</c:v>
                </c:pt>
                <c:pt idx="380">
                  <c:v>43690</c:v>
                </c:pt>
                <c:pt idx="381">
                  <c:v>43691</c:v>
                </c:pt>
                <c:pt idx="382">
                  <c:v>43692</c:v>
                </c:pt>
                <c:pt idx="383">
                  <c:v>43693</c:v>
                </c:pt>
                <c:pt idx="384">
                  <c:v>43696</c:v>
                </c:pt>
                <c:pt idx="385">
                  <c:v>43697</c:v>
                </c:pt>
                <c:pt idx="386">
                  <c:v>43698</c:v>
                </c:pt>
                <c:pt idx="387">
                  <c:v>43699</c:v>
                </c:pt>
                <c:pt idx="388">
                  <c:v>43700</c:v>
                </c:pt>
                <c:pt idx="389">
                  <c:v>43703</c:v>
                </c:pt>
                <c:pt idx="390">
                  <c:v>43704</c:v>
                </c:pt>
                <c:pt idx="391">
                  <c:v>43705</c:v>
                </c:pt>
                <c:pt idx="392">
                  <c:v>43706</c:v>
                </c:pt>
                <c:pt idx="393">
                  <c:v>43707</c:v>
                </c:pt>
                <c:pt idx="394">
                  <c:v>43711</c:v>
                </c:pt>
                <c:pt idx="395">
                  <c:v>43712</c:v>
                </c:pt>
                <c:pt idx="396">
                  <c:v>43713</c:v>
                </c:pt>
                <c:pt idx="397">
                  <c:v>43714</c:v>
                </c:pt>
                <c:pt idx="398">
                  <c:v>43717</c:v>
                </c:pt>
                <c:pt idx="399">
                  <c:v>43718</c:v>
                </c:pt>
                <c:pt idx="400">
                  <c:v>43719</c:v>
                </c:pt>
                <c:pt idx="401">
                  <c:v>43720</c:v>
                </c:pt>
                <c:pt idx="402">
                  <c:v>43721</c:v>
                </c:pt>
                <c:pt idx="403">
                  <c:v>43724</c:v>
                </c:pt>
                <c:pt idx="404">
                  <c:v>43725</c:v>
                </c:pt>
                <c:pt idx="405">
                  <c:v>43726</c:v>
                </c:pt>
                <c:pt idx="406">
                  <c:v>43727</c:v>
                </c:pt>
                <c:pt idx="407">
                  <c:v>43728</c:v>
                </c:pt>
                <c:pt idx="408">
                  <c:v>43731</c:v>
                </c:pt>
                <c:pt idx="409">
                  <c:v>43732</c:v>
                </c:pt>
                <c:pt idx="410">
                  <c:v>43733</c:v>
                </c:pt>
                <c:pt idx="411">
                  <c:v>43734</c:v>
                </c:pt>
                <c:pt idx="412">
                  <c:v>43735</c:v>
                </c:pt>
                <c:pt idx="413">
                  <c:v>43738</c:v>
                </c:pt>
                <c:pt idx="414">
                  <c:v>43739</c:v>
                </c:pt>
                <c:pt idx="415">
                  <c:v>43740</c:v>
                </c:pt>
                <c:pt idx="416">
                  <c:v>43741</c:v>
                </c:pt>
                <c:pt idx="417">
                  <c:v>43742</c:v>
                </c:pt>
                <c:pt idx="418">
                  <c:v>43745</c:v>
                </c:pt>
                <c:pt idx="419">
                  <c:v>43746</c:v>
                </c:pt>
                <c:pt idx="420">
                  <c:v>43747</c:v>
                </c:pt>
                <c:pt idx="421">
                  <c:v>43748</c:v>
                </c:pt>
                <c:pt idx="422">
                  <c:v>43749</c:v>
                </c:pt>
                <c:pt idx="423">
                  <c:v>43752</c:v>
                </c:pt>
                <c:pt idx="424">
                  <c:v>43753</c:v>
                </c:pt>
                <c:pt idx="425">
                  <c:v>43754</c:v>
                </c:pt>
                <c:pt idx="426">
                  <c:v>43755</c:v>
                </c:pt>
                <c:pt idx="427">
                  <c:v>43756</c:v>
                </c:pt>
                <c:pt idx="428">
                  <c:v>43759</c:v>
                </c:pt>
                <c:pt idx="429">
                  <c:v>43760</c:v>
                </c:pt>
                <c:pt idx="430">
                  <c:v>43761</c:v>
                </c:pt>
                <c:pt idx="431">
                  <c:v>43762</c:v>
                </c:pt>
                <c:pt idx="432">
                  <c:v>43763</c:v>
                </c:pt>
                <c:pt idx="433">
                  <c:v>43766</c:v>
                </c:pt>
                <c:pt idx="434">
                  <c:v>43767</c:v>
                </c:pt>
                <c:pt idx="435">
                  <c:v>43768</c:v>
                </c:pt>
                <c:pt idx="436">
                  <c:v>43769</c:v>
                </c:pt>
                <c:pt idx="437">
                  <c:v>43770</c:v>
                </c:pt>
                <c:pt idx="438">
                  <c:v>43773</c:v>
                </c:pt>
                <c:pt idx="439">
                  <c:v>43774</c:v>
                </c:pt>
                <c:pt idx="440">
                  <c:v>43775</c:v>
                </c:pt>
                <c:pt idx="441">
                  <c:v>43776</c:v>
                </c:pt>
                <c:pt idx="442">
                  <c:v>43777</c:v>
                </c:pt>
                <c:pt idx="443">
                  <c:v>43780</c:v>
                </c:pt>
                <c:pt idx="444">
                  <c:v>43781</c:v>
                </c:pt>
                <c:pt idx="445">
                  <c:v>43782</c:v>
                </c:pt>
                <c:pt idx="446">
                  <c:v>43783</c:v>
                </c:pt>
                <c:pt idx="447">
                  <c:v>43784</c:v>
                </c:pt>
                <c:pt idx="448">
                  <c:v>43787</c:v>
                </c:pt>
                <c:pt idx="449">
                  <c:v>43788</c:v>
                </c:pt>
                <c:pt idx="450">
                  <c:v>43789</c:v>
                </c:pt>
                <c:pt idx="451">
                  <c:v>43790</c:v>
                </c:pt>
                <c:pt idx="452">
                  <c:v>43791</c:v>
                </c:pt>
                <c:pt idx="453">
                  <c:v>43794</c:v>
                </c:pt>
                <c:pt idx="454">
                  <c:v>43795</c:v>
                </c:pt>
                <c:pt idx="455">
                  <c:v>43796</c:v>
                </c:pt>
                <c:pt idx="456">
                  <c:v>43798</c:v>
                </c:pt>
                <c:pt idx="457">
                  <c:v>43801</c:v>
                </c:pt>
                <c:pt idx="458">
                  <c:v>43802</c:v>
                </c:pt>
                <c:pt idx="459">
                  <c:v>43803</c:v>
                </c:pt>
                <c:pt idx="460">
                  <c:v>43804</c:v>
                </c:pt>
                <c:pt idx="461">
                  <c:v>43805</c:v>
                </c:pt>
                <c:pt idx="462">
                  <c:v>43808</c:v>
                </c:pt>
                <c:pt idx="463">
                  <c:v>43809</c:v>
                </c:pt>
                <c:pt idx="464">
                  <c:v>43810</c:v>
                </c:pt>
                <c:pt idx="465">
                  <c:v>43811</c:v>
                </c:pt>
                <c:pt idx="466">
                  <c:v>43812</c:v>
                </c:pt>
                <c:pt idx="467">
                  <c:v>43815</c:v>
                </c:pt>
                <c:pt idx="468">
                  <c:v>43816</c:v>
                </c:pt>
                <c:pt idx="469">
                  <c:v>43817</c:v>
                </c:pt>
                <c:pt idx="470">
                  <c:v>43818</c:v>
                </c:pt>
                <c:pt idx="471">
                  <c:v>43819</c:v>
                </c:pt>
                <c:pt idx="472">
                  <c:v>43822</c:v>
                </c:pt>
                <c:pt idx="473">
                  <c:v>43823</c:v>
                </c:pt>
                <c:pt idx="474">
                  <c:v>43825</c:v>
                </c:pt>
                <c:pt idx="475">
                  <c:v>43826</c:v>
                </c:pt>
                <c:pt idx="476">
                  <c:v>43829</c:v>
                </c:pt>
                <c:pt idx="477">
                  <c:v>43830</c:v>
                </c:pt>
                <c:pt idx="478">
                  <c:v>43832</c:v>
                </c:pt>
                <c:pt idx="479">
                  <c:v>43833</c:v>
                </c:pt>
                <c:pt idx="480">
                  <c:v>43836</c:v>
                </c:pt>
                <c:pt idx="481">
                  <c:v>43837</c:v>
                </c:pt>
                <c:pt idx="482">
                  <c:v>43838</c:v>
                </c:pt>
                <c:pt idx="483">
                  <c:v>43839</c:v>
                </c:pt>
                <c:pt idx="484">
                  <c:v>43840</c:v>
                </c:pt>
                <c:pt idx="485">
                  <c:v>43843</c:v>
                </c:pt>
                <c:pt idx="486">
                  <c:v>43844</c:v>
                </c:pt>
                <c:pt idx="487">
                  <c:v>43845</c:v>
                </c:pt>
                <c:pt idx="488">
                  <c:v>43846</c:v>
                </c:pt>
                <c:pt idx="489">
                  <c:v>43847</c:v>
                </c:pt>
                <c:pt idx="490">
                  <c:v>43851</c:v>
                </c:pt>
                <c:pt idx="491">
                  <c:v>43852</c:v>
                </c:pt>
                <c:pt idx="492">
                  <c:v>43853</c:v>
                </c:pt>
                <c:pt idx="493">
                  <c:v>43854</c:v>
                </c:pt>
                <c:pt idx="494">
                  <c:v>43857</c:v>
                </c:pt>
                <c:pt idx="495">
                  <c:v>43858</c:v>
                </c:pt>
                <c:pt idx="496">
                  <c:v>43859</c:v>
                </c:pt>
                <c:pt idx="497">
                  <c:v>43860</c:v>
                </c:pt>
                <c:pt idx="498">
                  <c:v>43861</c:v>
                </c:pt>
                <c:pt idx="499">
                  <c:v>43864</c:v>
                </c:pt>
                <c:pt idx="500">
                  <c:v>43864</c:v>
                </c:pt>
              </c:numCache>
            </c:numRef>
          </c:cat>
          <c:val>
            <c:numRef>
              <c:f>Data!$C$2:$C$502</c:f>
              <c:numCache>
                <c:formatCode>General</c:formatCode>
                <c:ptCount val="501"/>
                <c:pt idx="0">
                  <c:v>2681.6599120000001</c:v>
                </c:pt>
                <c:pt idx="1">
                  <c:v>2581</c:v>
                </c:pt>
                <c:pt idx="2">
                  <c:v>2619.5500489999999</c:v>
                </c:pt>
                <c:pt idx="3">
                  <c:v>2656</c:v>
                </c:pt>
                <c:pt idx="4">
                  <c:v>2662.9399410000001</c:v>
                </c:pt>
                <c:pt idx="5">
                  <c:v>2698.6298830000001</c:v>
                </c:pt>
                <c:pt idx="6">
                  <c:v>2731.1999510000001</c:v>
                </c:pt>
                <c:pt idx="7">
                  <c:v>2732.219971</c:v>
                </c:pt>
                <c:pt idx="8">
                  <c:v>2716.26001</c:v>
                </c:pt>
                <c:pt idx="9">
                  <c:v>2701.330078</c:v>
                </c:pt>
                <c:pt idx="10">
                  <c:v>2703.959961</c:v>
                </c:pt>
                <c:pt idx="11">
                  <c:v>2747.3000489999999</c:v>
                </c:pt>
                <c:pt idx="12">
                  <c:v>2779.6000979999999</c:v>
                </c:pt>
                <c:pt idx="13">
                  <c:v>2744.280029</c:v>
                </c:pt>
                <c:pt idx="14">
                  <c:v>2713.830078</c:v>
                </c:pt>
                <c:pt idx="15">
                  <c:v>2677.669922</c:v>
                </c:pt>
                <c:pt idx="16">
                  <c:v>2691.25</c:v>
                </c:pt>
                <c:pt idx="17">
                  <c:v>2720.9399410000001</c:v>
                </c:pt>
                <c:pt idx="18">
                  <c:v>2728.1201169999999</c:v>
                </c:pt>
                <c:pt idx="19">
                  <c:v>2726.8000489999999</c:v>
                </c:pt>
                <c:pt idx="20">
                  <c:v>2738.969971</c:v>
                </c:pt>
                <c:pt idx="21">
                  <c:v>2786.570068</c:v>
                </c:pt>
                <c:pt idx="22">
                  <c:v>2783.0200199999999</c:v>
                </c:pt>
                <c:pt idx="23">
                  <c:v>2765.3100589999999</c:v>
                </c:pt>
                <c:pt idx="24">
                  <c:v>2749.4799800000001</c:v>
                </c:pt>
                <c:pt idx="25">
                  <c:v>2747.330078</c:v>
                </c:pt>
                <c:pt idx="26">
                  <c:v>2752.01001</c:v>
                </c:pt>
                <c:pt idx="27">
                  <c:v>2712.919922</c:v>
                </c:pt>
                <c:pt idx="28">
                  <c:v>2716.9399410000001</c:v>
                </c:pt>
                <c:pt idx="29">
                  <c:v>2711.929932</c:v>
                </c:pt>
                <c:pt idx="30">
                  <c:v>2643.6899410000001</c:v>
                </c:pt>
                <c:pt idx="31">
                  <c:v>2588.26001</c:v>
                </c:pt>
                <c:pt idx="32">
                  <c:v>2658.5500489999999</c:v>
                </c:pt>
                <c:pt idx="33">
                  <c:v>2612.6201169999999</c:v>
                </c:pt>
                <c:pt idx="34">
                  <c:v>2605</c:v>
                </c:pt>
                <c:pt idx="35">
                  <c:v>2640.8701169999999</c:v>
                </c:pt>
                <c:pt idx="36">
                  <c:v>2581.8798830000001</c:v>
                </c:pt>
                <c:pt idx="37">
                  <c:v>2614.4499510000001</c:v>
                </c:pt>
                <c:pt idx="38">
                  <c:v>2644.6899410000001</c:v>
                </c:pt>
                <c:pt idx="39">
                  <c:v>2662.8400879999999</c:v>
                </c:pt>
                <c:pt idx="40">
                  <c:v>2604.469971</c:v>
                </c:pt>
                <c:pt idx="41">
                  <c:v>2613.1599120000001</c:v>
                </c:pt>
                <c:pt idx="42">
                  <c:v>2656.8701169999999</c:v>
                </c:pt>
                <c:pt idx="43">
                  <c:v>2642.1899410000001</c:v>
                </c:pt>
                <c:pt idx="44">
                  <c:v>2663.98999</c:v>
                </c:pt>
                <c:pt idx="45">
                  <c:v>2656.3000489999999</c:v>
                </c:pt>
                <c:pt idx="46">
                  <c:v>2677.8400879999999</c:v>
                </c:pt>
                <c:pt idx="47">
                  <c:v>2706.389893</c:v>
                </c:pt>
                <c:pt idx="48">
                  <c:v>2708.639893</c:v>
                </c:pt>
                <c:pt idx="49">
                  <c:v>2693.1298830000001</c:v>
                </c:pt>
                <c:pt idx="50">
                  <c:v>2670.139893</c:v>
                </c:pt>
                <c:pt idx="51">
                  <c:v>2670.290039</c:v>
                </c:pt>
                <c:pt idx="52">
                  <c:v>2634.5600589999999</c:v>
                </c:pt>
                <c:pt idx="53">
                  <c:v>2639.3999020000001</c:v>
                </c:pt>
                <c:pt idx="54">
                  <c:v>2666.9399410000001</c:v>
                </c:pt>
                <c:pt idx="55">
                  <c:v>2669.9099120000001</c:v>
                </c:pt>
                <c:pt idx="56">
                  <c:v>2648.0500489999999</c:v>
                </c:pt>
                <c:pt idx="57">
                  <c:v>2654.8000489999999</c:v>
                </c:pt>
                <c:pt idx="58">
                  <c:v>2635.669922</c:v>
                </c:pt>
                <c:pt idx="59">
                  <c:v>2629.7299800000001</c:v>
                </c:pt>
                <c:pt idx="60">
                  <c:v>2663.419922</c:v>
                </c:pt>
                <c:pt idx="61">
                  <c:v>2672.6298830000001</c:v>
                </c:pt>
                <c:pt idx="62">
                  <c:v>2671.919922</c:v>
                </c:pt>
                <c:pt idx="63">
                  <c:v>2697.790039</c:v>
                </c:pt>
                <c:pt idx="64">
                  <c:v>2723.070068</c:v>
                </c:pt>
                <c:pt idx="65">
                  <c:v>2727.719971</c:v>
                </c:pt>
                <c:pt idx="66">
                  <c:v>2730.1298830000001</c:v>
                </c:pt>
                <c:pt idx="67">
                  <c:v>2711.4499510000001</c:v>
                </c:pt>
                <c:pt idx="68">
                  <c:v>2722.459961</c:v>
                </c:pt>
                <c:pt idx="69">
                  <c:v>2720.1298830000001</c:v>
                </c:pt>
                <c:pt idx="70">
                  <c:v>2712.969971</c:v>
                </c:pt>
                <c:pt idx="71">
                  <c:v>2733.01001</c:v>
                </c:pt>
                <c:pt idx="72">
                  <c:v>2724.4399410000001</c:v>
                </c:pt>
                <c:pt idx="73">
                  <c:v>2733.290039</c:v>
                </c:pt>
                <c:pt idx="74">
                  <c:v>2727.76001</c:v>
                </c:pt>
                <c:pt idx="75">
                  <c:v>2721.330078</c:v>
                </c:pt>
                <c:pt idx="76">
                  <c:v>2689.860107</c:v>
                </c:pt>
                <c:pt idx="77">
                  <c:v>2724.01001</c:v>
                </c:pt>
                <c:pt idx="78">
                  <c:v>2705.2700199999999</c:v>
                </c:pt>
                <c:pt idx="79">
                  <c:v>2734.6201169999999</c:v>
                </c:pt>
                <c:pt idx="80">
                  <c:v>2746.8701169999999</c:v>
                </c:pt>
                <c:pt idx="81">
                  <c:v>2748.8000489999999</c:v>
                </c:pt>
                <c:pt idx="82">
                  <c:v>2772.3500979999999</c:v>
                </c:pt>
                <c:pt idx="83">
                  <c:v>2770.3701169999999</c:v>
                </c:pt>
                <c:pt idx="84">
                  <c:v>2779.030029</c:v>
                </c:pt>
                <c:pt idx="85">
                  <c:v>2782</c:v>
                </c:pt>
                <c:pt idx="86">
                  <c:v>2786.8500979999999</c:v>
                </c:pt>
                <c:pt idx="87">
                  <c:v>2775.6298830000001</c:v>
                </c:pt>
                <c:pt idx="88">
                  <c:v>2782.48999</c:v>
                </c:pt>
                <c:pt idx="89">
                  <c:v>2779.6599120000001</c:v>
                </c:pt>
                <c:pt idx="90">
                  <c:v>2773.75</c:v>
                </c:pt>
                <c:pt idx="91">
                  <c:v>2762.5900879999999</c:v>
                </c:pt>
                <c:pt idx="92">
                  <c:v>2767.320068</c:v>
                </c:pt>
                <c:pt idx="93">
                  <c:v>2749.76001</c:v>
                </c:pt>
                <c:pt idx="94">
                  <c:v>2754.8798830000001</c:v>
                </c:pt>
                <c:pt idx="95">
                  <c:v>2717.070068</c:v>
                </c:pt>
                <c:pt idx="96">
                  <c:v>2723.0600589999999</c:v>
                </c:pt>
                <c:pt idx="97">
                  <c:v>2699.6298830000001</c:v>
                </c:pt>
                <c:pt idx="98">
                  <c:v>2716.3100589999999</c:v>
                </c:pt>
                <c:pt idx="99">
                  <c:v>2718.3701169999999</c:v>
                </c:pt>
                <c:pt idx="100">
                  <c:v>2726.709961</c:v>
                </c:pt>
                <c:pt idx="101">
                  <c:v>2713.219971</c:v>
                </c:pt>
                <c:pt idx="102">
                  <c:v>2736.610107</c:v>
                </c:pt>
                <c:pt idx="103">
                  <c:v>2759.820068</c:v>
                </c:pt>
                <c:pt idx="104">
                  <c:v>2784.169922</c:v>
                </c:pt>
                <c:pt idx="105">
                  <c:v>2793.8400879999999</c:v>
                </c:pt>
                <c:pt idx="106">
                  <c:v>2774.0200199999999</c:v>
                </c:pt>
                <c:pt idx="107">
                  <c:v>2798.290039</c:v>
                </c:pt>
                <c:pt idx="108">
                  <c:v>2801.3100589999999</c:v>
                </c:pt>
                <c:pt idx="109">
                  <c:v>2798.429932</c:v>
                </c:pt>
                <c:pt idx="110">
                  <c:v>2809.5500489999999</c:v>
                </c:pt>
                <c:pt idx="111">
                  <c:v>2815.6201169999999</c:v>
                </c:pt>
                <c:pt idx="112">
                  <c:v>2804.48999</c:v>
                </c:pt>
                <c:pt idx="113">
                  <c:v>2801.830078</c:v>
                </c:pt>
                <c:pt idx="114">
                  <c:v>2806.9799800000001</c:v>
                </c:pt>
                <c:pt idx="115">
                  <c:v>2820.3999020000001</c:v>
                </c:pt>
                <c:pt idx="116">
                  <c:v>2846.070068</c:v>
                </c:pt>
                <c:pt idx="117">
                  <c:v>2837.4399410000001</c:v>
                </c:pt>
                <c:pt idx="118">
                  <c:v>2818.820068</c:v>
                </c:pt>
                <c:pt idx="119">
                  <c:v>2802.6000979999999</c:v>
                </c:pt>
                <c:pt idx="120">
                  <c:v>2816.290039</c:v>
                </c:pt>
                <c:pt idx="121">
                  <c:v>2813.360107</c:v>
                </c:pt>
                <c:pt idx="122">
                  <c:v>2827.219971</c:v>
                </c:pt>
                <c:pt idx="123">
                  <c:v>2840.3500979999999</c:v>
                </c:pt>
                <c:pt idx="124">
                  <c:v>2850.3999020000001</c:v>
                </c:pt>
                <c:pt idx="125">
                  <c:v>2858.4499510000001</c:v>
                </c:pt>
                <c:pt idx="126">
                  <c:v>2857.6999510000001</c:v>
                </c:pt>
                <c:pt idx="127">
                  <c:v>2853.580078</c:v>
                </c:pt>
                <c:pt idx="128">
                  <c:v>2833.280029</c:v>
                </c:pt>
                <c:pt idx="129">
                  <c:v>2821.929932</c:v>
                </c:pt>
                <c:pt idx="130">
                  <c:v>2839.959961</c:v>
                </c:pt>
                <c:pt idx="131">
                  <c:v>2818.3701169999999</c:v>
                </c:pt>
                <c:pt idx="132">
                  <c:v>2840.6899410000001</c:v>
                </c:pt>
                <c:pt idx="133">
                  <c:v>2850.1298830000001</c:v>
                </c:pt>
                <c:pt idx="134">
                  <c:v>2857.0500489999999</c:v>
                </c:pt>
                <c:pt idx="135">
                  <c:v>2862.959961</c:v>
                </c:pt>
                <c:pt idx="136">
                  <c:v>2861.820068</c:v>
                </c:pt>
                <c:pt idx="137">
                  <c:v>2856.9799800000001</c:v>
                </c:pt>
                <c:pt idx="138">
                  <c:v>2874.6899410000001</c:v>
                </c:pt>
                <c:pt idx="139">
                  <c:v>2896.73999</c:v>
                </c:pt>
                <c:pt idx="140">
                  <c:v>2897.5200199999999</c:v>
                </c:pt>
                <c:pt idx="141">
                  <c:v>2914.040039</c:v>
                </c:pt>
                <c:pt idx="142">
                  <c:v>2901.1298830000001</c:v>
                </c:pt>
                <c:pt idx="143">
                  <c:v>2901.5200199999999</c:v>
                </c:pt>
                <c:pt idx="144">
                  <c:v>2896.719971</c:v>
                </c:pt>
                <c:pt idx="145">
                  <c:v>2888.6000979999999</c:v>
                </c:pt>
                <c:pt idx="146">
                  <c:v>2878.0500489999999</c:v>
                </c:pt>
                <c:pt idx="147">
                  <c:v>2871.679932</c:v>
                </c:pt>
                <c:pt idx="148">
                  <c:v>2877.1298830000001</c:v>
                </c:pt>
                <c:pt idx="149">
                  <c:v>2887.889893</c:v>
                </c:pt>
                <c:pt idx="150">
                  <c:v>2888.919922</c:v>
                </c:pt>
                <c:pt idx="151">
                  <c:v>2904.179932</c:v>
                </c:pt>
                <c:pt idx="152">
                  <c:v>2904.9799800000001</c:v>
                </c:pt>
                <c:pt idx="153">
                  <c:v>2888.8000489999999</c:v>
                </c:pt>
                <c:pt idx="154">
                  <c:v>2904.3100589999999</c:v>
                </c:pt>
                <c:pt idx="155">
                  <c:v>2907.9499510000001</c:v>
                </c:pt>
                <c:pt idx="156">
                  <c:v>2930.75</c:v>
                </c:pt>
                <c:pt idx="157">
                  <c:v>2929.669922</c:v>
                </c:pt>
                <c:pt idx="158">
                  <c:v>2919.3701169999999</c:v>
                </c:pt>
                <c:pt idx="159">
                  <c:v>2915.5600589999999</c:v>
                </c:pt>
                <c:pt idx="160">
                  <c:v>2905.969971</c:v>
                </c:pt>
                <c:pt idx="161">
                  <c:v>2914</c:v>
                </c:pt>
                <c:pt idx="162">
                  <c:v>2913.9799800000001</c:v>
                </c:pt>
                <c:pt idx="163">
                  <c:v>2924.5900879999999</c:v>
                </c:pt>
                <c:pt idx="164">
                  <c:v>2923.429932</c:v>
                </c:pt>
                <c:pt idx="165">
                  <c:v>2925.51001</c:v>
                </c:pt>
                <c:pt idx="166">
                  <c:v>2901.610107</c:v>
                </c:pt>
                <c:pt idx="167">
                  <c:v>2885.570068</c:v>
                </c:pt>
                <c:pt idx="168">
                  <c:v>2884.429932</c:v>
                </c:pt>
                <c:pt idx="169">
                  <c:v>2880.3400879999999</c:v>
                </c:pt>
                <c:pt idx="170">
                  <c:v>2785.679932</c:v>
                </c:pt>
                <c:pt idx="171">
                  <c:v>2728.3701169999999</c:v>
                </c:pt>
                <c:pt idx="172">
                  <c:v>2767.1298830000001</c:v>
                </c:pt>
                <c:pt idx="173">
                  <c:v>2750.790039</c:v>
                </c:pt>
                <c:pt idx="174">
                  <c:v>2809.919922</c:v>
                </c:pt>
                <c:pt idx="175">
                  <c:v>2809.209961</c:v>
                </c:pt>
                <c:pt idx="176">
                  <c:v>2768.780029</c:v>
                </c:pt>
                <c:pt idx="177">
                  <c:v>2767.780029</c:v>
                </c:pt>
                <c:pt idx="178">
                  <c:v>2755.8798830000001</c:v>
                </c:pt>
                <c:pt idx="179">
                  <c:v>2740.6899410000001</c:v>
                </c:pt>
                <c:pt idx="180">
                  <c:v>2656.1000979999999</c:v>
                </c:pt>
                <c:pt idx="181">
                  <c:v>2705.570068</c:v>
                </c:pt>
                <c:pt idx="182">
                  <c:v>2658.6899410000001</c:v>
                </c:pt>
                <c:pt idx="183">
                  <c:v>2641.25</c:v>
                </c:pt>
                <c:pt idx="184">
                  <c:v>2682.6298830000001</c:v>
                </c:pt>
                <c:pt idx="185">
                  <c:v>2711.73999</c:v>
                </c:pt>
                <c:pt idx="186">
                  <c:v>2740.3701169999999</c:v>
                </c:pt>
                <c:pt idx="187">
                  <c:v>2723.0600589999999</c:v>
                </c:pt>
                <c:pt idx="188">
                  <c:v>2738.3100589999999</c:v>
                </c:pt>
                <c:pt idx="189">
                  <c:v>2755.4499510000001</c:v>
                </c:pt>
                <c:pt idx="190">
                  <c:v>2813.889893</c:v>
                </c:pt>
                <c:pt idx="191">
                  <c:v>2806.830078</c:v>
                </c:pt>
                <c:pt idx="192">
                  <c:v>2781.01001</c:v>
                </c:pt>
                <c:pt idx="193">
                  <c:v>2726.219971</c:v>
                </c:pt>
                <c:pt idx="194">
                  <c:v>2722.179932</c:v>
                </c:pt>
                <c:pt idx="195">
                  <c:v>2701.580078</c:v>
                </c:pt>
                <c:pt idx="196">
                  <c:v>2730.1999510000001</c:v>
                </c:pt>
                <c:pt idx="197">
                  <c:v>2736.2700199999999</c:v>
                </c:pt>
                <c:pt idx="198">
                  <c:v>2690.7299800000001</c:v>
                </c:pt>
                <c:pt idx="199">
                  <c:v>2641.889893</c:v>
                </c:pt>
                <c:pt idx="200">
                  <c:v>2649.929932</c:v>
                </c:pt>
                <c:pt idx="201">
                  <c:v>2632.5600589999999</c:v>
                </c:pt>
                <c:pt idx="202">
                  <c:v>2673.4499510000001</c:v>
                </c:pt>
                <c:pt idx="203">
                  <c:v>2682.169922</c:v>
                </c:pt>
                <c:pt idx="204">
                  <c:v>2743.790039</c:v>
                </c:pt>
                <c:pt idx="205">
                  <c:v>2737.8000489999999</c:v>
                </c:pt>
                <c:pt idx="206">
                  <c:v>2760.169922</c:v>
                </c:pt>
                <c:pt idx="207">
                  <c:v>2790.3701169999999</c:v>
                </c:pt>
                <c:pt idx="208">
                  <c:v>2700.0600589999999</c:v>
                </c:pt>
                <c:pt idx="209">
                  <c:v>2695.9499510000001</c:v>
                </c:pt>
                <c:pt idx="210">
                  <c:v>2633.080078</c:v>
                </c:pt>
                <c:pt idx="211">
                  <c:v>2637.719971</c:v>
                </c:pt>
                <c:pt idx="212">
                  <c:v>2636.780029</c:v>
                </c:pt>
                <c:pt idx="213">
                  <c:v>2651.070068</c:v>
                </c:pt>
                <c:pt idx="214">
                  <c:v>2650.540039</c:v>
                </c:pt>
                <c:pt idx="215">
                  <c:v>2599.9499510000001</c:v>
                </c:pt>
                <c:pt idx="216">
                  <c:v>2545.9399410000001</c:v>
                </c:pt>
                <c:pt idx="217">
                  <c:v>2546.1599120000001</c:v>
                </c:pt>
                <c:pt idx="218">
                  <c:v>2506.959961</c:v>
                </c:pt>
                <c:pt idx="219">
                  <c:v>2467.419922</c:v>
                </c:pt>
                <c:pt idx="220">
                  <c:v>2416.6201169999999</c:v>
                </c:pt>
                <c:pt idx="221">
                  <c:v>2351.1000979999999</c:v>
                </c:pt>
                <c:pt idx="222">
                  <c:v>2467.6999510000001</c:v>
                </c:pt>
                <c:pt idx="223">
                  <c:v>2488.830078</c:v>
                </c:pt>
                <c:pt idx="224">
                  <c:v>2485.73999</c:v>
                </c:pt>
                <c:pt idx="225">
                  <c:v>2506.8500979999999</c:v>
                </c:pt>
                <c:pt idx="226">
                  <c:v>2510.030029</c:v>
                </c:pt>
                <c:pt idx="227">
                  <c:v>2447.889893</c:v>
                </c:pt>
                <c:pt idx="228">
                  <c:v>2531.9399410000001</c:v>
                </c:pt>
                <c:pt idx="229">
                  <c:v>2549.6899410000001</c:v>
                </c:pt>
                <c:pt idx="230">
                  <c:v>2574.4099120000001</c:v>
                </c:pt>
                <c:pt idx="231">
                  <c:v>2584.959961</c:v>
                </c:pt>
                <c:pt idx="232">
                  <c:v>2596.639893</c:v>
                </c:pt>
                <c:pt idx="233">
                  <c:v>2596.26001</c:v>
                </c:pt>
                <c:pt idx="234">
                  <c:v>2582.610107</c:v>
                </c:pt>
                <c:pt idx="235">
                  <c:v>2610.3000489999999</c:v>
                </c:pt>
                <c:pt idx="236">
                  <c:v>2616.1000979999999</c:v>
                </c:pt>
                <c:pt idx="237">
                  <c:v>2635.959961</c:v>
                </c:pt>
                <c:pt idx="238">
                  <c:v>2670.709961</c:v>
                </c:pt>
                <c:pt idx="239">
                  <c:v>2632.8999020000001</c:v>
                </c:pt>
                <c:pt idx="240">
                  <c:v>2638.6999510000001</c:v>
                </c:pt>
                <c:pt idx="241">
                  <c:v>2642.330078</c:v>
                </c:pt>
                <c:pt idx="242">
                  <c:v>2664.76001</c:v>
                </c:pt>
                <c:pt idx="243">
                  <c:v>2643.8500979999999</c:v>
                </c:pt>
                <c:pt idx="244">
                  <c:v>2640</c:v>
                </c:pt>
                <c:pt idx="245">
                  <c:v>2681.0500489999999</c:v>
                </c:pt>
                <c:pt idx="246">
                  <c:v>2704.1000979999999</c:v>
                </c:pt>
                <c:pt idx="247">
                  <c:v>2706.530029</c:v>
                </c:pt>
                <c:pt idx="248">
                  <c:v>2724.8701169999999</c:v>
                </c:pt>
                <c:pt idx="249">
                  <c:v>2737.6999510000001</c:v>
                </c:pt>
                <c:pt idx="250">
                  <c:v>2731.610107</c:v>
                </c:pt>
                <c:pt idx="251">
                  <c:v>2706.0500489999999</c:v>
                </c:pt>
                <c:pt idx="252">
                  <c:v>2707.8798830000001</c:v>
                </c:pt>
                <c:pt idx="253">
                  <c:v>2709.8000489999999</c:v>
                </c:pt>
                <c:pt idx="254">
                  <c:v>2744.7299800000001</c:v>
                </c:pt>
                <c:pt idx="255">
                  <c:v>2753.030029</c:v>
                </c:pt>
                <c:pt idx="256">
                  <c:v>2745.7299800000001</c:v>
                </c:pt>
                <c:pt idx="257">
                  <c:v>2775.6000979999999</c:v>
                </c:pt>
                <c:pt idx="258">
                  <c:v>2779.76001</c:v>
                </c:pt>
                <c:pt idx="259">
                  <c:v>2784.6999510000001</c:v>
                </c:pt>
                <c:pt idx="260">
                  <c:v>2774.8798830000001</c:v>
                </c:pt>
                <c:pt idx="261">
                  <c:v>2792.669922</c:v>
                </c:pt>
                <c:pt idx="262">
                  <c:v>2796.110107</c:v>
                </c:pt>
                <c:pt idx="263">
                  <c:v>2793.8999020000001</c:v>
                </c:pt>
                <c:pt idx="264">
                  <c:v>2792.3798830000001</c:v>
                </c:pt>
                <c:pt idx="265">
                  <c:v>2784.48999</c:v>
                </c:pt>
                <c:pt idx="266">
                  <c:v>2803.6899410000001</c:v>
                </c:pt>
                <c:pt idx="267">
                  <c:v>2792.8100589999999</c:v>
                </c:pt>
                <c:pt idx="268">
                  <c:v>2789.6499020000001</c:v>
                </c:pt>
                <c:pt idx="269">
                  <c:v>2771.4499510000001</c:v>
                </c:pt>
                <c:pt idx="270">
                  <c:v>2748.929932</c:v>
                </c:pt>
                <c:pt idx="271">
                  <c:v>2743.070068</c:v>
                </c:pt>
                <c:pt idx="272">
                  <c:v>2783.3000489999999</c:v>
                </c:pt>
                <c:pt idx="273">
                  <c:v>2791.5200199999999</c:v>
                </c:pt>
                <c:pt idx="274">
                  <c:v>2810.919922</c:v>
                </c:pt>
                <c:pt idx="275">
                  <c:v>2808.4799800000001</c:v>
                </c:pt>
                <c:pt idx="276">
                  <c:v>2822.4799800000001</c:v>
                </c:pt>
                <c:pt idx="277">
                  <c:v>2832.9399410000001</c:v>
                </c:pt>
                <c:pt idx="278">
                  <c:v>2832.570068</c:v>
                </c:pt>
                <c:pt idx="279">
                  <c:v>2824.2299800000001</c:v>
                </c:pt>
                <c:pt idx="280">
                  <c:v>2854.8798830000001</c:v>
                </c:pt>
                <c:pt idx="281">
                  <c:v>2800.709961</c:v>
                </c:pt>
                <c:pt idx="282">
                  <c:v>2798.360107</c:v>
                </c:pt>
                <c:pt idx="283">
                  <c:v>2818.459961</c:v>
                </c:pt>
                <c:pt idx="284">
                  <c:v>2805.3701169999999</c:v>
                </c:pt>
                <c:pt idx="285">
                  <c:v>2815.4399410000001</c:v>
                </c:pt>
                <c:pt idx="286">
                  <c:v>2834.3999020000001</c:v>
                </c:pt>
                <c:pt idx="287">
                  <c:v>2867.1899410000001</c:v>
                </c:pt>
                <c:pt idx="288">
                  <c:v>2867.23999</c:v>
                </c:pt>
                <c:pt idx="289">
                  <c:v>2873.3999020000001</c:v>
                </c:pt>
                <c:pt idx="290">
                  <c:v>2879.389893</c:v>
                </c:pt>
                <c:pt idx="291">
                  <c:v>2892.73999</c:v>
                </c:pt>
                <c:pt idx="292">
                  <c:v>2895.7700199999999</c:v>
                </c:pt>
                <c:pt idx="293">
                  <c:v>2878.1999510000001</c:v>
                </c:pt>
                <c:pt idx="294">
                  <c:v>2888.209961</c:v>
                </c:pt>
                <c:pt idx="295">
                  <c:v>2888.320068</c:v>
                </c:pt>
                <c:pt idx="296">
                  <c:v>2907.4099120000001</c:v>
                </c:pt>
                <c:pt idx="297">
                  <c:v>2905.580078</c:v>
                </c:pt>
                <c:pt idx="298">
                  <c:v>2907.0600589999999</c:v>
                </c:pt>
                <c:pt idx="299">
                  <c:v>2900.4499510000001</c:v>
                </c:pt>
                <c:pt idx="300">
                  <c:v>2905.030029</c:v>
                </c:pt>
                <c:pt idx="301">
                  <c:v>2907.969971</c:v>
                </c:pt>
                <c:pt idx="302">
                  <c:v>2933.679932</c:v>
                </c:pt>
                <c:pt idx="303">
                  <c:v>2927.25</c:v>
                </c:pt>
                <c:pt idx="304">
                  <c:v>2926.169922</c:v>
                </c:pt>
                <c:pt idx="305">
                  <c:v>2939.8798830000001</c:v>
                </c:pt>
                <c:pt idx="306">
                  <c:v>2943.030029</c:v>
                </c:pt>
                <c:pt idx="307">
                  <c:v>2945.830078</c:v>
                </c:pt>
                <c:pt idx="308">
                  <c:v>2923.7299800000001</c:v>
                </c:pt>
                <c:pt idx="309">
                  <c:v>2917.5200199999999</c:v>
                </c:pt>
                <c:pt idx="310">
                  <c:v>2945.639893</c:v>
                </c:pt>
                <c:pt idx="311">
                  <c:v>2932.469971</c:v>
                </c:pt>
                <c:pt idx="312">
                  <c:v>2884.0500489999999</c:v>
                </c:pt>
                <c:pt idx="313">
                  <c:v>2879.419922</c:v>
                </c:pt>
                <c:pt idx="314">
                  <c:v>2870.719971</c:v>
                </c:pt>
                <c:pt idx="315">
                  <c:v>2881.3999020000001</c:v>
                </c:pt>
                <c:pt idx="316">
                  <c:v>2811.8701169999999</c:v>
                </c:pt>
                <c:pt idx="317">
                  <c:v>2834.4099120000001</c:v>
                </c:pt>
                <c:pt idx="318">
                  <c:v>2850.959961</c:v>
                </c:pt>
                <c:pt idx="319">
                  <c:v>2876.320068</c:v>
                </c:pt>
                <c:pt idx="320">
                  <c:v>2859.530029</c:v>
                </c:pt>
                <c:pt idx="321">
                  <c:v>2840.2299800000001</c:v>
                </c:pt>
                <c:pt idx="322">
                  <c:v>2864.360107</c:v>
                </c:pt>
                <c:pt idx="323">
                  <c:v>2856.2700199999999</c:v>
                </c:pt>
                <c:pt idx="324">
                  <c:v>2822.23999</c:v>
                </c:pt>
                <c:pt idx="325">
                  <c:v>2826.0600589999999</c:v>
                </c:pt>
                <c:pt idx="326">
                  <c:v>2802.389893</c:v>
                </c:pt>
                <c:pt idx="327">
                  <c:v>2783.0200199999999</c:v>
                </c:pt>
                <c:pt idx="328">
                  <c:v>2788.860107</c:v>
                </c:pt>
                <c:pt idx="329">
                  <c:v>2752.0600589999999</c:v>
                </c:pt>
                <c:pt idx="330">
                  <c:v>2744.4499510000001</c:v>
                </c:pt>
                <c:pt idx="331">
                  <c:v>2803.2700199999999</c:v>
                </c:pt>
                <c:pt idx="332">
                  <c:v>2826.1499020000001</c:v>
                </c:pt>
                <c:pt idx="333">
                  <c:v>2843.48999</c:v>
                </c:pt>
                <c:pt idx="334">
                  <c:v>2873.3400879999999</c:v>
                </c:pt>
                <c:pt idx="335">
                  <c:v>2886.7299800000001</c:v>
                </c:pt>
                <c:pt idx="336">
                  <c:v>2885.719971</c:v>
                </c:pt>
                <c:pt idx="337">
                  <c:v>2879.8400879999999</c:v>
                </c:pt>
                <c:pt idx="338">
                  <c:v>2891.639893</c:v>
                </c:pt>
                <c:pt idx="339">
                  <c:v>2886.9799800000001</c:v>
                </c:pt>
                <c:pt idx="340">
                  <c:v>2889.669922</c:v>
                </c:pt>
                <c:pt idx="341">
                  <c:v>2917.75</c:v>
                </c:pt>
                <c:pt idx="342">
                  <c:v>2926.459961</c:v>
                </c:pt>
                <c:pt idx="343">
                  <c:v>2954.179932</c:v>
                </c:pt>
                <c:pt idx="344">
                  <c:v>2950.459961</c:v>
                </c:pt>
                <c:pt idx="345">
                  <c:v>2945.3500979999999</c:v>
                </c:pt>
                <c:pt idx="346">
                  <c:v>2917.3798830000001</c:v>
                </c:pt>
                <c:pt idx="347">
                  <c:v>2913.780029</c:v>
                </c:pt>
                <c:pt idx="348">
                  <c:v>2924.919922</c:v>
                </c:pt>
                <c:pt idx="349">
                  <c:v>2941.76001</c:v>
                </c:pt>
                <c:pt idx="350">
                  <c:v>2964.330078</c:v>
                </c:pt>
                <c:pt idx="351">
                  <c:v>2973.01001</c:v>
                </c:pt>
                <c:pt idx="352">
                  <c:v>2995.820068</c:v>
                </c:pt>
                <c:pt idx="353">
                  <c:v>2990.4099120000001</c:v>
                </c:pt>
                <c:pt idx="354">
                  <c:v>2975.9499510000001</c:v>
                </c:pt>
                <c:pt idx="355">
                  <c:v>2979.6298830000001</c:v>
                </c:pt>
                <c:pt idx="356">
                  <c:v>2993.070068</c:v>
                </c:pt>
                <c:pt idx="357">
                  <c:v>2999.9099120000001</c:v>
                </c:pt>
                <c:pt idx="358">
                  <c:v>3013.7700199999999</c:v>
                </c:pt>
                <c:pt idx="359">
                  <c:v>3014.3000489999999</c:v>
                </c:pt>
                <c:pt idx="360">
                  <c:v>3004.040039</c:v>
                </c:pt>
                <c:pt idx="361">
                  <c:v>2984.419922</c:v>
                </c:pt>
                <c:pt idx="362">
                  <c:v>2995.110107</c:v>
                </c:pt>
                <c:pt idx="363">
                  <c:v>2976.610107</c:v>
                </c:pt>
                <c:pt idx="364">
                  <c:v>2985.030029</c:v>
                </c:pt>
                <c:pt idx="365">
                  <c:v>3005.469971</c:v>
                </c:pt>
                <c:pt idx="366">
                  <c:v>3019.5600589999999</c:v>
                </c:pt>
                <c:pt idx="367">
                  <c:v>3003.669922</c:v>
                </c:pt>
                <c:pt idx="368">
                  <c:v>3025.860107</c:v>
                </c:pt>
                <c:pt idx="369">
                  <c:v>3020.969971</c:v>
                </c:pt>
                <c:pt idx="370">
                  <c:v>3013.179932</c:v>
                </c:pt>
                <c:pt idx="371">
                  <c:v>2980.3798830000001</c:v>
                </c:pt>
                <c:pt idx="372">
                  <c:v>2953.5600589999999</c:v>
                </c:pt>
                <c:pt idx="373">
                  <c:v>2932.0500489999999</c:v>
                </c:pt>
                <c:pt idx="374">
                  <c:v>2844.73999</c:v>
                </c:pt>
                <c:pt idx="375">
                  <c:v>2881.7700199999999</c:v>
                </c:pt>
                <c:pt idx="376">
                  <c:v>2883.9799800000001</c:v>
                </c:pt>
                <c:pt idx="377">
                  <c:v>2938.0900879999999</c:v>
                </c:pt>
                <c:pt idx="378">
                  <c:v>2918.6499020000001</c:v>
                </c:pt>
                <c:pt idx="379">
                  <c:v>2882.6999510000001</c:v>
                </c:pt>
                <c:pt idx="380">
                  <c:v>2926.320068</c:v>
                </c:pt>
                <c:pt idx="381">
                  <c:v>2840.6000979999999</c:v>
                </c:pt>
                <c:pt idx="382">
                  <c:v>2847.6000979999999</c:v>
                </c:pt>
                <c:pt idx="383">
                  <c:v>2888.679932</c:v>
                </c:pt>
                <c:pt idx="384">
                  <c:v>2923.6499020000001</c:v>
                </c:pt>
                <c:pt idx="385">
                  <c:v>2900.51001</c:v>
                </c:pt>
                <c:pt idx="386">
                  <c:v>2924.429932</c:v>
                </c:pt>
                <c:pt idx="387">
                  <c:v>2922.9499510000001</c:v>
                </c:pt>
                <c:pt idx="388">
                  <c:v>2847.110107</c:v>
                </c:pt>
                <c:pt idx="389">
                  <c:v>2878.3798830000001</c:v>
                </c:pt>
                <c:pt idx="390">
                  <c:v>2869.1599120000001</c:v>
                </c:pt>
                <c:pt idx="391">
                  <c:v>2887.9399410000001</c:v>
                </c:pt>
                <c:pt idx="392">
                  <c:v>2924.580078</c:v>
                </c:pt>
                <c:pt idx="393">
                  <c:v>2926.459961</c:v>
                </c:pt>
                <c:pt idx="394">
                  <c:v>2906.2700199999999</c:v>
                </c:pt>
                <c:pt idx="395">
                  <c:v>2937.780029</c:v>
                </c:pt>
                <c:pt idx="396">
                  <c:v>2976</c:v>
                </c:pt>
                <c:pt idx="397">
                  <c:v>2978.709961</c:v>
                </c:pt>
                <c:pt idx="398">
                  <c:v>2978.429932</c:v>
                </c:pt>
                <c:pt idx="399">
                  <c:v>2979.389893</c:v>
                </c:pt>
                <c:pt idx="400">
                  <c:v>3000.929932</c:v>
                </c:pt>
                <c:pt idx="401">
                  <c:v>3009.570068</c:v>
                </c:pt>
                <c:pt idx="402">
                  <c:v>3007.389893</c:v>
                </c:pt>
                <c:pt idx="403">
                  <c:v>2997.959961</c:v>
                </c:pt>
                <c:pt idx="404">
                  <c:v>3005.6999510000001</c:v>
                </c:pt>
                <c:pt idx="405">
                  <c:v>3006.7299800000001</c:v>
                </c:pt>
                <c:pt idx="406">
                  <c:v>3006.790039</c:v>
                </c:pt>
                <c:pt idx="407">
                  <c:v>2992.070068</c:v>
                </c:pt>
                <c:pt idx="408">
                  <c:v>2991.780029</c:v>
                </c:pt>
                <c:pt idx="409">
                  <c:v>2966.6000979999999</c:v>
                </c:pt>
                <c:pt idx="410">
                  <c:v>2984.8701169999999</c:v>
                </c:pt>
                <c:pt idx="411">
                  <c:v>2977.6201169999999</c:v>
                </c:pt>
                <c:pt idx="412">
                  <c:v>2961.790039</c:v>
                </c:pt>
                <c:pt idx="413">
                  <c:v>2976.73999</c:v>
                </c:pt>
                <c:pt idx="414">
                  <c:v>2940.25</c:v>
                </c:pt>
                <c:pt idx="415">
                  <c:v>2887.610107</c:v>
                </c:pt>
                <c:pt idx="416">
                  <c:v>2910.6298830000001</c:v>
                </c:pt>
                <c:pt idx="417">
                  <c:v>2952.01001</c:v>
                </c:pt>
                <c:pt idx="418">
                  <c:v>2938.790039</c:v>
                </c:pt>
                <c:pt idx="419">
                  <c:v>2893.0600589999999</c:v>
                </c:pt>
                <c:pt idx="420">
                  <c:v>2919.3999020000001</c:v>
                </c:pt>
                <c:pt idx="421">
                  <c:v>2938.1298830000001</c:v>
                </c:pt>
                <c:pt idx="422">
                  <c:v>2970.2700199999999</c:v>
                </c:pt>
                <c:pt idx="423">
                  <c:v>2966.1499020000001</c:v>
                </c:pt>
                <c:pt idx="424">
                  <c:v>2995.679932</c:v>
                </c:pt>
                <c:pt idx="425">
                  <c:v>2989.6899410000001</c:v>
                </c:pt>
                <c:pt idx="426">
                  <c:v>2997.9499510000001</c:v>
                </c:pt>
                <c:pt idx="427">
                  <c:v>2986.1999510000001</c:v>
                </c:pt>
                <c:pt idx="428">
                  <c:v>3006.719971</c:v>
                </c:pt>
                <c:pt idx="429">
                  <c:v>2995.98999</c:v>
                </c:pt>
                <c:pt idx="430">
                  <c:v>3004.5200199999999</c:v>
                </c:pt>
                <c:pt idx="431">
                  <c:v>3010.290039</c:v>
                </c:pt>
                <c:pt idx="432">
                  <c:v>3022.5500489999999</c:v>
                </c:pt>
                <c:pt idx="433">
                  <c:v>3039.419922</c:v>
                </c:pt>
                <c:pt idx="434">
                  <c:v>3036.889893</c:v>
                </c:pt>
                <c:pt idx="435">
                  <c:v>3046.7700199999999</c:v>
                </c:pt>
                <c:pt idx="436">
                  <c:v>3037.5600589999999</c:v>
                </c:pt>
                <c:pt idx="437">
                  <c:v>3066.9099120000001</c:v>
                </c:pt>
                <c:pt idx="438">
                  <c:v>3078.2700199999999</c:v>
                </c:pt>
                <c:pt idx="439">
                  <c:v>3074.6201169999999</c:v>
                </c:pt>
                <c:pt idx="440">
                  <c:v>3076.780029</c:v>
                </c:pt>
                <c:pt idx="441">
                  <c:v>3085.179932</c:v>
                </c:pt>
                <c:pt idx="442">
                  <c:v>3093.080078</c:v>
                </c:pt>
                <c:pt idx="443">
                  <c:v>3087.01001</c:v>
                </c:pt>
                <c:pt idx="444">
                  <c:v>3091.8400879999999</c:v>
                </c:pt>
                <c:pt idx="445">
                  <c:v>3094.040039</c:v>
                </c:pt>
                <c:pt idx="446">
                  <c:v>3096.6298830000001</c:v>
                </c:pt>
                <c:pt idx="447">
                  <c:v>3120.459961</c:v>
                </c:pt>
                <c:pt idx="448">
                  <c:v>3122.030029</c:v>
                </c:pt>
                <c:pt idx="449">
                  <c:v>3120.179932</c:v>
                </c:pt>
                <c:pt idx="450">
                  <c:v>3108.459961</c:v>
                </c:pt>
                <c:pt idx="451">
                  <c:v>3103.540039</c:v>
                </c:pt>
                <c:pt idx="452">
                  <c:v>3110.290039</c:v>
                </c:pt>
                <c:pt idx="453">
                  <c:v>3133.639893</c:v>
                </c:pt>
                <c:pt idx="454">
                  <c:v>3140.5200199999999</c:v>
                </c:pt>
                <c:pt idx="455">
                  <c:v>3153.6298830000001</c:v>
                </c:pt>
                <c:pt idx="456">
                  <c:v>3140.9799800000001</c:v>
                </c:pt>
                <c:pt idx="457">
                  <c:v>3113.8701169999999</c:v>
                </c:pt>
                <c:pt idx="458">
                  <c:v>3093.1999510000001</c:v>
                </c:pt>
                <c:pt idx="459">
                  <c:v>3112.76001</c:v>
                </c:pt>
                <c:pt idx="460">
                  <c:v>3117.429932</c:v>
                </c:pt>
                <c:pt idx="461">
                  <c:v>3145.9099120000001</c:v>
                </c:pt>
                <c:pt idx="462">
                  <c:v>3135.959961</c:v>
                </c:pt>
                <c:pt idx="463">
                  <c:v>3132.5200199999999</c:v>
                </c:pt>
                <c:pt idx="464">
                  <c:v>3141.6298830000001</c:v>
                </c:pt>
                <c:pt idx="465">
                  <c:v>3168.570068</c:v>
                </c:pt>
                <c:pt idx="466">
                  <c:v>3168.8000489999999</c:v>
                </c:pt>
                <c:pt idx="467">
                  <c:v>3191.4499510000001</c:v>
                </c:pt>
                <c:pt idx="468">
                  <c:v>3192.5200199999999</c:v>
                </c:pt>
                <c:pt idx="469">
                  <c:v>3191.139893</c:v>
                </c:pt>
                <c:pt idx="470">
                  <c:v>3205.3701169999999</c:v>
                </c:pt>
                <c:pt idx="471">
                  <c:v>3221.219971</c:v>
                </c:pt>
                <c:pt idx="472">
                  <c:v>3224.01001</c:v>
                </c:pt>
                <c:pt idx="473">
                  <c:v>3223.3798830000001</c:v>
                </c:pt>
                <c:pt idx="474">
                  <c:v>3239.9099120000001</c:v>
                </c:pt>
                <c:pt idx="475">
                  <c:v>3240.0200199999999</c:v>
                </c:pt>
                <c:pt idx="476">
                  <c:v>3221.290039</c:v>
                </c:pt>
                <c:pt idx="477">
                  <c:v>3230.780029</c:v>
                </c:pt>
                <c:pt idx="478">
                  <c:v>3257.8500979999999</c:v>
                </c:pt>
                <c:pt idx="479">
                  <c:v>3234.8500979999999</c:v>
                </c:pt>
                <c:pt idx="480">
                  <c:v>3246.280029</c:v>
                </c:pt>
                <c:pt idx="481">
                  <c:v>3237.179932</c:v>
                </c:pt>
                <c:pt idx="482">
                  <c:v>3253.0500489999999</c:v>
                </c:pt>
                <c:pt idx="483">
                  <c:v>3274.6999510000001</c:v>
                </c:pt>
                <c:pt idx="484">
                  <c:v>3265.3500979999999</c:v>
                </c:pt>
                <c:pt idx="485">
                  <c:v>3288.1298830000001</c:v>
                </c:pt>
                <c:pt idx="486">
                  <c:v>3283.1499020000001</c:v>
                </c:pt>
                <c:pt idx="487">
                  <c:v>3289.290039</c:v>
                </c:pt>
                <c:pt idx="488">
                  <c:v>3316.8100589999999</c:v>
                </c:pt>
                <c:pt idx="489">
                  <c:v>3329.6201169999999</c:v>
                </c:pt>
                <c:pt idx="490">
                  <c:v>3320.790039</c:v>
                </c:pt>
                <c:pt idx="491">
                  <c:v>3321.75</c:v>
                </c:pt>
                <c:pt idx="492">
                  <c:v>3325.540039</c:v>
                </c:pt>
                <c:pt idx="493">
                  <c:v>3295.469971</c:v>
                </c:pt>
                <c:pt idx="494">
                  <c:v>3243.6298830000001</c:v>
                </c:pt>
                <c:pt idx="495">
                  <c:v>3276.23999</c:v>
                </c:pt>
                <c:pt idx="496">
                  <c:v>3273.3999020000001</c:v>
                </c:pt>
                <c:pt idx="497">
                  <c:v>3283.6599120000001</c:v>
                </c:pt>
                <c:pt idx="498">
                  <c:v>3225.5200199999999</c:v>
                </c:pt>
                <c:pt idx="499">
                  <c:v>3248.919922</c:v>
                </c:pt>
                <c:pt idx="500">
                  <c:v>3297.5900879999999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F4-4A99-BEC2-3A2ACC3E2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2275448"/>
        <c:axId val="652276088"/>
      </c:lineChart>
      <c:dateAx>
        <c:axId val="65227544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76088"/>
        <c:crosses val="autoZero"/>
        <c:auto val="1"/>
        <c:lblOffset val="100"/>
        <c:baseTimeUnit val="days"/>
      </c:dateAx>
      <c:valAx>
        <c:axId val="65227608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75448"/>
        <c:crosses val="autoZero"/>
        <c:crossBetween val="between"/>
        <c:majorUnit val="2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Hang Seng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Data!$B$2:$B$502</c:f>
              <c:numCache>
                <c:formatCode>m/d/yyyy</c:formatCode>
                <c:ptCount val="501"/>
                <c:pt idx="0">
                  <c:v>43138</c:v>
                </c:pt>
                <c:pt idx="1">
                  <c:v>43139</c:v>
                </c:pt>
                <c:pt idx="2">
                  <c:v>43140</c:v>
                </c:pt>
                <c:pt idx="3">
                  <c:v>43143</c:v>
                </c:pt>
                <c:pt idx="4">
                  <c:v>43144</c:v>
                </c:pt>
                <c:pt idx="5">
                  <c:v>43145</c:v>
                </c:pt>
                <c:pt idx="6">
                  <c:v>43146</c:v>
                </c:pt>
                <c:pt idx="7">
                  <c:v>43147</c:v>
                </c:pt>
                <c:pt idx="8">
                  <c:v>43151</c:v>
                </c:pt>
                <c:pt idx="9">
                  <c:v>43152</c:v>
                </c:pt>
                <c:pt idx="10">
                  <c:v>43153</c:v>
                </c:pt>
                <c:pt idx="11">
                  <c:v>43154</c:v>
                </c:pt>
                <c:pt idx="12">
                  <c:v>43157</c:v>
                </c:pt>
                <c:pt idx="13">
                  <c:v>43158</c:v>
                </c:pt>
                <c:pt idx="14">
                  <c:v>43159</c:v>
                </c:pt>
                <c:pt idx="15">
                  <c:v>43160</c:v>
                </c:pt>
                <c:pt idx="16">
                  <c:v>43161</c:v>
                </c:pt>
                <c:pt idx="17">
                  <c:v>43164</c:v>
                </c:pt>
                <c:pt idx="18">
                  <c:v>43165</c:v>
                </c:pt>
                <c:pt idx="19">
                  <c:v>43166</c:v>
                </c:pt>
                <c:pt idx="20">
                  <c:v>43167</c:v>
                </c:pt>
                <c:pt idx="21">
                  <c:v>43168</c:v>
                </c:pt>
                <c:pt idx="22">
                  <c:v>43171</c:v>
                </c:pt>
                <c:pt idx="23">
                  <c:v>43172</c:v>
                </c:pt>
                <c:pt idx="24">
                  <c:v>43173</c:v>
                </c:pt>
                <c:pt idx="25">
                  <c:v>43174</c:v>
                </c:pt>
                <c:pt idx="26">
                  <c:v>43175</c:v>
                </c:pt>
                <c:pt idx="27">
                  <c:v>43178</c:v>
                </c:pt>
                <c:pt idx="28">
                  <c:v>43179</c:v>
                </c:pt>
                <c:pt idx="29">
                  <c:v>43180</c:v>
                </c:pt>
                <c:pt idx="30">
                  <c:v>43181</c:v>
                </c:pt>
                <c:pt idx="31">
                  <c:v>43182</c:v>
                </c:pt>
                <c:pt idx="32">
                  <c:v>43185</c:v>
                </c:pt>
                <c:pt idx="33">
                  <c:v>43186</c:v>
                </c:pt>
                <c:pt idx="34">
                  <c:v>43187</c:v>
                </c:pt>
                <c:pt idx="35">
                  <c:v>43188</c:v>
                </c:pt>
                <c:pt idx="36">
                  <c:v>43192</c:v>
                </c:pt>
                <c:pt idx="37">
                  <c:v>43193</c:v>
                </c:pt>
                <c:pt idx="38">
                  <c:v>43194</c:v>
                </c:pt>
                <c:pt idx="39">
                  <c:v>43195</c:v>
                </c:pt>
                <c:pt idx="40">
                  <c:v>43196</c:v>
                </c:pt>
                <c:pt idx="41">
                  <c:v>43199</c:v>
                </c:pt>
                <c:pt idx="42">
                  <c:v>43200</c:v>
                </c:pt>
                <c:pt idx="43">
                  <c:v>43201</c:v>
                </c:pt>
                <c:pt idx="44">
                  <c:v>43202</c:v>
                </c:pt>
                <c:pt idx="45">
                  <c:v>43203</c:v>
                </c:pt>
                <c:pt idx="46">
                  <c:v>43206</c:v>
                </c:pt>
                <c:pt idx="47">
                  <c:v>43207</c:v>
                </c:pt>
                <c:pt idx="48">
                  <c:v>43208</c:v>
                </c:pt>
                <c:pt idx="49">
                  <c:v>43209</c:v>
                </c:pt>
                <c:pt idx="50">
                  <c:v>43210</c:v>
                </c:pt>
                <c:pt idx="51">
                  <c:v>43213</c:v>
                </c:pt>
                <c:pt idx="52">
                  <c:v>43214</c:v>
                </c:pt>
                <c:pt idx="53">
                  <c:v>43215</c:v>
                </c:pt>
                <c:pt idx="54">
                  <c:v>43216</c:v>
                </c:pt>
                <c:pt idx="55">
                  <c:v>43217</c:v>
                </c:pt>
                <c:pt idx="56">
                  <c:v>43220</c:v>
                </c:pt>
                <c:pt idx="57">
                  <c:v>43221</c:v>
                </c:pt>
                <c:pt idx="58">
                  <c:v>43222</c:v>
                </c:pt>
                <c:pt idx="59">
                  <c:v>43223</c:v>
                </c:pt>
                <c:pt idx="60">
                  <c:v>43224</c:v>
                </c:pt>
                <c:pt idx="61">
                  <c:v>43227</c:v>
                </c:pt>
                <c:pt idx="62">
                  <c:v>43228</c:v>
                </c:pt>
                <c:pt idx="63">
                  <c:v>43229</c:v>
                </c:pt>
                <c:pt idx="64">
                  <c:v>43230</c:v>
                </c:pt>
                <c:pt idx="65">
                  <c:v>43231</c:v>
                </c:pt>
                <c:pt idx="66">
                  <c:v>43234</c:v>
                </c:pt>
                <c:pt idx="67">
                  <c:v>43235</c:v>
                </c:pt>
                <c:pt idx="68">
                  <c:v>43236</c:v>
                </c:pt>
                <c:pt idx="69">
                  <c:v>43237</c:v>
                </c:pt>
                <c:pt idx="70">
                  <c:v>43238</c:v>
                </c:pt>
                <c:pt idx="71">
                  <c:v>43241</c:v>
                </c:pt>
                <c:pt idx="72">
                  <c:v>43242</c:v>
                </c:pt>
                <c:pt idx="73">
                  <c:v>43243</c:v>
                </c:pt>
                <c:pt idx="74">
                  <c:v>43244</c:v>
                </c:pt>
                <c:pt idx="75">
                  <c:v>43245</c:v>
                </c:pt>
                <c:pt idx="76">
                  <c:v>43249</c:v>
                </c:pt>
                <c:pt idx="77">
                  <c:v>43250</c:v>
                </c:pt>
                <c:pt idx="78">
                  <c:v>43251</c:v>
                </c:pt>
                <c:pt idx="79">
                  <c:v>43252</c:v>
                </c:pt>
                <c:pt idx="80">
                  <c:v>43255</c:v>
                </c:pt>
                <c:pt idx="81">
                  <c:v>43256</c:v>
                </c:pt>
                <c:pt idx="82">
                  <c:v>43257</c:v>
                </c:pt>
                <c:pt idx="83">
                  <c:v>43258</c:v>
                </c:pt>
                <c:pt idx="84">
                  <c:v>43259</c:v>
                </c:pt>
                <c:pt idx="85">
                  <c:v>43262</c:v>
                </c:pt>
                <c:pt idx="86">
                  <c:v>43263</c:v>
                </c:pt>
                <c:pt idx="87">
                  <c:v>43264</c:v>
                </c:pt>
                <c:pt idx="88">
                  <c:v>43265</c:v>
                </c:pt>
                <c:pt idx="89">
                  <c:v>43266</c:v>
                </c:pt>
                <c:pt idx="90">
                  <c:v>43269</c:v>
                </c:pt>
                <c:pt idx="91">
                  <c:v>43270</c:v>
                </c:pt>
                <c:pt idx="92">
                  <c:v>43271</c:v>
                </c:pt>
                <c:pt idx="93">
                  <c:v>43272</c:v>
                </c:pt>
                <c:pt idx="94">
                  <c:v>43273</c:v>
                </c:pt>
                <c:pt idx="95">
                  <c:v>43276</c:v>
                </c:pt>
                <c:pt idx="96">
                  <c:v>43277</c:v>
                </c:pt>
                <c:pt idx="97">
                  <c:v>43278</c:v>
                </c:pt>
                <c:pt idx="98">
                  <c:v>43279</c:v>
                </c:pt>
                <c:pt idx="99">
                  <c:v>43280</c:v>
                </c:pt>
                <c:pt idx="100">
                  <c:v>43283</c:v>
                </c:pt>
                <c:pt idx="101">
                  <c:v>43284</c:v>
                </c:pt>
                <c:pt idx="102">
                  <c:v>43286</c:v>
                </c:pt>
                <c:pt idx="103">
                  <c:v>43287</c:v>
                </c:pt>
                <c:pt idx="104">
                  <c:v>43290</c:v>
                </c:pt>
                <c:pt idx="105">
                  <c:v>43291</c:v>
                </c:pt>
                <c:pt idx="106">
                  <c:v>43292</c:v>
                </c:pt>
                <c:pt idx="107">
                  <c:v>43293</c:v>
                </c:pt>
                <c:pt idx="108">
                  <c:v>43294</c:v>
                </c:pt>
                <c:pt idx="109">
                  <c:v>43297</c:v>
                </c:pt>
                <c:pt idx="110">
                  <c:v>43298</c:v>
                </c:pt>
                <c:pt idx="111">
                  <c:v>43299</c:v>
                </c:pt>
                <c:pt idx="112">
                  <c:v>43300</c:v>
                </c:pt>
                <c:pt idx="113">
                  <c:v>43301</c:v>
                </c:pt>
                <c:pt idx="114">
                  <c:v>43304</c:v>
                </c:pt>
                <c:pt idx="115">
                  <c:v>43305</c:v>
                </c:pt>
                <c:pt idx="116">
                  <c:v>43306</c:v>
                </c:pt>
                <c:pt idx="117">
                  <c:v>43307</c:v>
                </c:pt>
                <c:pt idx="118">
                  <c:v>43308</c:v>
                </c:pt>
                <c:pt idx="119">
                  <c:v>43311</c:v>
                </c:pt>
                <c:pt idx="120">
                  <c:v>43312</c:v>
                </c:pt>
                <c:pt idx="121">
                  <c:v>43313</c:v>
                </c:pt>
                <c:pt idx="122">
                  <c:v>43314</c:v>
                </c:pt>
                <c:pt idx="123">
                  <c:v>43315</c:v>
                </c:pt>
                <c:pt idx="124">
                  <c:v>43318</c:v>
                </c:pt>
                <c:pt idx="125">
                  <c:v>43319</c:v>
                </c:pt>
                <c:pt idx="126">
                  <c:v>43320</c:v>
                </c:pt>
                <c:pt idx="127">
                  <c:v>43321</c:v>
                </c:pt>
                <c:pt idx="128">
                  <c:v>43322</c:v>
                </c:pt>
                <c:pt idx="129">
                  <c:v>43325</c:v>
                </c:pt>
                <c:pt idx="130">
                  <c:v>43326</c:v>
                </c:pt>
                <c:pt idx="131">
                  <c:v>43327</c:v>
                </c:pt>
                <c:pt idx="132">
                  <c:v>43328</c:v>
                </c:pt>
                <c:pt idx="133">
                  <c:v>43329</c:v>
                </c:pt>
                <c:pt idx="134">
                  <c:v>43332</c:v>
                </c:pt>
                <c:pt idx="135">
                  <c:v>43333</c:v>
                </c:pt>
                <c:pt idx="136">
                  <c:v>43334</c:v>
                </c:pt>
                <c:pt idx="137">
                  <c:v>43335</c:v>
                </c:pt>
                <c:pt idx="138">
                  <c:v>43336</c:v>
                </c:pt>
                <c:pt idx="139">
                  <c:v>43339</c:v>
                </c:pt>
                <c:pt idx="140">
                  <c:v>43340</c:v>
                </c:pt>
                <c:pt idx="141">
                  <c:v>43341</c:v>
                </c:pt>
                <c:pt idx="142">
                  <c:v>43342</c:v>
                </c:pt>
                <c:pt idx="143">
                  <c:v>43343</c:v>
                </c:pt>
                <c:pt idx="144">
                  <c:v>43347</c:v>
                </c:pt>
                <c:pt idx="145">
                  <c:v>43348</c:v>
                </c:pt>
                <c:pt idx="146">
                  <c:v>43349</c:v>
                </c:pt>
                <c:pt idx="147">
                  <c:v>43350</c:v>
                </c:pt>
                <c:pt idx="148">
                  <c:v>43353</c:v>
                </c:pt>
                <c:pt idx="149">
                  <c:v>43354</c:v>
                </c:pt>
                <c:pt idx="150">
                  <c:v>43355</c:v>
                </c:pt>
                <c:pt idx="151">
                  <c:v>43356</c:v>
                </c:pt>
                <c:pt idx="152">
                  <c:v>43357</c:v>
                </c:pt>
                <c:pt idx="153">
                  <c:v>43360</c:v>
                </c:pt>
                <c:pt idx="154">
                  <c:v>43361</c:v>
                </c:pt>
                <c:pt idx="155">
                  <c:v>43362</c:v>
                </c:pt>
                <c:pt idx="156">
                  <c:v>43363</c:v>
                </c:pt>
                <c:pt idx="157">
                  <c:v>43364</c:v>
                </c:pt>
                <c:pt idx="158">
                  <c:v>43367</c:v>
                </c:pt>
                <c:pt idx="159">
                  <c:v>43368</c:v>
                </c:pt>
                <c:pt idx="160">
                  <c:v>43369</c:v>
                </c:pt>
                <c:pt idx="161">
                  <c:v>43370</c:v>
                </c:pt>
                <c:pt idx="162">
                  <c:v>43371</c:v>
                </c:pt>
                <c:pt idx="163">
                  <c:v>43374</c:v>
                </c:pt>
                <c:pt idx="164">
                  <c:v>43375</c:v>
                </c:pt>
                <c:pt idx="165">
                  <c:v>43376</c:v>
                </c:pt>
                <c:pt idx="166">
                  <c:v>43377</c:v>
                </c:pt>
                <c:pt idx="167">
                  <c:v>43378</c:v>
                </c:pt>
                <c:pt idx="168">
                  <c:v>43381</c:v>
                </c:pt>
                <c:pt idx="169">
                  <c:v>43382</c:v>
                </c:pt>
                <c:pt idx="170">
                  <c:v>43383</c:v>
                </c:pt>
                <c:pt idx="171">
                  <c:v>43384</c:v>
                </c:pt>
                <c:pt idx="172">
                  <c:v>43385</c:v>
                </c:pt>
                <c:pt idx="173">
                  <c:v>43388</c:v>
                </c:pt>
                <c:pt idx="174">
                  <c:v>43389</c:v>
                </c:pt>
                <c:pt idx="175">
                  <c:v>43390</c:v>
                </c:pt>
                <c:pt idx="176">
                  <c:v>43391</c:v>
                </c:pt>
                <c:pt idx="177">
                  <c:v>43392</c:v>
                </c:pt>
                <c:pt idx="178">
                  <c:v>43395</c:v>
                </c:pt>
                <c:pt idx="179">
                  <c:v>43396</c:v>
                </c:pt>
                <c:pt idx="180">
                  <c:v>43397</c:v>
                </c:pt>
                <c:pt idx="181">
                  <c:v>43398</c:v>
                </c:pt>
                <c:pt idx="182">
                  <c:v>43399</c:v>
                </c:pt>
                <c:pt idx="183">
                  <c:v>43402</c:v>
                </c:pt>
                <c:pt idx="184">
                  <c:v>43403</c:v>
                </c:pt>
                <c:pt idx="185">
                  <c:v>43404</c:v>
                </c:pt>
                <c:pt idx="186">
                  <c:v>43405</c:v>
                </c:pt>
                <c:pt idx="187">
                  <c:v>43406</c:v>
                </c:pt>
                <c:pt idx="188">
                  <c:v>43409</c:v>
                </c:pt>
                <c:pt idx="189">
                  <c:v>43410</c:v>
                </c:pt>
                <c:pt idx="190">
                  <c:v>43411</c:v>
                </c:pt>
                <c:pt idx="191">
                  <c:v>43412</c:v>
                </c:pt>
                <c:pt idx="192">
                  <c:v>43413</c:v>
                </c:pt>
                <c:pt idx="193">
                  <c:v>43416</c:v>
                </c:pt>
                <c:pt idx="194">
                  <c:v>43417</c:v>
                </c:pt>
                <c:pt idx="195">
                  <c:v>43418</c:v>
                </c:pt>
                <c:pt idx="196">
                  <c:v>43419</c:v>
                </c:pt>
                <c:pt idx="197">
                  <c:v>43420</c:v>
                </c:pt>
                <c:pt idx="198">
                  <c:v>43423</c:v>
                </c:pt>
                <c:pt idx="199">
                  <c:v>43424</c:v>
                </c:pt>
                <c:pt idx="200">
                  <c:v>43425</c:v>
                </c:pt>
                <c:pt idx="201">
                  <c:v>43427</c:v>
                </c:pt>
                <c:pt idx="202">
                  <c:v>43430</c:v>
                </c:pt>
                <c:pt idx="203">
                  <c:v>43431</c:v>
                </c:pt>
                <c:pt idx="204">
                  <c:v>43432</c:v>
                </c:pt>
                <c:pt idx="205">
                  <c:v>43433</c:v>
                </c:pt>
                <c:pt idx="206">
                  <c:v>43434</c:v>
                </c:pt>
                <c:pt idx="207">
                  <c:v>43437</c:v>
                </c:pt>
                <c:pt idx="208">
                  <c:v>43438</c:v>
                </c:pt>
                <c:pt idx="209">
                  <c:v>43440</c:v>
                </c:pt>
                <c:pt idx="210">
                  <c:v>43441</c:v>
                </c:pt>
                <c:pt idx="211">
                  <c:v>43444</c:v>
                </c:pt>
                <c:pt idx="212">
                  <c:v>43445</c:v>
                </c:pt>
                <c:pt idx="213">
                  <c:v>43446</c:v>
                </c:pt>
                <c:pt idx="214">
                  <c:v>43447</c:v>
                </c:pt>
                <c:pt idx="215">
                  <c:v>43448</c:v>
                </c:pt>
                <c:pt idx="216">
                  <c:v>43451</c:v>
                </c:pt>
                <c:pt idx="217">
                  <c:v>43452</c:v>
                </c:pt>
                <c:pt idx="218">
                  <c:v>43453</c:v>
                </c:pt>
                <c:pt idx="219">
                  <c:v>43454</c:v>
                </c:pt>
                <c:pt idx="220">
                  <c:v>43455</c:v>
                </c:pt>
                <c:pt idx="221">
                  <c:v>43458</c:v>
                </c:pt>
                <c:pt idx="222">
                  <c:v>43460</c:v>
                </c:pt>
                <c:pt idx="223">
                  <c:v>43461</c:v>
                </c:pt>
                <c:pt idx="224">
                  <c:v>43462</c:v>
                </c:pt>
                <c:pt idx="225">
                  <c:v>43465</c:v>
                </c:pt>
                <c:pt idx="226">
                  <c:v>43467</c:v>
                </c:pt>
                <c:pt idx="227">
                  <c:v>43468</c:v>
                </c:pt>
                <c:pt idx="228">
                  <c:v>43469</c:v>
                </c:pt>
                <c:pt idx="229">
                  <c:v>43472</c:v>
                </c:pt>
                <c:pt idx="230">
                  <c:v>43473</c:v>
                </c:pt>
                <c:pt idx="231">
                  <c:v>43474</c:v>
                </c:pt>
                <c:pt idx="232">
                  <c:v>43475</c:v>
                </c:pt>
                <c:pt idx="233">
                  <c:v>43476</c:v>
                </c:pt>
                <c:pt idx="234">
                  <c:v>43479</c:v>
                </c:pt>
                <c:pt idx="235">
                  <c:v>43480</c:v>
                </c:pt>
                <c:pt idx="236">
                  <c:v>43481</c:v>
                </c:pt>
                <c:pt idx="237">
                  <c:v>43482</c:v>
                </c:pt>
                <c:pt idx="238">
                  <c:v>43483</c:v>
                </c:pt>
                <c:pt idx="239">
                  <c:v>43487</c:v>
                </c:pt>
                <c:pt idx="240">
                  <c:v>43488</c:v>
                </c:pt>
                <c:pt idx="241">
                  <c:v>43489</c:v>
                </c:pt>
                <c:pt idx="242">
                  <c:v>43490</c:v>
                </c:pt>
                <c:pt idx="243">
                  <c:v>43493</c:v>
                </c:pt>
                <c:pt idx="244">
                  <c:v>43494</c:v>
                </c:pt>
                <c:pt idx="245">
                  <c:v>43495</c:v>
                </c:pt>
                <c:pt idx="246">
                  <c:v>43496</c:v>
                </c:pt>
                <c:pt idx="247">
                  <c:v>43497</c:v>
                </c:pt>
                <c:pt idx="248">
                  <c:v>43500</c:v>
                </c:pt>
                <c:pt idx="249">
                  <c:v>43501</c:v>
                </c:pt>
                <c:pt idx="250">
                  <c:v>43502</c:v>
                </c:pt>
                <c:pt idx="251">
                  <c:v>43503</c:v>
                </c:pt>
                <c:pt idx="252">
                  <c:v>43504</c:v>
                </c:pt>
                <c:pt idx="253">
                  <c:v>43507</c:v>
                </c:pt>
                <c:pt idx="254">
                  <c:v>43508</c:v>
                </c:pt>
                <c:pt idx="255">
                  <c:v>43509</c:v>
                </c:pt>
                <c:pt idx="256">
                  <c:v>43510</c:v>
                </c:pt>
                <c:pt idx="257">
                  <c:v>43511</c:v>
                </c:pt>
                <c:pt idx="258">
                  <c:v>43515</c:v>
                </c:pt>
                <c:pt idx="259">
                  <c:v>43516</c:v>
                </c:pt>
                <c:pt idx="260">
                  <c:v>43517</c:v>
                </c:pt>
                <c:pt idx="261">
                  <c:v>43518</c:v>
                </c:pt>
                <c:pt idx="262">
                  <c:v>43521</c:v>
                </c:pt>
                <c:pt idx="263">
                  <c:v>43522</c:v>
                </c:pt>
                <c:pt idx="264">
                  <c:v>43523</c:v>
                </c:pt>
                <c:pt idx="265">
                  <c:v>43524</c:v>
                </c:pt>
                <c:pt idx="266">
                  <c:v>43525</c:v>
                </c:pt>
                <c:pt idx="267">
                  <c:v>43528</c:v>
                </c:pt>
                <c:pt idx="268">
                  <c:v>43529</c:v>
                </c:pt>
                <c:pt idx="269">
                  <c:v>43530</c:v>
                </c:pt>
                <c:pt idx="270">
                  <c:v>43531</c:v>
                </c:pt>
                <c:pt idx="271">
                  <c:v>43532</c:v>
                </c:pt>
                <c:pt idx="272">
                  <c:v>43535</c:v>
                </c:pt>
                <c:pt idx="273">
                  <c:v>43536</c:v>
                </c:pt>
                <c:pt idx="274">
                  <c:v>43537</c:v>
                </c:pt>
                <c:pt idx="275">
                  <c:v>43538</c:v>
                </c:pt>
                <c:pt idx="276">
                  <c:v>43539</c:v>
                </c:pt>
                <c:pt idx="277">
                  <c:v>43542</c:v>
                </c:pt>
                <c:pt idx="278">
                  <c:v>43543</c:v>
                </c:pt>
                <c:pt idx="279">
                  <c:v>43544</c:v>
                </c:pt>
                <c:pt idx="280">
                  <c:v>43545</c:v>
                </c:pt>
                <c:pt idx="281">
                  <c:v>43546</c:v>
                </c:pt>
                <c:pt idx="282">
                  <c:v>43549</c:v>
                </c:pt>
                <c:pt idx="283">
                  <c:v>43550</c:v>
                </c:pt>
                <c:pt idx="284">
                  <c:v>43551</c:v>
                </c:pt>
                <c:pt idx="285">
                  <c:v>43552</c:v>
                </c:pt>
                <c:pt idx="286">
                  <c:v>43553</c:v>
                </c:pt>
                <c:pt idx="287">
                  <c:v>43556</c:v>
                </c:pt>
                <c:pt idx="288">
                  <c:v>43557</c:v>
                </c:pt>
                <c:pt idx="289">
                  <c:v>43558</c:v>
                </c:pt>
                <c:pt idx="290">
                  <c:v>43559</c:v>
                </c:pt>
                <c:pt idx="291">
                  <c:v>43560</c:v>
                </c:pt>
                <c:pt idx="292">
                  <c:v>43563</c:v>
                </c:pt>
                <c:pt idx="293">
                  <c:v>43564</c:v>
                </c:pt>
                <c:pt idx="294">
                  <c:v>43565</c:v>
                </c:pt>
                <c:pt idx="295">
                  <c:v>43566</c:v>
                </c:pt>
                <c:pt idx="296">
                  <c:v>43567</c:v>
                </c:pt>
                <c:pt idx="297">
                  <c:v>43570</c:v>
                </c:pt>
                <c:pt idx="298">
                  <c:v>43571</c:v>
                </c:pt>
                <c:pt idx="299">
                  <c:v>43572</c:v>
                </c:pt>
                <c:pt idx="300">
                  <c:v>43573</c:v>
                </c:pt>
                <c:pt idx="301">
                  <c:v>43577</c:v>
                </c:pt>
                <c:pt idx="302">
                  <c:v>43578</c:v>
                </c:pt>
                <c:pt idx="303">
                  <c:v>43579</c:v>
                </c:pt>
                <c:pt idx="304">
                  <c:v>43580</c:v>
                </c:pt>
                <c:pt idx="305">
                  <c:v>43581</c:v>
                </c:pt>
                <c:pt idx="306">
                  <c:v>43584</c:v>
                </c:pt>
                <c:pt idx="307">
                  <c:v>43585</c:v>
                </c:pt>
                <c:pt idx="308">
                  <c:v>43586</c:v>
                </c:pt>
                <c:pt idx="309">
                  <c:v>43587</c:v>
                </c:pt>
                <c:pt idx="310">
                  <c:v>43588</c:v>
                </c:pt>
                <c:pt idx="311">
                  <c:v>43591</c:v>
                </c:pt>
                <c:pt idx="312">
                  <c:v>43592</c:v>
                </c:pt>
                <c:pt idx="313">
                  <c:v>43593</c:v>
                </c:pt>
                <c:pt idx="314">
                  <c:v>43594</c:v>
                </c:pt>
                <c:pt idx="315">
                  <c:v>43595</c:v>
                </c:pt>
                <c:pt idx="316">
                  <c:v>43598</c:v>
                </c:pt>
                <c:pt idx="317">
                  <c:v>43599</c:v>
                </c:pt>
                <c:pt idx="318">
                  <c:v>43600</c:v>
                </c:pt>
                <c:pt idx="319">
                  <c:v>43601</c:v>
                </c:pt>
                <c:pt idx="320">
                  <c:v>43602</c:v>
                </c:pt>
                <c:pt idx="321">
                  <c:v>43605</c:v>
                </c:pt>
                <c:pt idx="322">
                  <c:v>43606</c:v>
                </c:pt>
                <c:pt idx="323">
                  <c:v>43607</c:v>
                </c:pt>
                <c:pt idx="324">
                  <c:v>43608</c:v>
                </c:pt>
                <c:pt idx="325">
                  <c:v>43609</c:v>
                </c:pt>
                <c:pt idx="326">
                  <c:v>43613</c:v>
                </c:pt>
                <c:pt idx="327">
                  <c:v>43614</c:v>
                </c:pt>
                <c:pt idx="328">
                  <c:v>43615</c:v>
                </c:pt>
                <c:pt idx="329">
                  <c:v>43616</c:v>
                </c:pt>
                <c:pt idx="330">
                  <c:v>43619</c:v>
                </c:pt>
                <c:pt idx="331">
                  <c:v>43620</c:v>
                </c:pt>
                <c:pt idx="332">
                  <c:v>43621</c:v>
                </c:pt>
                <c:pt idx="333">
                  <c:v>43622</c:v>
                </c:pt>
                <c:pt idx="334">
                  <c:v>43623</c:v>
                </c:pt>
                <c:pt idx="335">
                  <c:v>43626</c:v>
                </c:pt>
                <c:pt idx="336">
                  <c:v>43627</c:v>
                </c:pt>
                <c:pt idx="337">
                  <c:v>43628</c:v>
                </c:pt>
                <c:pt idx="338">
                  <c:v>43629</c:v>
                </c:pt>
                <c:pt idx="339">
                  <c:v>43630</c:v>
                </c:pt>
                <c:pt idx="340">
                  <c:v>43633</c:v>
                </c:pt>
                <c:pt idx="341">
                  <c:v>43634</c:v>
                </c:pt>
                <c:pt idx="342">
                  <c:v>43635</c:v>
                </c:pt>
                <c:pt idx="343">
                  <c:v>43636</c:v>
                </c:pt>
                <c:pt idx="344">
                  <c:v>43637</c:v>
                </c:pt>
                <c:pt idx="345">
                  <c:v>43640</c:v>
                </c:pt>
                <c:pt idx="346">
                  <c:v>43641</c:v>
                </c:pt>
                <c:pt idx="347">
                  <c:v>43642</c:v>
                </c:pt>
                <c:pt idx="348">
                  <c:v>43643</c:v>
                </c:pt>
                <c:pt idx="349">
                  <c:v>43644</c:v>
                </c:pt>
                <c:pt idx="350">
                  <c:v>43647</c:v>
                </c:pt>
                <c:pt idx="351">
                  <c:v>43648</c:v>
                </c:pt>
                <c:pt idx="352">
                  <c:v>43649</c:v>
                </c:pt>
                <c:pt idx="353">
                  <c:v>43651</c:v>
                </c:pt>
                <c:pt idx="354">
                  <c:v>43654</c:v>
                </c:pt>
                <c:pt idx="355">
                  <c:v>43655</c:v>
                </c:pt>
                <c:pt idx="356">
                  <c:v>43656</c:v>
                </c:pt>
                <c:pt idx="357">
                  <c:v>43657</c:v>
                </c:pt>
                <c:pt idx="358">
                  <c:v>43658</c:v>
                </c:pt>
                <c:pt idx="359">
                  <c:v>43661</c:v>
                </c:pt>
                <c:pt idx="360">
                  <c:v>43662</c:v>
                </c:pt>
                <c:pt idx="361">
                  <c:v>43663</c:v>
                </c:pt>
                <c:pt idx="362">
                  <c:v>43664</c:v>
                </c:pt>
                <c:pt idx="363">
                  <c:v>43665</c:v>
                </c:pt>
                <c:pt idx="364">
                  <c:v>43668</c:v>
                </c:pt>
                <c:pt idx="365">
                  <c:v>43669</c:v>
                </c:pt>
                <c:pt idx="366">
                  <c:v>43670</c:v>
                </c:pt>
                <c:pt idx="367">
                  <c:v>43671</c:v>
                </c:pt>
                <c:pt idx="368">
                  <c:v>43672</c:v>
                </c:pt>
                <c:pt idx="369">
                  <c:v>43675</c:v>
                </c:pt>
                <c:pt idx="370">
                  <c:v>43676</c:v>
                </c:pt>
                <c:pt idx="371">
                  <c:v>43677</c:v>
                </c:pt>
                <c:pt idx="372">
                  <c:v>43678</c:v>
                </c:pt>
                <c:pt idx="373">
                  <c:v>43679</c:v>
                </c:pt>
                <c:pt idx="374">
                  <c:v>43682</c:v>
                </c:pt>
                <c:pt idx="375">
                  <c:v>43683</c:v>
                </c:pt>
                <c:pt idx="376">
                  <c:v>43684</c:v>
                </c:pt>
                <c:pt idx="377">
                  <c:v>43685</c:v>
                </c:pt>
                <c:pt idx="378">
                  <c:v>43686</c:v>
                </c:pt>
                <c:pt idx="379">
                  <c:v>43689</c:v>
                </c:pt>
                <c:pt idx="380">
                  <c:v>43690</c:v>
                </c:pt>
                <c:pt idx="381">
                  <c:v>43691</c:v>
                </c:pt>
                <c:pt idx="382">
                  <c:v>43692</c:v>
                </c:pt>
                <c:pt idx="383">
                  <c:v>43693</c:v>
                </c:pt>
                <c:pt idx="384">
                  <c:v>43696</c:v>
                </c:pt>
                <c:pt idx="385">
                  <c:v>43697</c:v>
                </c:pt>
                <c:pt idx="386">
                  <c:v>43698</c:v>
                </c:pt>
                <c:pt idx="387">
                  <c:v>43699</c:v>
                </c:pt>
                <c:pt idx="388">
                  <c:v>43700</c:v>
                </c:pt>
                <c:pt idx="389">
                  <c:v>43703</c:v>
                </c:pt>
                <c:pt idx="390">
                  <c:v>43704</c:v>
                </c:pt>
                <c:pt idx="391">
                  <c:v>43705</c:v>
                </c:pt>
                <c:pt idx="392">
                  <c:v>43706</c:v>
                </c:pt>
                <c:pt idx="393">
                  <c:v>43707</c:v>
                </c:pt>
                <c:pt idx="394">
                  <c:v>43711</c:v>
                </c:pt>
                <c:pt idx="395">
                  <c:v>43712</c:v>
                </c:pt>
                <c:pt idx="396">
                  <c:v>43713</c:v>
                </c:pt>
                <c:pt idx="397">
                  <c:v>43714</c:v>
                </c:pt>
                <c:pt idx="398">
                  <c:v>43717</c:v>
                </c:pt>
                <c:pt idx="399">
                  <c:v>43718</c:v>
                </c:pt>
                <c:pt idx="400">
                  <c:v>43719</c:v>
                </c:pt>
                <c:pt idx="401">
                  <c:v>43720</c:v>
                </c:pt>
                <c:pt idx="402">
                  <c:v>43721</c:v>
                </c:pt>
                <c:pt idx="403">
                  <c:v>43724</c:v>
                </c:pt>
                <c:pt idx="404">
                  <c:v>43725</c:v>
                </c:pt>
                <c:pt idx="405">
                  <c:v>43726</c:v>
                </c:pt>
                <c:pt idx="406">
                  <c:v>43727</c:v>
                </c:pt>
                <c:pt idx="407">
                  <c:v>43728</c:v>
                </c:pt>
                <c:pt idx="408">
                  <c:v>43731</c:v>
                </c:pt>
                <c:pt idx="409">
                  <c:v>43732</c:v>
                </c:pt>
                <c:pt idx="410">
                  <c:v>43733</c:v>
                </c:pt>
                <c:pt idx="411">
                  <c:v>43734</c:v>
                </c:pt>
                <c:pt idx="412">
                  <c:v>43735</c:v>
                </c:pt>
                <c:pt idx="413">
                  <c:v>43738</c:v>
                </c:pt>
                <c:pt idx="414">
                  <c:v>43739</c:v>
                </c:pt>
                <c:pt idx="415">
                  <c:v>43740</c:v>
                </c:pt>
                <c:pt idx="416">
                  <c:v>43741</c:v>
                </c:pt>
                <c:pt idx="417">
                  <c:v>43742</c:v>
                </c:pt>
                <c:pt idx="418">
                  <c:v>43745</c:v>
                </c:pt>
                <c:pt idx="419">
                  <c:v>43746</c:v>
                </c:pt>
                <c:pt idx="420">
                  <c:v>43747</c:v>
                </c:pt>
                <c:pt idx="421">
                  <c:v>43748</c:v>
                </c:pt>
                <c:pt idx="422">
                  <c:v>43749</c:v>
                </c:pt>
                <c:pt idx="423">
                  <c:v>43752</c:v>
                </c:pt>
                <c:pt idx="424">
                  <c:v>43753</c:v>
                </c:pt>
                <c:pt idx="425">
                  <c:v>43754</c:v>
                </c:pt>
                <c:pt idx="426">
                  <c:v>43755</c:v>
                </c:pt>
                <c:pt idx="427">
                  <c:v>43756</c:v>
                </c:pt>
                <c:pt idx="428">
                  <c:v>43759</c:v>
                </c:pt>
                <c:pt idx="429">
                  <c:v>43760</c:v>
                </c:pt>
                <c:pt idx="430">
                  <c:v>43761</c:v>
                </c:pt>
                <c:pt idx="431">
                  <c:v>43762</c:v>
                </c:pt>
                <c:pt idx="432">
                  <c:v>43763</c:v>
                </c:pt>
                <c:pt idx="433">
                  <c:v>43766</c:v>
                </c:pt>
                <c:pt idx="434">
                  <c:v>43767</c:v>
                </c:pt>
                <c:pt idx="435">
                  <c:v>43768</c:v>
                </c:pt>
                <c:pt idx="436">
                  <c:v>43769</c:v>
                </c:pt>
                <c:pt idx="437">
                  <c:v>43770</c:v>
                </c:pt>
                <c:pt idx="438">
                  <c:v>43773</c:v>
                </c:pt>
                <c:pt idx="439">
                  <c:v>43774</c:v>
                </c:pt>
                <c:pt idx="440">
                  <c:v>43775</c:v>
                </c:pt>
                <c:pt idx="441">
                  <c:v>43776</c:v>
                </c:pt>
                <c:pt idx="442">
                  <c:v>43777</c:v>
                </c:pt>
                <c:pt idx="443">
                  <c:v>43780</c:v>
                </c:pt>
                <c:pt idx="444">
                  <c:v>43781</c:v>
                </c:pt>
                <c:pt idx="445">
                  <c:v>43782</c:v>
                </c:pt>
                <c:pt idx="446">
                  <c:v>43783</c:v>
                </c:pt>
                <c:pt idx="447">
                  <c:v>43784</c:v>
                </c:pt>
                <c:pt idx="448">
                  <c:v>43787</c:v>
                </c:pt>
                <c:pt idx="449">
                  <c:v>43788</c:v>
                </c:pt>
                <c:pt idx="450">
                  <c:v>43789</c:v>
                </c:pt>
                <c:pt idx="451">
                  <c:v>43790</c:v>
                </c:pt>
                <c:pt idx="452">
                  <c:v>43791</c:v>
                </c:pt>
                <c:pt idx="453">
                  <c:v>43794</c:v>
                </c:pt>
                <c:pt idx="454">
                  <c:v>43795</c:v>
                </c:pt>
                <c:pt idx="455">
                  <c:v>43796</c:v>
                </c:pt>
                <c:pt idx="456">
                  <c:v>43798</c:v>
                </c:pt>
                <c:pt idx="457">
                  <c:v>43801</c:v>
                </c:pt>
                <c:pt idx="458">
                  <c:v>43802</c:v>
                </c:pt>
                <c:pt idx="459">
                  <c:v>43803</c:v>
                </c:pt>
                <c:pt idx="460">
                  <c:v>43804</c:v>
                </c:pt>
                <c:pt idx="461">
                  <c:v>43805</c:v>
                </c:pt>
                <c:pt idx="462">
                  <c:v>43808</c:v>
                </c:pt>
                <c:pt idx="463">
                  <c:v>43809</c:v>
                </c:pt>
                <c:pt idx="464">
                  <c:v>43810</c:v>
                </c:pt>
                <c:pt idx="465">
                  <c:v>43811</c:v>
                </c:pt>
                <c:pt idx="466">
                  <c:v>43812</c:v>
                </c:pt>
                <c:pt idx="467">
                  <c:v>43815</c:v>
                </c:pt>
                <c:pt idx="468">
                  <c:v>43816</c:v>
                </c:pt>
                <c:pt idx="469">
                  <c:v>43817</c:v>
                </c:pt>
                <c:pt idx="470">
                  <c:v>43818</c:v>
                </c:pt>
                <c:pt idx="471">
                  <c:v>43819</c:v>
                </c:pt>
                <c:pt idx="472">
                  <c:v>43822</c:v>
                </c:pt>
                <c:pt idx="473">
                  <c:v>43823</c:v>
                </c:pt>
                <c:pt idx="474">
                  <c:v>43825</c:v>
                </c:pt>
                <c:pt idx="475">
                  <c:v>43826</c:v>
                </c:pt>
                <c:pt idx="476">
                  <c:v>43829</c:v>
                </c:pt>
                <c:pt idx="477">
                  <c:v>43830</c:v>
                </c:pt>
                <c:pt idx="478">
                  <c:v>43832</c:v>
                </c:pt>
                <c:pt idx="479">
                  <c:v>43833</c:v>
                </c:pt>
                <c:pt idx="480">
                  <c:v>43836</c:v>
                </c:pt>
                <c:pt idx="481">
                  <c:v>43837</c:v>
                </c:pt>
                <c:pt idx="482">
                  <c:v>43838</c:v>
                </c:pt>
                <c:pt idx="483">
                  <c:v>43839</c:v>
                </c:pt>
                <c:pt idx="484">
                  <c:v>43840</c:v>
                </c:pt>
                <c:pt idx="485">
                  <c:v>43843</c:v>
                </c:pt>
                <c:pt idx="486">
                  <c:v>43844</c:v>
                </c:pt>
                <c:pt idx="487">
                  <c:v>43845</c:v>
                </c:pt>
                <c:pt idx="488">
                  <c:v>43846</c:v>
                </c:pt>
                <c:pt idx="489">
                  <c:v>43847</c:v>
                </c:pt>
                <c:pt idx="490">
                  <c:v>43851</c:v>
                </c:pt>
                <c:pt idx="491">
                  <c:v>43852</c:v>
                </c:pt>
                <c:pt idx="492">
                  <c:v>43853</c:v>
                </c:pt>
                <c:pt idx="493">
                  <c:v>43854</c:v>
                </c:pt>
                <c:pt idx="494">
                  <c:v>43857</c:v>
                </c:pt>
                <c:pt idx="495">
                  <c:v>43858</c:v>
                </c:pt>
                <c:pt idx="496">
                  <c:v>43859</c:v>
                </c:pt>
                <c:pt idx="497">
                  <c:v>43860</c:v>
                </c:pt>
                <c:pt idx="498">
                  <c:v>43861</c:v>
                </c:pt>
                <c:pt idx="499">
                  <c:v>43864</c:v>
                </c:pt>
                <c:pt idx="500">
                  <c:v>43864</c:v>
                </c:pt>
              </c:numCache>
            </c:numRef>
          </c:cat>
          <c:val>
            <c:numRef>
              <c:f>Data!$D$2:$D$502</c:f>
              <c:numCache>
                <c:formatCode>General</c:formatCode>
                <c:ptCount val="501"/>
                <c:pt idx="0">
                  <c:v>30323.199218999998</c:v>
                </c:pt>
                <c:pt idx="1">
                  <c:v>30451.269531000002</c:v>
                </c:pt>
                <c:pt idx="2">
                  <c:v>29507.419922000001</c:v>
                </c:pt>
                <c:pt idx="3">
                  <c:v>29459.630859000001</c:v>
                </c:pt>
                <c:pt idx="4">
                  <c:v>29839.529297000001</c:v>
                </c:pt>
                <c:pt idx="5">
                  <c:v>30515.599609000001</c:v>
                </c:pt>
                <c:pt idx="6">
                  <c:v>31115.429688</c:v>
                </c:pt>
                <c:pt idx="7">
                  <c:v>30873.630859000001</c:v>
                </c:pt>
                <c:pt idx="8">
                  <c:v>31431.890625</c:v>
                </c:pt>
                <c:pt idx="9">
                  <c:v>30965.679688</c:v>
                </c:pt>
                <c:pt idx="10">
                  <c:v>31267.169922000001</c:v>
                </c:pt>
                <c:pt idx="11">
                  <c:v>31498.599609000001</c:v>
                </c:pt>
                <c:pt idx="12">
                  <c:v>31268.660156000002</c:v>
                </c:pt>
                <c:pt idx="13">
                  <c:v>30844.720702999999</c:v>
                </c:pt>
                <c:pt idx="14">
                  <c:v>30944.4853515</c:v>
                </c:pt>
                <c:pt idx="15">
                  <c:v>31044.25</c:v>
                </c:pt>
                <c:pt idx="16">
                  <c:v>30583.449218999998</c:v>
                </c:pt>
                <c:pt idx="17">
                  <c:v>29886.390625</c:v>
                </c:pt>
                <c:pt idx="18">
                  <c:v>30510.730468999998</c:v>
                </c:pt>
                <c:pt idx="19">
                  <c:v>30196.919922000001</c:v>
                </c:pt>
                <c:pt idx="20">
                  <c:v>30654.519531000002</c:v>
                </c:pt>
                <c:pt idx="21">
                  <c:v>30996.210938</c:v>
                </c:pt>
                <c:pt idx="22">
                  <c:v>31594.330077999999</c:v>
                </c:pt>
                <c:pt idx="23">
                  <c:v>31601.449218999998</c:v>
                </c:pt>
                <c:pt idx="24">
                  <c:v>31435.009765999999</c:v>
                </c:pt>
                <c:pt idx="25">
                  <c:v>31541.099609000001</c:v>
                </c:pt>
                <c:pt idx="26">
                  <c:v>31501.970702999999</c:v>
                </c:pt>
                <c:pt idx="27">
                  <c:v>31513.759765999999</c:v>
                </c:pt>
                <c:pt idx="28">
                  <c:v>31549.929688</c:v>
                </c:pt>
                <c:pt idx="29">
                  <c:v>31414.519531000002</c:v>
                </c:pt>
                <c:pt idx="30">
                  <c:v>31071.050781000002</c:v>
                </c:pt>
                <c:pt idx="31">
                  <c:v>30309.289063</c:v>
                </c:pt>
                <c:pt idx="32">
                  <c:v>30548.769531000002</c:v>
                </c:pt>
                <c:pt idx="33">
                  <c:v>30790.830077999999</c:v>
                </c:pt>
                <c:pt idx="34">
                  <c:v>30022.529297000001</c:v>
                </c:pt>
                <c:pt idx="35">
                  <c:v>30093.380859000001</c:v>
                </c:pt>
                <c:pt idx="36">
                  <c:v>30180.099609000001</c:v>
                </c:pt>
                <c:pt idx="37">
                  <c:v>29518.689452999999</c:v>
                </c:pt>
                <c:pt idx="38">
                  <c:v>29844.939452999999</c:v>
                </c:pt>
                <c:pt idx="39">
                  <c:v>30229.580077999999</c:v>
                </c:pt>
                <c:pt idx="40">
                  <c:v>30728.740234000001</c:v>
                </c:pt>
                <c:pt idx="41">
                  <c:v>30897.710938</c:v>
                </c:pt>
                <c:pt idx="42">
                  <c:v>30831.279297000001</c:v>
                </c:pt>
                <c:pt idx="43">
                  <c:v>30808.380859000001</c:v>
                </c:pt>
                <c:pt idx="44">
                  <c:v>30315.589843999998</c:v>
                </c:pt>
                <c:pt idx="45">
                  <c:v>30062.75</c:v>
                </c:pt>
                <c:pt idx="46">
                  <c:v>30284.25</c:v>
                </c:pt>
                <c:pt idx="47">
                  <c:v>30708.439452999999</c:v>
                </c:pt>
                <c:pt idx="48">
                  <c:v>30418.330077999999</c:v>
                </c:pt>
                <c:pt idx="49">
                  <c:v>30254.400390999999</c:v>
                </c:pt>
                <c:pt idx="50">
                  <c:v>30636.240234000001</c:v>
                </c:pt>
                <c:pt idx="51">
                  <c:v>30328.150390999999</c:v>
                </c:pt>
                <c:pt idx="52">
                  <c:v>30171.575195500001</c:v>
                </c:pt>
                <c:pt idx="53">
                  <c:v>30015</c:v>
                </c:pt>
                <c:pt idx="54">
                  <c:v>30007.679688</c:v>
                </c:pt>
                <c:pt idx="55">
                  <c:v>30280.669922000001</c:v>
                </c:pt>
                <c:pt idx="56">
                  <c:v>30808.449218999998</c:v>
                </c:pt>
                <c:pt idx="57">
                  <c:v>30766.165039</c:v>
                </c:pt>
                <c:pt idx="58">
                  <c:v>30723.880859000001</c:v>
                </c:pt>
                <c:pt idx="59">
                  <c:v>30313.369140999999</c:v>
                </c:pt>
                <c:pt idx="60">
                  <c:v>29926.5</c:v>
                </c:pt>
                <c:pt idx="61">
                  <c:v>29994.259765999999</c:v>
                </c:pt>
                <c:pt idx="62">
                  <c:v>30402.810547000001</c:v>
                </c:pt>
                <c:pt idx="63">
                  <c:v>30536.140625</c:v>
                </c:pt>
                <c:pt idx="64">
                  <c:v>30809.220702999999</c:v>
                </c:pt>
                <c:pt idx="65">
                  <c:v>31122.060547000001</c:v>
                </c:pt>
                <c:pt idx="66">
                  <c:v>31541.080077999999</c:v>
                </c:pt>
                <c:pt idx="67">
                  <c:v>31152.029297000001</c:v>
                </c:pt>
                <c:pt idx="68">
                  <c:v>31110.199218999998</c:v>
                </c:pt>
                <c:pt idx="69">
                  <c:v>30942.150390999999</c:v>
                </c:pt>
                <c:pt idx="70">
                  <c:v>31047.910156000002</c:v>
                </c:pt>
                <c:pt idx="71">
                  <c:v>31234.349609000001</c:v>
                </c:pt>
                <c:pt idx="72">
                  <c:v>30665.640625</c:v>
                </c:pt>
                <c:pt idx="73">
                  <c:v>30760.410156000002</c:v>
                </c:pt>
                <c:pt idx="74">
                  <c:v>30588.039063</c:v>
                </c:pt>
                <c:pt idx="75">
                  <c:v>30792.259765999999</c:v>
                </c:pt>
                <c:pt idx="76">
                  <c:v>30484.580077999999</c:v>
                </c:pt>
                <c:pt idx="77">
                  <c:v>30056.789063</c:v>
                </c:pt>
                <c:pt idx="78">
                  <c:v>30468.560547000001</c:v>
                </c:pt>
                <c:pt idx="79">
                  <c:v>30492.910156000002</c:v>
                </c:pt>
                <c:pt idx="80">
                  <c:v>30997.980468999998</c:v>
                </c:pt>
                <c:pt idx="81">
                  <c:v>31093.449218999998</c:v>
                </c:pt>
                <c:pt idx="82">
                  <c:v>31259.099609000001</c:v>
                </c:pt>
                <c:pt idx="83">
                  <c:v>31512.630859000001</c:v>
                </c:pt>
                <c:pt idx="84">
                  <c:v>30958.210938</c:v>
                </c:pt>
                <c:pt idx="85">
                  <c:v>31063.699218999998</c:v>
                </c:pt>
                <c:pt idx="86">
                  <c:v>31103.060547000001</c:v>
                </c:pt>
                <c:pt idx="87">
                  <c:v>30725.150390999999</c:v>
                </c:pt>
                <c:pt idx="88">
                  <c:v>30440.169922000001</c:v>
                </c:pt>
                <c:pt idx="89">
                  <c:v>30309.490234000001</c:v>
                </c:pt>
                <c:pt idx="90">
                  <c:v>29468.150390999999</c:v>
                </c:pt>
                <c:pt idx="91">
                  <c:v>29696.169922000001</c:v>
                </c:pt>
                <c:pt idx="92">
                  <c:v>29296.050781000002</c:v>
                </c:pt>
                <c:pt idx="93">
                  <c:v>29338.699218999998</c:v>
                </c:pt>
                <c:pt idx="94">
                  <c:v>28961.390625</c:v>
                </c:pt>
                <c:pt idx="95">
                  <c:v>28881.400390999999</c:v>
                </c:pt>
                <c:pt idx="96">
                  <c:v>28356.259765999999</c:v>
                </c:pt>
                <c:pt idx="97">
                  <c:v>28497.320313</c:v>
                </c:pt>
                <c:pt idx="98">
                  <c:v>28955.109375</c:v>
                </c:pt>
                <c:pt idx="99">
                  <c:v>28545.570313</c:v>
                </c:pt>
                <c:pt idx="100">
                  <c:v>28241.669922000001</c:v>
                </c:pt>
                <c:pt idx="101">
                  <c:v>28182.089843999998</c:v>
                </c:pt>
                <c:pt idx="102">
                  <c:v>28315.619140999999</c:v>
                </c:pt>
                <c:pt idx="103">
                  <c:v>28688.5</c:v>
                </c:pt>
                <c:pt idx="104">
                  <c:v>28682.25</c:v>
                </c:pt>
                <c:pt idx="105">
                  <c:v>28311.689452999999</c:v>
                </c:pt>
                <c:pt idx="106">
                  <c:v>28480.830077999999</c:v>
                </c:pt>
                <c:pt idx="107">
                  <c:v>28525.439452999999</c:v>
                </c:pt>
                <c:pt idx="108">
                  <c:v>28539.660156000002</c:v>
                </c:pt>
                <c:pt idx="109">
                  <c:v>28181.679688</c:v>
                </c:pt>
                <c:pt idx="110">
                  <c:v>28117.419922000001</c:v>
                </c:pt>
                <c:pt idx="111">
                  <c:v>28010.859375</c:v>
                </c:pt>
                <c:pt idx="112">
                  <c:v>28224.480468999998</c:v>
                </c:pt>
                <c:pt idx="113">
                  <c:v>28256.119140999999</c:v>
                </c:pt>
                <c:pt idx="114">
                  <c:v>28662.570313</c:v>
                </c:pt>
                <c:pt idx="115">
                  <c:v>28920.900390999999</c:v>
                </c:pt>
                <c:pt idx="116">
                  <c:v>28781.140625</c:v>
                </c:pt>
                <c:pt idx="117">
                  <c:v>28804.279297000001</c:v>
                </c:pt>
                <c:pt idx="118">
                  <c:v>28733.130859000001</c:v>
                </c:pt>
                <c:pt idx="119">
                  <c:v>28583.009765999999</c:v>
                </c:pt>
                <c:pt idx="120">
                  <c:v>28340.740234000001</c:v>
                </c:pt>
                <c:pt idx="121">
                  <c:v>27714.560547000001</c:v>
                </c:pt>
                <c:pt idx="122">
                  <c:v>27676.320313</c:v>
                </c:pt>
                <c:pt idx="123">
                  <c:v>27819.560547000001</c:v>
                </c:pt>
                <c:pt idx="124">
                  <c:v>28248.880859000001</c:v>
                </c:pt>
                <c:pt idx="125">
                  <c:v>28359.140625</c:v>
                </c:pt>
                <c:pt idx="126">
                  <c:v>28607.300781000002</c:v>
                </c:pt>
                <c:pt idx="127">
                  <c:v>28366.619140999999</c:v>
                </c:pt>
                <c:pt idx="128">
                  <c:v>27936.570313</c:v>
                </c:pt>
                <c:pt idx="129">
                  <c:v>27752.929688</c:v>
                </c:pt>
                <c:pt idx="130">
                  <c:v>27323.589843999998</c:v>
                </c:pt>
                <c:pt idx="131">
                  <c:v>27100.060547000001</c:v>
                </c:pt>
                <c:pt idx="132">
                  <c:v>27213.410156000002</c:v>
                </c:pt>
                <c:pt idx="133">
                  <c:v>27598.019531000002</c:v>
                </c:pt>
                <c:pt idx="134">
                  <c:v>27752.789063</c:v>
                </c:pt>
                <c:pt idx="135">
                  <c:v>27927.580077999999</c:v>
                </c:pt>
                <c:pt idx="136">
                  <c:v>27790.460938</c:v>
                </c:pt>
                <c:pt idx="137">
                  <c:v>27671.869140999999</c:v>
                </c:pt>
                <c:pt idx="138">
                  <c:v>28271.269531000002</c:v>
                </c:pt>
                <c:pt idx="139">
                  <c:v>28351.619140999999</c:v>
                </c:pt>
                <c:pt idx="140">
                  <c:v>28416.439452999999</c:v>
                </c:pt>
                <c:pt idx="141">
                  <c:v>28164.050781000002</c:v>
                </c:pt>
                <c:pt idx="142">
                  <c:v>27888.550781000002</c:v>
                </c:pt>
                <c:pt idx="143">
                  <c:v>27712.539063</c:v>
                </c:pt>
                <c:pt idx="144">
                  <c:v>27973.339843999998</c:v>
                </c:pt>
                <c:pt idx="145">
                  <c:v>27243.849609000001</c:v>
                </c:pt>
                <c:pt idx="146">
                  <c:v>26974.820313</c:v>
                </c:pt>
                <c:pt idx="147">
                  <c:v>26973.470702999999</c:v>
                </c:pt>
                <c:pt idx="148">
                  <c:v>26613.419922000001</c:v>
                </c:pt>
                <c:pt idx="149">
                  <c:v>26422.550781000002</c:v>
                </c:pt>
                <c:pt idx="150">
                  <c:v>26345.039063</c:v>
                </c:pt>
                <c:pt idx="151">
                  <c:v>27014.490234000001</c:v>
                </c:pt>
                <c:pt idx="152">
                  <c:v>27286.410156000002</c:v>
                </c:pt>
                <c:pt idx="153">
                  <c:v>26932.849609000001</c:v>
                </c:pt>
                <c:pt idx="154">
                  <c:v>27084.660156000002</c:v>
                </c:pt>
                <c:pt idx="155">
                  <c:v>27407.369140999999</c:v>
                </c:pt>
                <c:pt idx="156">
                  <c:v>27477.669922000001</c:v>
                </c:pt>
                <c:pt idx="157">
                  <c:v>27953.580077999999</c:v>
                </c:pt>
                <c:pt idx="158">
                  <c:v>27499.390625</c:v>
                </c:pt>
                <c:pt idx="159">
                  <c:v>27816.869140999999</c:v>
                </c:pt>
                <c:pt idx="160">
                  <c:v>27715.669922000001</c:v>
                </c:pt>
                <c:pt idx="161">
                  <c:v>27788.519531000002</c:v>
                </c:pt>
                <c:pt idx="162">
                  <c:v>27126.380859000001</c:v>
                </c:pt>
                <c:pt idx="163">
                  <c:v>27091.259765999999</c:v>
                </c:pt>
                <c:pt idx="164">
                  <c:v>26623.869140999999</c:v>
                </c:pt>
                <c:pt idx="165">
                  <c:v>26572.570313</c:v>
                </c:pt>
                <c:pt idx="166">
                  <c:v>26202.570313</c:v>
                </c:pt>
                <c:pt idx="167">
                  <c:v>26172.910156000002</c:v>
                </c:pt>
                <c:pt idx="168">
                  <c:v>26193.070313</c:v>
                </c:pt>
                <c:pt idx="169">
                  <c:v>25266.369140999999</c:v>
                </c:pt>
                <c:pt idx="170">
                  <c:v>25801.490234000001</c:v>
                </c:pt>
                <c:pt idx="171">
                  <c:v>25445.060547000001</c:v>
                </c:pt>
                <c:pt idx="172">
                  <c:v>25462.259765999999</c:v>
                </c:pt>
                <c:pt idx="173">
                  <c:v>25454.550781000002</c:v>
                </c:pt>
                <c:pt idx="174">
                  <c:v>25561.400390999999</c:v>
                </c:pt>
                <c:pt idx="175">
                  <c:v>26153.150390999999</c:v>
                </c:pt>
                <c:pt idx="176">
                  <c:v>25346.550781000002</c:v>
                </c:pt>
                <c:pt idx="177">
                  <c:v>25249.779297000001</c:v>
                </c:pt>
                <c:pt idx="178">
                  <c:v>24994.460938</c:v>
                </c:pt>
                <c:pt idx="179">
                  <c:v>24717.630859000001</c:v>
                </c:pt>
                <c:pt idx="180">
                  <c:v>24812.039063</c:v>
                </c:pt>
                <c:pt idx="181">
                  <c:v>24585.529297000001</c:v>
                </c:pt>
                <c:pt idx="182">
                  <c:v>24979.689452999999</c:v>
                </c:pt>
                <c:pt idx="183">
                  <c:v>25416</c:v>
                </c:pt>
                <c:pt idx="184">
                  <c:v>26486.349609000001</c:v>
                </c:pt>
                <c:pt idx="185">
                  <c:v>25934.390625</c:v>
                </c:pt>
                <c:pt idx="186">
                  <c:v>26120.960938</c:v>
                </c:pt>
                <c:pt idx="187">
                  <c:v>26147.689452999999</c:v>
                </c:pt>
                <c:pt idx="188">
                  <c:v>26227.720702999999</c:v>
                </c:pt>
                <c:pt idx="189">
                  <c:v>25601.919922000001</c:v>
                </c:pt>
                <c:pt idx="190">
                  <c:v>25633.179688</c:v>
                </c:pt>
                <c:pt idx="191">
                  <c:v>25792.869140999999</c:v>
                </c:pt>
                <c:pt idx="192">
                  <c:v>25654.429688</c:v>
                </c:pt>
                <c:pt idx="193">
                  <c:v>26103.339843999998</c:v>
                </c:pt>
                <c:pt idx="194">
                  <c:v>26183.529297000001</c:v>
                </c:pt>
                <c:pt idx="195">
                  <c:v>26372</c:v>
                </c:pt>
                <c:pt idx="196">
                  <c:v>25840.339843999998</c:v>
                </c:pt>
                <c:pt idx="197">
                  <c:v>25971.470702999999</c:v>
                </c:pt>
                <c:pt idx="198">
                  <c:v>26019.410156000002</c:v>
                </c:pt>
                <c:pt idx="199">
                  <c:v>25927.679688</c:v>
                </c:pt>
                <c:pt idx="200">
                  <c:v>26376.179688</c:v>
                </c:pt>
                <c:pt idx="201">
                  <c:v>26331.960938</c:v>
                </c:pt>
                <c:pt idx="202">
                  <c:v>26682.560547000001</c:v>
                </c:pt>
                <c:pt idx="203">
                  <c:v>26451.029297000001</c:v>
                </c:pt>
                <c:pt idx="204">
                  <c:v>26506.75</c:v>
                </c:pt>
                <c:pt idx="205">
                  <c:v>27182.039063</c:v>
                </c:pt>
                <c:pt idx="206">
                  <c:v>27260.439452999999</c:v>
                </c:pt>
                <c:pt idx="207">
                  <c:v>26819.679688</c:v>
                </c:pt>
                <c:pt idx="208">
                  <c:v>26156.380859000001</c:v>
                </c:pt>
                <c:pt idx="209">
                  <c:v>26063.759765999999</c:v>
                </c:pt>
                <c:pt idx="210">
                  <c:v>25752.380859000001</c:v>
                </c:pt>
                <c:pt idx="211">
                  <c:v>25771.669922000001</c:v>
                </c:pt>
                <c:pt idx="212">
                  <c:v>26186.710938</c:v>
                </c:pt>
                <c:pt idx="213">
                  <c:v>26524.349609000001</c:v>
                </c:pt>
                <c:pt idx="214">
                  <c:v>26094.789063</c:v>
                </c:pt>
                <c:pt idx="215">
                  <c:v>26087.980468999998</c:v>
                </c:pt>
                <c:pt idx="216">
                  <c:v>25814.25</c:v>
                </c:pt>
                <c:pt idx="217">
                  <c:v>25865.390625</c:v>
                </c:pt>
                <c:pt idx="218">
                  <c:v>25623.529297000001</c:v>
                </c:pt>
                <c:pt idx="219">
                  <c:v>25753.419922000001</c:v>
                </c:pt>
                <c:pt idx="220">
                  <c:v>25651.380859000001</c:v>
                </c:pt>
                <c:pt idx="221">
                  <c:v>25478.880859000001</c:v>
                </c:pt>
                <c:pt idx="222">
                  <c:v>25504.199218999998</c:v>
                </c:pt>
                <c:pt idx="223">
                  <c:v>25845.699218999998</c:v>
                </c:pt>
                <c:pt idx="224">
                  <c:v>25130.349609000001</c:v>
                </c:pt>
                <c:pt idx="225">
                  <c:v>25064.359375</c:v>
                </c:pt>
                <c:pt idx="226">
                  <c:v>25626.029297000001</c:v>
                </c:pt>
                <c:pt idx="227">
                  <c:v>25835.699218999998</c:v>
                </c:pt>
                <c:pt idx="228">
                  <c:v>25875.449218999998</c:v>
                </c:pt>
                <c:pt idx="229">
                  <c:v>26462.320313</c:v>
                </c:pt>
                <c:pt idx="230">
                  <c:v>26521.429688</c:v>
                </c:pt>
                <c:pt idx="231">
                  <c:v>26667.269531000002</c:v>
                </c:pt>
                <c:pt idx="232">
                  <c:v>26298.330077999999</c:v>
                </c:pt>
                <c:pt idx="233">
                  <c:v>26830.289063</c:v>
                </c:pt>
                <c:pt idx="234">
                  <c:v>26902.099609000001</c:v>
                </c:pt>
                <c:pt idx="235">
                  <c:v>26755.630859000001</c:v>
                </c:pt>
                <c:pt idx="236">
                  <c:v>27090.810547000001</c:v>
                </c:pt>
                <c:pt idx="237">
                  <c:v>27196.539063</c:v>
                </c:pt>
                <c:pt idx="238">
                  <c:v>27005.449218999998</c:v>
                </c:pt>
                <c:pt idx="239">
                  <c:v>27008.199218999998</c:v>
                </c:pt>
                <c:pt idx="240">
                  <c:v>27120.980468999998</c:v>
                </c:pt>
                <c:pt idx="241">
                  <c:v>27345.084961</c:v>
                </c:pt>
                <c:pt idx="242">
                  <c:v>27569.189452999999</c:v>
                </c:pt>
                <c:pt idx="243">
                  <c:v>27576.960938</c:v>
                </c:pt>
                <c:pt idx="244">
                  <c:v>27531.679688</c:v>
                </c:pt>
                <c:pt idx="245">
                  <c:v>27642.849609000001</c:v>
                </c:pt>
                <c:pt idx="246">
                  <c:v>27942.470702999999</c:v>
                </c:pt>
                <c:pt idx="247">
                  <c:v>27930.740234000001</c:v>
                </c:pt>
                <c:pt idx="248">
                  <c:v>27990.210938</c:v>
                </c:pt>
                <c:pt idx="249">
                  <c:v>27970.105469000002</c:v>
                </c:pt>
                <c:pt idx="250">
                  <c:v>27950</c:v>
                </c:pt>
                <c:pt idx="251">
                  <c:v>27946.320313</c:v>
                </c:pt>
                <c:pt idx="252">
                  <c:v>28143.839843999998</c:v>
                </c:pt>
                <c:pt idx="253">
                  <c:v>28171.330077999999</c:v>
                </c:pt>
                <c:pt idx="254">
                  <c:v>28497.589843999998</c:v>
                </c:pt>
                <c:pt idx="255">
                  <c:v>28432.050781000002</c:v>
                </c:pt>
                <c:pt idx="256">
                  <c:v>27900.839843999998</c:v>
                </c:pt>
                <c:pt idx="257">
                  <c:v>28347.009765999999</c:v>
                </c:pt>
                <c:pt idx="258">
                  <c:v>28228.130859000001</c:v>
                </c:pt>
                <c:pt idx="259">
                  <c:v>28514.050781000002</c:v>
                </c:pt>
                <c:pt idx="260">
                  <c:v>28629.919922000001</c:v>
                </c:pt>
                <c:pt idx="261">
                  <c:v>28816.300781000002</c:v>
                </c:pt>
                <c:pt idx="262">
                  <c:v>28959.300781000002</c:v>
                </c:pt>
                <c:pt idx="263">
                  <c:v>28772.060547000001</c:v>
                </c:pt>
                <c:pt idx="264">
                  <c:v>28757.439452999999</c:v>
                </c:pt>
                <c:pt idx="265">
                  <c:v>28633.179688</c:v>
                </c:pt>
                <c:pt idx="266">
                  <c:v>28812.169922000001</c:v>
                </c:pt>
                <c:pt idx="267">
                  <c:v>28959.589843999998</c:v>
                </c:pt>
                <c:pt idx="268">
                  <c:v>28961.599609000001</c:v>
                </c:pt>
                <c:pt idx="269">
                  <c:v>29037.599609000001</c:v>
                </c:pt>
                <c:pt idx="270">
                  <c:v>28779.449218999998</c:v>
                </c:pt>
                <c:pt idx="271">
                  <c:v>28228.419922000001</c:v>
                </c:pt>
                <c:pt idx="272">
                  <c:v>28503.300781000002</c:v>
                </c:pt>
                <c:pt idx="273">
                  <c:v>28920.869140999999</c:v>
                </c:pt>
                <c:pt idx="274">
                  <c:v>28807.449218999998</c:v>
                </c:pt>
                <c:pt idx="275">
                  <c:v>28851.390625</c:v>
                </c:pt>
                <c:pt idx="276">
                  <c:v>29012.259765999999</c:v>
                </c:pt>
                <c:pt idx="277">
                  <c:v>29409.009765999999</c:v>
                </c:pt>
                <c:pt idx="278">
                  <c:v>29466.279297000001</c:v>
                </c:pt>
                <c:pt idx="279">
                  <c:v>29320.970702999999</c:v>
                </c:pt>
                <c:pt idx="280">
                  <c:v>29071.560547000001</c:v>
                </c:pt>
                <c:pt idx="281">
                  <c:v>29113.359375</c:v>
                </c:pt>
                <c:pt idx="282">
                  <c:v>28523.349609000001</c:v>
                </c:pt>
                <c:pt idx="283">
                  <c:v>28566.910156000002</c:v>
                </c:pt>
                <c:pt idx="284">
                  <c:v>28728.25</c:v>
                </c:pt>
                <c:pt idx="285">
                  <c:v>28775.210938</c:v>
                </c:pt>
                <c:pt idx="286">
                  <c:v>29051.359375</c:v>
                </c:pt>
                <c:pt idx="287">
                  <c:v>29562.019531000002</c:v>
                </c:pt>
                <c:pt idx="288">
                  <c:v>29624.669922000001</c:v>
                </c:pt>
                <c:pt idx="289">
                  <c:v>29986.390625</c:v>
                </c:pt>
                <c:pt idx="290">
                  <c:v>29936.320313</c:v>
                </c:pt>
                <c:pt idx="291">
                  <c:v>30006.735352</c:v>
                </c:pt>
                <c:pt idx="292">
                  <c:v>30077.150390999999</c:v>
                </c:pt>
                <c:pt idx="293">
                  <c:v>30157.490234000001</c:v>
                </c:pt>
                <c:pt idx="294">
                  <c:v>30119.560547000001</c:v>
                </c:pt>
                <c:pt idx="295">
                  <c:v>29839.449218999998</c:v>
                </c:pt>
                <c:pt idx="296">
                  <c:v>29909.759765999999</c:v>
                </c:pt>
                <c:pt idx="297">
                  <c:v>29810.720702999999</c:v>
                </c:pt>
                <c:pt idx="298">
                  <c:v>30129.869140999999</c:v>
                </c:pt>
                <c:pt idx="299">
                  <c:v>30124.679688</c:v>
                </c:pt>
                <c:pt idx="300">
                  <c:v>29963.259765999999</c:v>
                </c:pt>
                <c:pt idx="301">
                  <c:v>29963.240234000001</c:v>
                </c:pt>
                <c:pt idx="302">
                  <c:v>29805.830077999999</c:v>
                </c:pt>
                <c:pt idx="303">
                  <c:v>29549.800781000002</c:v>
                </c:pt>
                <c:pt idx="304">
                  <c:v>29577.4052735</c:v>
                </c:pt>
                <c:pt idx="305">
                  <c:v>29605.009765999999</c:v>
                </c:pt>
                <c:pt idx="306">
                  <c:v>29892.810547000001</c:v>
                </c:pt>
                <c:pt idx="307">
                  <c:v>29699.109375</c:v>
                </c:pt>
                <c:pt idx="308">
                  <c:v>29821.644531500002</c:v>
                </c:pt>
                <c:pt idx="309">
                  <c:v>29944.179688</c:v>
                </c:pt>
                <c:pt idx="310">
                  <c:v>30081.550781000002</c:v>
                </c:pt>
                <c:pt idx="311">
                  <c:v>29209.820313</c:v>
                </c:pt>
                <c:pt idx="312">
                  <c:v>29363.019531000002</c:v>
                </c:pt>
                <c:pt idx="313">
                  <c:v>29003.199218999998</c:v>
                </c:pt>
                <c:pt idx="314">
                  <c:v>28311.070313</c:v>
                </c:pt>
                <c:pt idx="315">
                  <c:v>28550.240234000001</c:v>
                </c:pt>
                <c:pt idx="316">
                  <c:v>28336.129882500001</c:v>
                </c:pt>
                <c:pt idx="317">
                  <c:v>28122.019531000002</c:v>
                </c:pt>
                <c:pt idx="318">
                  <c:v>28268.710938</c:v>
                </c:pt>
                <c:pt idx="319">
                  <c:v>28275.070313</c:v>
                </c:pt>
                <c:pt idx="320">
                  <c:v>27946.460938</c:v>
                </c:pt>
                <c:pt idx="321">
                  <c:v>27787.609375</c:v>
                </c:pt>
                <c:pt idx="322">
                  <c:v>27657.240234000001</c:v>
                </c:pt>
                <c:pt idx="323">
                  <c:v>27705.939452999999</c:v>
                </c:pt>
                <c:pt idx="324">
                  <c:v>27267.130859000001</c:v>
                </c:pt>
                <c:pt idx="325">
                  <c:v>27353.929688</c:v>
                </c:pt>
                <c:pt idx="326">
                  <c:v>27288.089843999998</c:v>
                </c:pt>
                <c:pt idx="327">
                  <c:v>27390.810547000001</c:v>
                </c:pt>
                <c:pt idx="328">
                  <c:v>27235.710938</c:v>
                </c:pt>
                <c:pt idx="329">
                  <c:v>27114.880859000001</c:v>
                </c:pt>
                <c:pt idx="330">
                  <c:v>26901.089843999998</c:v>
                </c:pt>
                <c:pt idx="331">
                  <c:v>26893.859375</c:v>
                </c:pt>
                <c:pt idx="332">
                  <c:v>26761.519531000002</c:v>
                </c:pt>
                <c:pt idx="333">
                  <c:v>26895.439452999999</c:v>
                </c:pt>
                <c:pt idx="334">
                  <c:v>26965.279297000001</c:v>
                </c:pt>
                <c:pt idx="335">
                  <c:v>27578.640625</c:v>
                </c:pt>
                <c:pt idx="336">
                  <c:v>27789.339843999998</c:v>
                </c:pt>
                <c:pt idx="337">
                  <c:v>27308.460938</c:v>
                </c:pt>
                <c:pt idx="338">
                  <c:v>27294.710938</c:v>
                </c:pt>
                <c:pt idx="339">
                  <c:v>27118.349609000001</c:v>
                </c:pt>
                <c:pt idx="340">
                  <c:v>27227.160156000002</c:v>
                </c:pt>
                <c:pt idx="341">
                  <c:v>27498.769531000002</c:v>
                </c:pt>
                <c:pt idx="342">
                  <c:v>28202.140625</c:v>
                </c:pt>
                <c:pt idx="343">
                  <c:v>28550.429688</c:v>
                </c:pt>
                <c:pt idx="344">
                  <c:v>28473.710938</c:v>
                </c:pt>
                <c:pt idx="345">
                  <c:v>28513</c:v>
                </c:pt>
                <c:pt idx="346">
                  <c:v>28185.980468999998</c:v>
                </c:pt>
                <c:pt idx="347">
                  <c:v>28221.980468999998</c:v>
                </c:pt>
                <c:pt idx="348">
                  <c:v>28621.419922000001</c:v>
                </c:pt>
                <c:pt idx="349">
                  <c:v>28542.619140999999</c:v>
                </c:pt>
                <c:pt idx="350">
                  <c:v>28875.560547000001</c:v>
                </c:pt>
                <c:pt idx="351">
                  <c:v>28855.140625</c:v>
                </c:pt>
                <c:pt idx="352">
                  <c:v>28795.769531000002</c:v>
                </c:pt>
                <c:pt idx="353">
                  <c:v>28774.830077999999</c:v>
                </c:pt>
                <c:pt idx="354">
                  <c:v>28331.689452999999</c:v>
                </c:pt>
                <c:pt idx="355">
                  <c:v>28116.279297000001</c:v>
                </c:pt>
                <c:pt idx="356">
                  <c:v>28204.689452999999</c:v>
                </c:pt>
                <c:pt idx="357">
                  <c:v>28431.800781000002</c:v>
                </c:pt>
                <c:pt idx="358">
                  <c:v>28471.619140999999</c:v>
                </c:pt>
                <c:pt idx="359">
                  <c:v>28554.880859000001</c:v>
                </c:pt>
                <c:pt idx="360">
                  <c:v>28619.619140999999</c:v>
                </c:pt>
                <c:pt idx="361">
                  <c:v>28593.169922000001</c:v>
                </c:pt>
                <c:pt idx="362">
                  <c:v>28461.660156000002</c:v>
                </c:pt>
                <c:pt idx="363">
                  <c:v>28765.400390999999</c:v>
                </c:pt>
                <c:pt idx="364">
                  <c:v>28371.259765999999</c:v>
                </c:pt>
                <c:pt idx="365">
                  <c:v>28466.480468999998</c:v>
                </c:pt>
                <c:pt idx="366">
                  <c:v>28524.039063</c:v>
                </c:pt>
                <c:pt idx="367">
                  <c:v>28594.300781000002</c:v>
                </c:pt>
                <c:pt idx="368">
                  <c:v>28397.740234000001</c:v>
                </c:pt>
                <c:pt idx="369">
                  <c:v>28106.410156000002</c:v>
                </c:pt>
                <c:pt idx="370">
                  <c:v>28146.5</c:v>
                </c:pt>
                <c:pt idx="371">
                  <c:v>27777.75</c:v>
                </c:pt>
                <c:pt idx="372">
                  <c:v>27565.699218999998</c:v>
                </c:pt>
                <c:pt idx="373">
                  <c:v>26918.580077999999</c:v>
                </c:pt>
                <c:pt idx="374">
                  <c:v>26151.320313</c:v>
                </c:pt>
                <c:pt idx="375">
                  <c:v>25976.240234000001</c:v>
                </c:pt>
                <c:pt idx="376">
                  <c:v>25997.029297000001</c:v>
                </c:pt>
                <c:pt idx="377">
                  <c:v>26120.769531000002</c:v>
                </c:pt>
                <c:pt idx="378">
                  <c:v>25939.300781000002</c:v>
                </c:pt>
                <c:pt idx="379">
                  <c:v>25824.720702999999</c:v>
                </c:pt>
                <c:pt idx="380">
                  <c:v>25281.300781000002</c:v>
                </c:pt>
                <c:pt idx="381">
                  <c:v>25302.279297000001</c:v>
                </c:pt>
                <c:pt idx="382">
                  <c:v>25495.460938</c:v>
                </c:pt>
                <c:pt idx="383">
                  <c:v>25734.220702999999</c:v>
                </c:pt>
                <c:pt idx="384">
                  <c:v>26291.839843999998</c:v>
                </c:pt>
                <c:pt idx="385">
                  <c:v>26231.539063</c:v>
                </c:pt>
                <c:pt idx="386">
                  <c:v>26270.039063</c:v>
                </c:pt>
                <c:pt idx="387">
                  <c:v>26048.720702999999</c:v>
                </c:pt>
                <c:pt idx="388">
                  <c:v>26179.330077999999</c:v>
                </c:pt>
                <c:pt idx="389">
                  <c:v>25680.330077999999</c:v>
                </c:pt>
                <c:pt idx="390">
                  <c:v>25664.070313</c:v>
                </c:pt>
                <c:pt idx="391">
                  <c:v>25615.480468999998</c:v>
                </c:pt>
                <c:pt idx="392">
                  <c:v>25703.5</c:v>
                </c:pt>
                <c:pt idx="393">
                  <c:v>25724.730468999998</c:v>
                </c:pt>
                <c:pt idx="394">
                  <c:v>25626.550781000002</c:v>
                </c:pt>
                <c:pt idx="395">
                  <c:v>25527.849609000001</c:v>
                </c:pt>
                <c:pt idx="396">
                  <c:v>26523.230468999998</c:v>
                </c:pt>
                <c:pt idx="397">
                  <c:v>26515.529297000001</c:v>
                </c:pt>
                <c:pt idx="398">
                  <c:v>26690.759765999999</c:v>
                </c:pt>
                <c:pt idx="399">
                  <c:v>26681.400390999999</c:v>
                </c:pt>
                <c:pt idx="400">
                  <c:v>26683.679688</c:v>
                </c:pt>
                <c:pt idx="401">
                  <c:v>27159.060547000001</c:v>
                </c:pt>
                <c:pt idx="402">
                  <c:v>27087.630859000001</c:v>
                </c:pt>
                <c:pt idx="403">
                  <c:v>27352.689452999999</c:v>
                </c:pt>
                <c:pt idx="404">
                  <c:v>27124.550781000002</c:v>
                </c:pt>
                <c:pt idx="405">
                  <c:v>26790.240234000001</c:v>
                </c:pt>
                <c:pt idx="406">
                  <c:v>26754.119140999999</c:v>
                </c:pt>
                <c:pt idx="407">
                  <c:v>26468.949218999998</c:v>
                </c:pt>
                <c:pt idx="408">
                  <c:v>26435.669922000001</c:v>
                </c:pt>
                <c:pt idx="409">
                  <c:v>26222.400390999999</c:v>
                </c:pt>
                <c:pt idx="410">
                  <c:v>26281</c:v>
                </c:pt>
                <c:pt idx="411">
                  <c:v>25945.349609000001</c:v>
                </c:pt>
                <c:pt idx="412">
                  <c:v>26041.929688</c:v>
                </c:pt>
                <c:pt idx="413">
                  <c:v>25954.810547000001</c:v>
                </c:pt>
                <c:pt idx="414">
                  <c:v>26092.269531000002</c:v>
                </c:pt>
                <c:pt idx="415">
                  <c:v>26042.689452999999</c:v>
                </c:pt>
                <c:pt idx="416">
                  <c:v>26110.310547000001</c:v>
                </c:pt>
                <c:pt idx="417">
                  <c:v>25821.029297000001</c:v>
                </c:pt>
                <c:pt idx="418">
                  <c:v>25893.400390999999</c:v>
                </c:pt>
                <c:pt idx="419">
                  <c:v>25682.810547000001</c:v>
                </c:pt>
                <c:pt idx="420">
                  <c:v>25707.929688</c:v>
                </c:pt>
                <c:pt idx="421">
                  <c:v>26308.439452999999</c:v>
                </c:pt>
                <c:pt idx="422">
                  <c:v>26521.849609000001</c:v>
                </c:pt>
                <c:pt idx="423">
                  <c:v>26503.929688</c:v>
                </c:pt>
                <c:pt idx="424">
                  <c:v>26664.279297000001</c:v>
                </c:pt>
                <c:pt idx="425">
                  <c:v>26848.490234000001</c:v>
                </c:pt>
                <c:pt idx="426">
                  <c:v>26719.580077999999</c:v>
                </c:pt>
                <c:pt idx="427">
                  <c:v>26725.679688</c:v>
                </c:pt>
                <c:pt idx="428">
                  <c:v>26786.199218999998</c:v>
                </c:pt>
                <c:pt idx="429">
                  <c:v>26566.730468999998</c:v>
                </c:pt>
                <c:pt idx="430">
                  <c:v>26797.949218999998</c:v>
                </c:pt>
                <c:pt idx="431">
                  <c:v>26667.390625</c:v>
                </c:pt>
                <c:pt idx="432">
                  <c:v>26891.259765999999</c:v>
                </c:pt>
                <c:pt idx="433">
                  <c:v>26786.759765999999</c:v>
                </c:pt>
                <c:pt idx="434">
                  <c:v>26667.710938</c:v>
                </c:pt>
                <c:pt idx="435">
                  <c:v>26906.720702999999</c:v>
                </c:pt>
                <c:pt idx="436">
                  <c:v>27100.759765999999</c:v>
                </c:pt>
                <c:pt idx="437">
                  <c:v>27547.300781000002</c:v>
                </c:pt>
                <c:pt idx="438">
                  <c:v>27683.400390999999</c:v>
                </c:pt>
                <c:pt idx="439">
                  <c:v>27688.640625</c:v>
                </c:pt>
                <c:pt idx="440">
                  <c:v>27847.230468999998</c:v>
                </c:pt>
                <c:pt idx="441">
                  <c:v>27651.140625</c:v>
                </c:pt>
                <c:pt idx="442">
                  <c:v>26926.550781000002</c:v>
                </c:pt>
                <c:pt idx="443">
                  <c:v>27065.279297000001</c:v>
                </c:pt>
                <c:pt idx="444">
                  <c:v>26571.460938</c:v>
                </c:pt>
                <c:pt idx="445">
                  <c:v>26323.689452999999</c:v>
                </c:pt>
                <c:pt idx="446">
                  <c:v>26326.660156000002</c:v>
                </c:pt>
                <c:pt idx="447">
                  <c:v>26681.089843999998</c:v>
                </c:pt>
                <c:pt idx="448">
                  <c:v>27093.800781000002</c:v>
                </c:pt>
                <c:pt idx="449">
                  <c:v>26889.609375</c:v>
                </c:pt>
                <c:pt idx="450">
                  <c:v>26466.880859000001</c:v>
                </c:pt>
                <c:pt idx="451">
                  <c:v>26595.080077999999</c:v>
                </c:pt>
                <c:pt idx="452">
                  <c:v>26993.039063</c:v>
                </c:pt>
                <c:pt idx="453">
                  <c:v>26913.919922000001</c:v>
                </c:pt>
                <c:pt idx="454">
                  <c:v>26954</c:v>
                </c:pt>
                <c:pt idx="455">
                  <c:v>26893.730468999998</c:v>
                </c:pt>
                <c:pt idx="456">
                  <c:v>26346.490234000001</c:v>
                </c:pt>
                <c:pt idx="457">
                  <c:v>26444.720702999999</c:v>
                </c:pt>
                <c:pt idx="458">
                  <c:v>26391.300781000002</c:v>
                </c:pt>
                <c:pt idx="459">
                  <c:v>26062.560547000001</c:v>
                </c:pt>
                <c:pt idx="460">
                  <c:v>26217.039063</c:v>
                </c:pt>
                <c:pt idx="461">
                  <c:v>26498.369140999999</c:v>
                </c:pt>
                <c:pt idx="462">
                  <c:v>26494.730468999998</c:v>
                </c:pt>
                <c:pt idx="463">
                  <c:v>26436.619140999999</c:v>
                </c:pt>
                <c:pt idx="464">
                  <c:v>26645.429688</c:v>
                </c:pt>
                <c:pt idx="465">
                  <c:v>26994.140625</c:v>
                </c:pt>
                <c:pt idx="466">
                  <c:v>27687.759765999999</c:v>
                </c:pt>
                <c:pt idx="467">
                  <c:v>27508.089843999998</c:v>
                </c:pt>
                <c:pt idx="468">
                  <c:v>27843.710938</c:v>
                </c:pt>
                <c:pt idx="469">
                  <c:v>27884.210938</c:v>
                </c:pt>
                <c:pt idx="470">
                  <c:v>27800.490234000001</c:v>
                </c:pt>
                <c:pt idx="471">
                  <c:v>27871.349609000001</c:v>
                </c:pt>
                <c:pt idx="472">
                  <c:v>27906.410156000002</c:v>
                </c:pt>
                <c:pt idx="473">
                  <c:v>27864.210938</c:v>
                </c:pt>
                <c:pt idx="474">
                  <c:v>28225.419922000001</c:v>
                </c:pt>
                <c:pt idx="475">
                  <c:v>28319.390625</c:v>
                </c:pt>
                <c:pt idx="476">
                  <c:v>28189.75</c:v>
                </c:pt>
                <c:pt idx="477">
                  <c:v>28366.634765499999</c:v>
                </c:pt>
                <c:pt idx="478">
                  <c:v>28543.519531000002</c:v>
                </c:pt>
                <c:pt idx="479">
                  <c:v>28451.5</c:v>
                </c:pt>
                <c:pt idx="480">
                  <c:v>28226.189452999999</c:v>
                </c:pt>
                <c:pt idx="481">
                  <c:v>28322.060547000001</c:v>
                </c:pt>
                <c:pt idx="482">
                  <c:v>28087.919922000001</c:v>
                </c:pt>
                <c:pt idx="483">
                  <c:v>28561</c:v>
                </c:pt>
                <c:pt idx="484">
                  <c:v>28638.199218999998</c:v>
                </c:pt>
                <c:pt idx="485">
                  <c:v>28954.939452999999</c:v>
                </c:pt>
                <c:pt idx="486">
                  <c:v>28885.140625</c:v>
                </c:pt>
                <c:pt idx="487">
                  <c:v>28773.589843999998</c:v>
                </c:pt>
                <c:pt idx="488">
                  <c:v>28883.039063</c:v>
                </c:pt>
                <c:pt idx="489">
                  <c:v>29056.419922000001</c:v>
                </c:pt>
                <c:pt idx="490">
                  <c:v>28795.910156000002</c:v>
                </c:pt>
                <c:pt idx="491">
                  <c:v>27985.330077999999</c:v>
                </c:pt>
                <c:pt idx="492">
                  <c:v>28341.039063</c:v>
                </c:pt>
                <c:pt idx="493">
                  <c:v>27909.119140999999</c:v>
                </c:pt>
                <c:pt idx="494">
                  <c:v>27949.640625</c:v>
                </c:pt>
                <c:pt idx="495">
                  <c:v>27160.630859000001</c:v>
                </c:pt>
                <c:pt idx="496">
                  <c:v>26449.130859000001</c:v>
                </c:pt>
                <c:pt idx="497">
                  <c:v>26312.630859000001</c:v>
                </c:pt>
                <c:pt idx="498">
                  <c:v>26356.980468999998</c:v>
                </c:pt>
                <c:pt idx="499">
                  <c:v>26675.980468999998</c:v>
                </c:pt>
                <c:pt idx="500">
                  <c:v>26786.740234000001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14-4443-832E-D7F305E2F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1384248"/>
        <c:axId val="681383288"/>
      </c:lineChart>
      <c:dateAx>
        <c:axId val="68138424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383288"/>
        <c:crosses val="autoZero"/>
        <c:auto val="1"/>
        <c:lblOffset val="100"/>
        <c:baseTimeUnit val="days"/>
      </c:dateAx>
      <c:valAx>
        <c:axId val="681383288"/>
        <c:scaling>
          <c:orientation val="minMax"/>
          <c:min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38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Data!$B$2:$B$502</c:f>
              <c:numCache>
                <c:formatCode>m/d/yyyy</c:formatCode>
                <c:ptCount val="501"/>
                <c:pt idx="0">
                  <c:v>43138</c:v>
                </c:pt>
                <c:pt idx="1">
                  <c:v>43139</c:v>
                </c:pt>
                <c:pt idx="2">
                  <c:v>43140</c:v>
                </c:pt>
                <c:pt idx="3">
                  <c:v>43143</c:v>
                </c:pt>
                <c:pt idx="4">
                  <c:v>43144</c:v>
                </c:pt>
                <c:pt idx="5">
                  <c:v>43145</c:v>
                </c:pt>
                <c:pt idx="6">
                  <c:v>43146</c:v>
                </c:pt>
                <c:pt idx="7">
                  <c:v>43147</c:v>
                </c:pt>
                <c:pt idx="8">
                  <c:v>43151</c:v>
                </c:pt>
                <c:pt idx="9">
                  <c:v>43152</c:v>
                </c:pt>
                <c:pt idx="10">
                  <c:v>43153</c:v>
                </c:pt>
                <c:pt idx="11">
                  <c:v>43154</c:v>
                </c:pt>
                <c:pt idx="12">
                  <c:v>43157</c:v>
                </c:pt>
                <c:pt idx="13">
                  <c:v>43158</c:v>
                </c:pt>
                <c:pt idx="14">
                  <c:v>43159</c:v>
                </c:pt>
                <c:pt idx="15">
                  <c:v>43160</c:v>
                </c:pt>
                <c:pt idx="16">
                  <c:v>43161</c:v>
                </c:pt>
                <c:pt idx="17">
                  <c:v>43164</c:v>
                </c:pt>
                <c:pt idx="18">
                  <c:v>43165</c:v>
                </c:pt>
                <c:pt idx="19">
                  <c:v>43166</c:v>
                </c:pt>
                <c:pt idx="20">
                  <c:v>43167</c:v>
                </c:pt>
                <c:pt idx="21">
                  <c:v>43168</c:v>
                </c:pt>
                <c:pt idx="22">
                  <c:v>43171</c:v>
                </c:pt>
                <c:pt idx="23">
                  <c:v>43172</c:v>
                </c:pt>
                <c:pt idx="24">
                  <c:v>43173</c:v>
                </c:pt>
                <c:pt idx="25">
                  <c:v>43174</c:v>
                </c:pt>
                <c:pt idx="26">
                  <c:v>43175</c:v>
                </c:pt>
                <c:pt idx="27">
                  <c:v>43178</c:v>
                </c:pt>
                <c:pt idx="28">
                  <c:v>43179</c:v>
                </c:pt>
                <c:pt idx="29">
                  <c:v>43180</c:v>
                </c:pt>
                <c:pt idx="30">
                  <c:v>43181</c:v>
                </c:pt>
                <c:pt idx="31">
                  <c:v>43182</c:v>
                </c:pt>
                <c:pt idx="32">
                  <c:v>43185</c:v>
                </c:pt>
                <c:pt idx="33">
                  <c:v>43186</c:v>
                </c:pt>
                <c:pt idx="34">
                  <c:v>43187</c:v>
                </c:pt>
                <c:pt idx="35">
                  <c:v>43188</c:v>
                </c:pt>
                <c:pt idx="36">
                  <c:v>43192</c:v>
                </c:pt>
                <c:pt idx="37">
                  <c:v>43193</c:v>
                </c:pt>
                <c:pt idx="38">
                  <c:v>43194</c:v>
                </c:pt>
                <c:pt idx="39">
                  <c:v>43195</c:v>
                </c:pt>
                <c:pt idx="40">
                  <c:v>43196</c:v>
                </c:pt>
                <c:pt idx="41">
                  <c:v>43199</c:v>
                </c:pt>
                <c:pt idx="42">
                  <c:v>43200</c:v>
                </c:pt>
                <c:pt idx="43">
                  <c:v>43201</c:v>
                </c:pt>
                <c:pt idx="44">
                  <c:v>43202</c:v>
                </c:pt>
                <c:pt idx="45">
                  <c:v>43203</c:v>
                </c:pt>
                <c:pt idx="46">
                  <c:v>43206</c:v>
                </c:pt>
                <c:pt idx="47">
                  <c:v>43207</c:v>
                </c:pt>
                <c:pt idx="48">
                  <c:v>43208</c:v>
                </c:pt>
                <c:pt idx="49">
                  <c:v>43209</c:v>
                </c:pt>
                <c:pt idx="50">
                  <c:v>43210</c:v>
                </c:pt>
                <c:pt idx="51">
                  <c:v>43213</c:v>
                </c:pt>
                <c:pt idx="52">
                  <c:v>43214</c:v>
                </c:pt>
                <c:pt idx="53">
                  <c:v>43215</c:v>
                </c:pt>
                <c:pt idx="54">
                  <c:v>43216</c:v>
                </c:pt>
                <c:pt idx="55">
                  <c:v>43217</c:v>
                </c:pt>
                <c:pt idx="56">
                  <c:v>43220</c:v>
                </c:pt>
                <c:pt idx="57">
                  <c:v>43221</c:v>
                </c:pt>
                <c:pt idx="58">
                  <c:v>43222</c:v>
                </c:pt>
                <c:pt idx="59">
                  <c:v>43223</c:v>
                </c:pt>
                <c:pt idx="60">
                  <c:v>43224</c:v>
                </c:pt>
                <c:pt idx="61">
                  <c:v>43227</c:v>
                </c:pt>
                <c:pt idx="62">
                  <c:v>43228</c:v>
                </c:pt>
                <c:pt idx="63">
                  <c:v>43229</c:v>
                </c:pt>
                <c:pt idx="64">
                  <c:v>43230</c:v>
                </c:pt>
                <c:pt idx="65">
                  <c:v>43231</c:v>
                </c:pt>
                <c:pt idx="66">
                  <c:v>43234</c:v>
                </c:pt>
                <c:pt idx="67">
                  <c:v>43235</c:v>
                </c:pt>
                <c:pt idx="68">
                  <c:v>43236</c:v>
                </c:pt>
                <c:pt idx="69">
                  <c:v>43237</c:v>
                </c:pt>
                <c:pt idx="70">
                  <c:v>43238</c:v>
                </c:pt>
                <c:pt idx="71">
                  <c:v>43241</c:v>
                </c:pt>
                <c:pt idx="72">
                  <c:v>43242</c:v>
                </c:pt>
                <c:pt idx="73">
                  <c:v>43243</c:v>
                </c:pt>
                <c:pt idx="74">
                  <c:v>43244</c:v>
                </c:pt>
                <c:pt idx="75">
                  <c:v>43245</c:v>
                </c:pt>
                <c:pt idx="76">
                  <c:v>43249</c:v>
                </c:pt>
                <c:pt idx="77">
                  <c:v>43250</c:v>
                </c:pt>
                <c:pt idx="78">
                  <c:v>43251</c:v>
                </c:pt>
                <c:pt idx="79">
                  <c:v>43252</c:v>
                </c:pt>
                <c:pt idx="80">
                  <c:v>43255</c:v>
                </c:pt>
                <c:pt idx="81">
                  <c:v>43256</c:v>
                </c:pt>
                <c:pt idx="82">
                  <c:v>43257</c:v>
                </c:pt>
                <c:pt idx="83">
                  <c:v>43258</c:v>
                </c:pt>
                <c:pt idx="84">
                  <c:v>43259</c:v>
                </c:pt>
                <c:pt idx="85">
                  <c:v>43262</c:v>
                </c:pt>
                <c:pt idx="86">
                  <c:v>43263</c:v>
                </c:pt>
                <c:pt idx="87">
                  <c:v>43264</c:v>
                </c:pt>
                <c:pt idx="88">
                  <c:v>43265</c:v>
                </c:pt>
                <c:pt idx="89">
                  <c:v>43266</c:v>
                </c:pt>
                <c:pt idx="90">
                  <c:v>43269</c:v>
                </c:pt>
                <c:pt idx="91">
                  <c:v>43270</c:v>
                </c:pt>
                <c:pt idx="92">
                  <c:v>43271</c:v>
                </c:pt>
                <c:pt idx="93">
                  <c:v>43272</c:v>
                </c:pt>
                <c:pt idx="94">
                  <c:v>43273</c:v>
                </c:pt>
                <c:pt idx="95">
                  <c:v>43276</c:v>
                </c:pt>
                <c:pt idx="96">
                  <c:v>43277</c:v>
                </c:pt>
                <c:pt idx="97">
                  <c:v>43278</c:v>
                </c:pt>
                <c:pt idx="98">
                  <c:v>43279</c:v>
                </c:pt>
                <c:pt idx="99">
                  <c:v>43280</c:v>
                </c:pt>
                <c:pt idx="100">
                  <c:v>43283</c:v>
                </c:pt>
                <c:pt idx="101">
                  <c:v>43284</c:v>
                </c:pt>
                <c:pt idx="102">
                  <c:v>43286</c:v>
                </c:pt>
                <c:pt idx="103">
                  <c:v>43287</c:v>
                </c:pt>
                <c:pt idx="104">
                  <c:v>43290</c:v>
                </c:pt>
                <c:pt idx="105">
                  <c:v>43291</c:v>
                </c:pt>
                <c:pt idx="106">
                  <c:v>43292</c:v>
                </c:pt>
                <c:pt idx="107">
                  <c:v>43293</c:v>
                </c:pt>
                <c:pt idx="108">
                  <c:v>43294</c:v>
                </c:pt>
                <c:pt idx="109">
                  <c:v>43297</c:v>
                </c:pt>
                <c:pt idx="110">
                  <c:v>43298</c:v>
                </c:pt>
                <c:pt idx="111">
                  <c:v>43299</c:v>
                </c:pt>
                <c:pt idx="112">
                  <c:v>43300</c:v>
                </c:pt>
                <c:pt idx="113">
                  <c:v>43301</c:v>
                </c:pt>
                <c:pt idx="114">
                  <c:v>43304</c:v>
                </c:pt>
                <c:pt idx="115">
                  <c:v>43305</c:v>
                </c:pt>
                <c:pt idx="116">
                  <c:v>43306</c:v>
                </c:pt>
                <c:pt idx="117">
                  <c:v>43307</c:v>
                </c:pt>
                <c:pt idx="118">
                  <c:v>43308</c:v>
                </c:pt>
                <c:pt idx="119">
                  <c:v>43311</c:v>
                </c:pt>
                <c:pt idx="120">
                  <c:v>43312</c:v>
                </c:pt>
                <c:pt idx="121">
                  <c:v>43313</c:v>
                </c:pt>
                <c:pt idx="122">
                  <c:v>43314</c:v>
                </c:pt>
                <c:pt idx="123">
                  <c:v>43315</c:v>
                </c:pt>
                <c:pt idx="124">
                  <c:v>43318</c:v>
                </c:pt>
                <c:pt idx="125">
                  <c:v>43319</c:v>
                </c:pt>
                <c:pt idx="126">
                  <c:v>43320</c:v>
                </c:pt>
                <c:pt idx="127">
                  <c:v>43321</c:v>
                </c:pt>
                <c:pt idx="128">
                  <c:v>43322</c:v>
                </c:pt>
                <c:pt idx="129">
                  <c:v>43325</c:v>
                </c:pt>
                <c:pt idx="130">
                  <c:v>43326</c:v>
                </c:pt>
                <c:pt idx="131">
                  <c:v>43327</c:v>
                </c:pt>
                <c:pt idx="132">
                  <c:v>43328</c:v>
                </c:pt>
                <c:pt idx="133">
                  <c:v>43329</c:v>
                </c:pt>
                <c:pt idx="134">
                  <c:v>43332</c:v>
                </c:pt>
                <c:pt idx="135">
                  <c:v>43333</c:v>
                </c:pt>
                <c:pt idx="136">
                  <c:v>43334</c:v>
                </c:pt>
                <c:pt idx="137">
                  <c:v>43335</c:v>
                </c:pt>
                <c:pt idx="138">
                  <c:v>43336</c:v>
                </c:pt>
                <c:pt idx="139">
                  <c:v>43339</c:v>
                </c:pt>
                <c:pt idx="140">
                  <c:v>43340</c:v>
                </c:pt>
                <c:pt idx="141">
                  <c:v>43341</c:v>
                </c:pt>
                <c:pt idx="142">
                  <c:v>43342</c:v>
                </c:pt>
                <c:pt idx="143">
                  <c:v>43343</c:v>
                </c:pt>
                <c:pt idx="144">
                  <c:v>43347</c:v>
                </c:pt>
                <c:pt idx="145">
                  <c:v>43348</c:v>
                </c:pt>
                <c:pt idx="146">
                  <c:v>43349</c:v>
                </c:pt>
                <c:pt idx="147">
                  <c:v>43350</c:v>
                </c:pt>
                <c:pt idx="148">
                  <c:v>43353</c:v>
                </c:pt>
                <c:pt idx="149">
                  <c:v>43354</c:v>
                </c:pt>
                <c:pt idx="150">
                  <c:v>43355</c:v>
                </c:pt>
                <c:pt idx="151">
                  <c:v>43356</c:v>
                </c:pt>
                <c:pt idx="152">
                  <c:v>43357</c:v>
                </c:pt>
                <c:pt idx="153">
                  <c:v>43360</c:v>
                </c:pt>
                <c:pt idx="154">
                  <c:v>43361</c:v>
                </c:pt>
                <c:pt idx="155">
                  <c:v>43362</c:v>
                </c:pt>
                <c:pt idx="156">
                  <c:v>43363</c:v>
                </c:pt>
                <c:pt idx="157">
                  <c:v>43364</c:v>
                </c:pt>
                <c:pt idx="158">
                  <c:v>43367</c:v>
                </c:pt>
                <c:pt idx="159">
                  <c:v>43368</c:v>
                </c:pt>
                <c:pt idx="160">
                  <c:v>43369</c:v>
                </c:pt>
                <c:pt idx="161">
                  <c:v>43370</c:v>
                </c:pt>
                <c:pt idx="162">
                  <c:v>43371</c:v>
                </c:pt>
                <c:pt idx="163">
                  <c:v>43374</c:v>
                </c:pt>
                <c:pt idx="164">
                  <c:v>43375</c:v>
                </c:pt>
                <c:pt idx="165">
                  <c:v>43376</c:v>
                </c:pt>
                <c:pt idx="166">
                  <c:v>43377</c:v>
                </c:pt>
                <c:pt idx="167">
                  <c:v>43378</c:v>
                </c:pt>
                <c:pt idx="168">
                  <c:v>43381</c:v>
                </c:pt>
                <c:pt idx="169">
                  <c:v>43382</c:v>
                </c:pt>
                <c:pt idx="170">
                  <c:v>43383</c:v>
                </c:pt>
                <c:pt idx="171">
                  <c:v>43384</c:v>
                </c:pt>
                <c:pt idx="172">
                  <c:v>43385</c:v>
                </c:pt>
                <c:pt idx="173">
                  <c:v>43388</c:v>
                </c:pt>
                <c:pt idx="174">
                  <c:v>43389</c:v>
                </c:pt>
                <c:pt idx="175">
                  <c:v>43390</c:v>
                </c:pt>
                <c:pt idx="176">
                  <c:v>43391</c:v>
                </c:pt>
                <c:pt idx="177">
                  <c:v>43392</c:v>
                </c:pt>
                <c:pt idx="178">
                  <c:v>43395</c:v>
                </c:pt>
                <c:pt idx="179">
                  <c:v>43396</c:v>
                </c:pt>
                <c:pt idx="180">
                  <c:v>43397</c:v>
                </c:pt>
                <c:pt idx="181">
                  <c:v>43398</c:v>
                </c:pt>
                <c:pt idx="182">
                  <c:v>43399</c:v>
                </c:pt>
                <c:pt idx="183">
                  <c:v>43402</c:v>
                </c:pt>
                <c:pt idx="184">
                  <c:v>43403</c:v>
                </c:pt>
                <c:pt idx="185">
                  <c:v>43404</c:v>
                </c:pt>
                <c:pt idx="186">
                  <c:v>43405</c:v>
                </c:pt>
                <c:pt idx="187">
                  <c:v>43406</c:v>
                </c:pt>
                <c:pt idx="188">
                  <c:v>43409</c:v>
                </c:pt>
                <c:pt idx="189">
                  <c:v>43410</c:v>
                </c:pt>
                <c:pt idx="190">
                  <c:v>43411</c:v>
                </c:pt>
                <c:pt idx="191">
                  <c:v>43412</c:v>
                </c:pt>
                <c:pt idx="192">
                  <c:v>43413</c:v>
                </c:pt>
                <c:pt idx="193">
                  <c:v>43416</c:v>
                </c:pt>
                <c:pt idx="194">
                  <c:v>43417</c:v>
                </c:pt>
                <c:pt idx="195">
                  <c:v>43418</c:v>
                </c:pt>
                <c:pt idx="196">
                  <c:v>43419</c:v>
                </c:pt>
                <c:pt idx="197">
                  <c:v>43420</c:v>
                </c:pt>
                <c:pt idx="198">
                  <c:v>43423</c:v>
                </c:pt>
                <c:pt idx="199">
                  <c:v>43424</c:v>
                </c:pt>
                <c:pt idx="200">
                  <c:v>43425</c:v>
                </c:pt>
                <c:pt idx="201">
                  <c:v>43427</c:v>
                </c:pt>
                <c:pt idx="202">
                  <c:v>43430</c:v>
                </c:pt>
                <c:pt idx="203">
                  <c:v>43431</c:v>
                </c:pt>
                <c:pt idx="204">
                  <c:v>43432</c:v>
                </c:pt>
                <c:pt idx="205">
                  <c:v>43433</c:v>
                </c:pt>
                <c:pt idx="206">
                  <c:v>43434</c:v>
                </c:pt>
                <c:pt idx="207">
                  <c:v>43437</c:v>
                </c:pt>
                <c:pt idx="208">
                  <c:v>43438</c:v>
                </c:pt>
                <c:pt idx="209">
                  <c:v>43440</c:v>
                </c:pt>
                <c:pt idx="210">
                  <c:v>43441</c:v>
                </c:pt>
                <c:pt idx="211">
                  <c:v>43444</c:v>
                </c:pt>
                <c:pt idx="212">
                  <c:v>43445</c:v>
                </c:pt>
                <c:pt idx="213">
                  <c:v>43446</c:v>
                </c:pt>
                <c:pt idx="214">
                  <c:v>43447</c:v>
                </c:pt>
                <c:pt idx="215">
                  <c:v>43448</c:v>
                </c:pt>
                <c:pt idx="216">
                  <c:v>43451</c:v>
                </c:pt>
                <c:pt idx="217">
                  <c:v>43452</c:v>
                </c:pt>
                <c:pt idx="218">
                  <c:v>43453</c:v>
                </c:pt>
                <c:pt idx="219">
                  <c:v>43454</c:v>
                </c:pt>
                <c:pt idx="220">
                  <c:v>43455</c:v>
                </c:pt>
                <c:pt idx="221">
                  <c:v>43458</c:v>
                </c:pt>
                <c:pt idx="222">
                  <c:v>43460</c:v>
                </c:pt>
                <c:pt idx="223">
                  <c:v>43461</c:v>
                </c:pt>
                <c:pt idx="224">
                  <c:v>43462</c:v>
                </c:pt>
                <c:pt idx="225">
                  <c:v>43465</c:v>
                </c:pt>
                <c:pt idx="226">
                  <c:v>43467</c:v>
                </c:pt>
                <c:pt idx="227">
                  <c:v>43468</c:v>
                </c:pt>
                <c:pt idx="228">
                  <c:v>43469</c:v>
                </c:pt>
                <c:pt idx="229">
                  <c:v>43472</c:v>
                </c:pt>
                <c:pt idx="230">
                  <c:v>43473</c:v>
                </c:pt>
                <c:pt idx="231">
                  <c:v>43474</c:v>
                </c:pt>
                <c:pt idx="232">
                  <c:v>43475</c:v>
                </c:pt>
                <c:pt idx="233">
                  <c:v>43476</c:v>
                </c:pt>
                <c:pt idx="234">
                  <c:v>43479</c:v>
                </c:pt>
                <c:pt idx="235">
                  <c:v>43480</c:v>
                </c:pt>
                <c:pt idx="236">
                  <c:v>43481</c:v>
                </c:pt>
                <c:pt idx="237">
                  <c:v>43482</c:v>
                </c:pt>
                <c:pt idx="238">
                  <c:v>43483</c:v>
                </c:pt>
                <c:pt idx="239">
                  <c:v>43487</c:v>
                </c:pt>
                <c:pt idx="240">
                  <c:v>43488</c:v>
                </c:pt>
                <c:pt idx="241">
                  <c:v>43489</c:v>
                </c:pt>
                <c:pt idx="242">
                  <c:v>43490</c:v>
                </c:pt>
                <c:pt idx="243">
                  <c:v>43493</c:v>
                </c:pt>
                <c:pt idx="244">
                  <c:v>43494</c:v>
                </c:pt>
                <c:pt idx="245">
                  <c:v>43495</c:v>
                </c:pt>
                <c:pt idx="246">
                  <c:v>43496</c:v>
                </c:pt>
                <c:pt idx="247">
                  <c:v>43497</c:v>
                </c:pt>
                <c:pt idx="248">
                  <c:v>43500</c:v>
                </c:pt>
                <c:pt idx="249">
                  <c:v>43501</c:v>
                </c:pt>
                <c:pt idx="250">
                  <c:v>43502</c:v>
                </c:pt>
                <c:pt idx="251">
                  <c:v>43503</c:v>
                </c:pt>
                <c:pt idx="252">
                  <c:v>43504</c:v>
                </c:pt>
                <c:pt idx="253">
                  <c:v>43507</c:v>
                </c:pt>
                <c:pt idx="254">
                  <c:v>43508</c:v>
                </c:pt>
                <c:pt idx="255">
                  <c:v>43509</c:v>
                </c:pt>
                <c:pt idx="256">
                  <c:v>43510</c:v>
                </c:pt>
                <c:pt idx="257">
                  <c:v>43511</c:v>
                </c:pt>
                <c:pt idx="258">
                  <c:v>43515</c:v>
                </c:pt>
                <c:pt idx="259">
                  <c:v>43516</c:v>
                </c:pt>
                <c:pt idx="260">
                  <c:v>43517</c:v>
                </c:pt>
                <c:pt idx="261">
                  <c:v>43518</c:v>
                </c:pt>
                <c:pt idx="262">
                  <c:v>43521</c:v>
                </c:pt>
                <c:pt idx="263">
                  <c:v>43522</c:v>
                </c:pt>
                <c:pt idx="264">
                  <c:v>43523</c:v>
                </c:pt>
                <c:pt idx="265">
                  <c:v>43524</c:v>
                </c:pt>
                <c:pt idx="266">
                  <c:v>43525</c:v>
                </c:pt>
                <c:pt idx="267">
                  <c:v>43528</c:v>
                </c:pt>
                <c:pt idx="268">
                  <c:v>43529</c:v>
                </c:pt>
                <c:pt idx="269">
                  <c:v>43530</c:v>
                </c:pt>
                <c:pt idx="270">
                  <c:v>43531</c:v>
                </c:pt>
                <c:pt idx="271">
                  <c:v>43532</c:v>
                </c:pt>
                <c:pt idx="272">
                  <c:v>43535</c:v>
                </c:pt>
                <c:pt idx="273">
                  <c:v>43536</c:v>
                </c:pt>
                <c:pt idx="274">
                  <c:v>43537</c:v>
                </c:pt>
                <c:pt idx="275">
                  <c:v>43538</c:v>
                </c:pt>
                <c:pt idx="276">
                  <c:v>43539</c:v>
                </c:pt>
                <c:pt idx="277">
                  <c:v>43542</c:v>
                </c:pt>
                <c:pt idx="278">
                  <c:v>43543</c:v>
                </c:pt>
                <c:pt idx="279">
                  <c:v>43544</c:v>
                </c:pt>
                <c:pt idx="280">
                  <c:v>43545</c:v>
                </c:pt>
                <c:pt idx="281">
                  <c:v>43546</c:v>
                </c:pt>
                <c:pt idx="282">
                  <c:v>43549</c:v>
                </c:pt>
                <c:pt idx="283">
                  <c:v>43550</c:v>
                </c:pt>
                <c:pt idx="284">
                  <c:v>43551</c:v>
                </c:pt>
                <c:pt idx="285">
                  <c:v>43552</c:v>
                </c:pt>
                <c:pt idx="286">
                  <c:v>43553</c:v>
                </c:pt>
                <c:pt idx="287">
                  <c:v>43556</c:v>
                </c:pt>
                <c:pt idx="288">
                  <c:v>43557</c:v>
                </c:pt>
                <c:pt idx="289">
                  <c:v>43558</c:v>
                </c:pt>
                <c:pt idx="290">
                  <c:v>43559</c:v>
                </c:pt>
                <c:pt idx="291">
                  <c:v>43560</c:v>
                </c:pt>
                <c:pt idx="292">
                  <c:v>43563</c:v>
                </c:pt>
                <c:pt idx="293">
                  <c:v>43564</c:v>
                </c:pt>
                <c:pt idx="294">
                  <c:v>43565</c:v>
                </c:pt>
                <c:pt idx="295">
                  <c:v>43566</c:v>
                </c:pt>
                <c:pt idx="296">
                  <c:v>43567</c:v>
                </c:pt>
                <c:pt idx="297">
                  <c:v>43570</c:v>
                </c:pt>
                <c:pt idx="298">
                  <c:v>43571</c:v>
                </c:pt>
                <c:pt idx="299">
                  <c:v>43572</c:v>
                </c:pt>
                <c:pt idx="300">
                  <c:v>43573</c:v>
                </c:pt>
                <c:pt idx="301">
                  <c:v>43577</c:v>
                </c:pt>
                <c:pt idx="302">
                  <c:v>43578</c:v>
                </c:pt>
                <c:pt idx="303">
                  <c:v>43579</c:v>
                </c:pt>
                <c:pt idx="304">
                  <c:v>43580</c:v>
                </c:pt>
                <c:pt idx="305">
                  <c:v>43581</c:v>
                </c:pt>
                <c:pt idx="306">
                  <c:v>43584</c:v>
                </c:pt>
                <c:pt idx="307">
                  <c:v>43585</c:v>
                </c:pt>
                <c:pt idx="308">
                  <c:v>43586</c:v>
                </c:pt>
                <c:pt idx="309">
                  <c:v>43587</c:v>
                </c:pt>
                <c:pt idx="310">
                  <c:v>43588</c:v>
                </c:pt>
                <c:pt idx="311">
                  <c:v>43591</c:v>
                </c:pt>
                <c:pt idx="312">
                  <c:v>43592</c:v>
                </c:pt>
                <c:pt idx="313">
                  <c:v>43593</c:v>
                </c:pt>
                <c:pt idx="314">
                  <c:v>43594</c:v>
                </c:pt>
                <c:pt idx="315">
                  <c:v>43595</c:v>
                </c:pt>
                <c:pt idx="316">
                  <c:v>43598</c:v>
                </c:pt>
                <c:pt idx="317">
                  <c:v>43599</c:v>
                </c:pt>
                <c:pt idx="318">
                  <c:v>43600</c:v>
                </c:pt>
                <c:pt idx="319">
                  <c:v>43601</c:v>
                </c:pt>
                <c:pt idx="320">
                  <c:v>43602</c:v>
                </c:pt>
                <c:pt idx="321">
                  <c:v>43605</c:v>
                </c:pt>
                <c:pt idx="322">
                  <c:v>43606</c:v>
                </c:pt>
                <c:pt idx="323">
                  <c:v>43607</c:v>
                </c:pt>
                <c:pt idx="324">
                  <c:v>43608</c:v>
                </c:pt>
                <c:pt idx="325">
                  <c:v>43609</c:v>
                </c:pt>
                <c:pt idx="326">
                  <c:v>43613</c:v>
                </c:pt>
                <c:pt idx="327">
                  <c:v>43614</c:v>
                </c:pt>
                <c:pt idx="328">
                  <c:v>43615</c:v>
                </c:pt>
                <c:pt idx="329">
                  <c:v>43616</c:v>
                </c:pt>
                <c:pt idx="330">
                  <c:v>43619</c:v>
                </c:pt>
                <c:pt idx="331">
                  <c:v>43620</c:v>
                </c:pt>
                <c:pt idx="332">
                  <c:v>43621</c:v>
                </c:pt>
                <c:pt idx="333">
                  <c:v>43622</c:v>
                </c:pt>
                <c:pt idx="334">
                  <c:v>43623</c:v>
                </c:pt>
                <c:pt idx="335">
                  <c:v>43626</c:v>
                </c:pt>
                <c:pt idx="336">
                  <c:v>43627</c:v>
                </c:pt>
                <c:pt idx="337">
                  <c:v>43628</c:v>
                </c:pt>
                <c:pt idx="338">
                  <c:v>43629</c:v>
                </c:pt>
                <c:pt idx="339">
                  <c:v>43630</c:v>
                </c:pt>
                <c:pt idx="340">
                  <c:v>43633</c:v>
                </c:pt>
                <c:pt idx="341">
                  <c:v>43634</c:v>
                </c:pt>
                <c:pt idx="342">
                  <c:v>43635</c:v>
                </c:pt>
                <c:pt idx="343">
                  <c:v>43636</c:v>
                </c:pt>
                <c:pt idx="344">
                  <c:v>43637</c:v>
                </c:pt>
                <c:pt idx="345">
                  <c:v>43640</c:v>
                </c:pt>
                <c:pt idx="346">
                  <c:v>43641</c:v>
                </c:pt>
                <c:pt idx="347">
                  <c:v>43642</c:v>
                </c:pt>
                <c:pt idx="348">
                  <c:v>43643</c:v>
                </c:pt>
                <c:pt idx="349">
                  <c:v>43644</c:v>
                </c:pt>
                <c:pt idx="350">
                  <c:v>43647</c:v>
                </c:pt>
                <c:pt idx="351">
                  <c:v>43648</c:v>
                </c:pt>
                <c:pt idx="352">
                  <c:v>43649</c:v>
                </c:pt>
                <c:pt idx="353">
                  <c:v>43651</c:v>
                </c:pt>
                <c:pt idx="354">
                  <c:v>43654</c:v>
                </c:pt>
                <c:pt idx="355">
                  <c:v>43655</c:v>
                </c:pt>
                <c:pt idx="356">
                  <c:v>43656</c:v>
                </c:pt>
                <c:pt idx="357">
                  <c:v>43657</c:v>
                </c:pt>
                <c:pt idx="358">
                  <c:v>43658</c:v>
                </c:pt>
                <c:pt idx="359">
                  <c:v>43661</c:v>
                </c:pt>
                <c:pt idx="360">
                  <c:v>43662</c:v>
                </c:pt>
                <c:pt idx="361">
                  <c:v>43663</c:v>
                </c:pt>
                <c:pt idx="362">
                  <c:v>43664</c:v>
                </c:pt>
                <c:pt idx="363">
                  <c:v>43665</c:v>
                </c:pt>
                <c:pt idx="364">
                  <c:v>43668</c:v>
                </c:pt>
                <c:pt idx="365">
                  <c:v>43669</c:v>
                </c:pt>
                <c:pt idx="366">
                  <c:v>43670</c:v>
                </c:pt>
                <c:pt idx="367">
                  <c:v>43671</c:v>
                </c:pt>
                <c:pt idx="368">
                  <c:v>43672</c:v>
                </c:pt>
                <c:pt idx="369">
                  <c:v>43675</c:v>
                </c:pt>
                <c:pt idx="370">
                  <c:v>43676</c:v>
                </c:pt>
                <c:pt idx="371">
                  <c:v>43677</c:v>
                </c:pt>
                <c:pt idx="372">
                  <c:v>43678</c:v>
                </c:pt>
                <c:pt idx="373">
                  <c:v>43679</c:v>
                </c:pt>
                <c:pt idx="374">
                  <c:v>43682</c:v>
                </c:pt>
                <c:pt idx="375">
                  <c:v>43683</c:v>
                </c:pt>
                <c:pt idx="376">
                  <c:v>43684</c:v>
                </c:pt>
                <c:pt idx="377">
                  <c:v>43685</c:v>
                </c:pt>
                <c:pt idx="378">
                  <c:v>43686</c:v>
                </c:pt>
                <c:pt idx="379">
                  <c:v>43689</c:v>
                </c:pt>
                <c:pt idx="380">
                  <c:v>43690</c:v>
                </c:pt>
                <c:pt idx="381">
                  <c:v>43691</c:v>
                </c:pt>
                <c:pt idx="382">
                  <c:v>43692</c:v>
                </c:pt>
                <c:pt idx="383">
                  <c:v>43693</c:v>
                </c:pt>
                <c:pt idx="384">
                  <c:v>43696</c:v>
                </c:pt>
                <c:pt idx="385">
                  <c:v>43697</c:v>
                </c:pt>
                <c:pt idx="386">
                  <c:v>43698</c:v>
                </c:pt>
                <c:pt idx="387">
                  <c:v>43699</c:v>
                </c:pt>
                <c:pt idx="388">
                  <c:v>43700</c:v>
                </c:pt>
                <c:pt idx="389">
                  <c:v>43703</c:v>
                </c:pt>
                <c:pt idx="390">
                  <c:v>43704</c:v>
                </c:pt>
                <c:pt idx="391">
                  <c:v>43705</c:v>
                </c:pt>
                <c:pt idx="392">
                  <c:v>43706</c:v>
                </c:pt>
                <c:pt idx="393">
                  <c:v>43707</c:v>
                </c:pt>
                <c:pt idx="394">
                  <c:v>43711</c:v>
                </c:pt>
                <c:pt idx="395">
                  <c:v>43712</c:v>
                </c:pt>
                <c:pt idx="396">
                  <c:v>43713</c:v>
                </c:pt>
                <c:pt idx="397">
                  <c:v>43714</c:v>
                </c:pt>
                <c:pt idx="398">
                  <c:v>43717</c:v>
                </c:pt>
                <c:pt idx="399">
                  <c:v>43718</c:v>
                </c:pt>
                <c:pt idx="400">
                  <c:v>43719</c:v>
                </c:pt>
                <c:pt idx="401">
                  <c:v>43720</c:v>
                </c:pt>
                <c:pt idx="402">
                  <c:v>43721</c:v>
                </c:pt>
                <c:pt idx="403">
                  <c:v>43724</c:v>
                </c:pt>
                <c:pt idx="404">
                  <c:v>43725</c:v>
                </c:pt>
                <c:pt idx="405">
                  <c:v>43726</c:v>
                </c:pt>
                <c:pt idx="406">
                  <c:v>43727</c:v>
                </c:pt>
                <c:pt idx="407">
                  <c:v>43728</c:v>
                </c:pt>
                <c:pt idx="408">
                  <c:v>43731</c:v>
                </c:pt>
                <c:pt idx="409">
                  <c:v>43732</c:v>
                </c:pt>
                <c:pt idx="410">
                  <c:v>43733</c:v>
                </c:pt>
                <c:pt idx="411">
                  <c:v>43734</c:v>
                </c:pt>
                <c:pt idx="412">
                  <c:v>43735</c:v>
                </c:pt>
                <c:pt idx="413">
                  <c:v>43738</c:v>
                </c:pt>
                <c:pt idx="414">
                  <c:v>43739</c:v>
                </c:pt>
                <c:pt idx="415">
                  <c:v>43740</c:v>
                </c:pt>
                <c:pt idx="416">
                  <c:v>43741</c:v>
                </c:pt>
                <c:pt idx="417">
                  <c:v>43742</c:v>
                </c:pt>
                <c:pt idx="418">
                  <c:v>43745</c:v>
                </c:pt>
                <c:pt idx="419">
                  <c:v>43746</c:v>
                </c:pt>
                <c:pt idx="420">
                  <c:v>43747</c:v>
                </c:pt>
                <c:pt idx="421">
                  <c:v>43748</c:v>
                </c:pt>
                <c:pt idx="422">
                  <c:v>43749</c:v>
                </c:pt>
                <c:pt idx="423">
                  <c:v>43752</c:v>
                </c:pt>
                <c:pt idx="424">
                  <c:v>43753</c:v>
                </c:pt>
                <c:pt idx="425">
                  <c:v>43754</c:v>
                </c:pt>
                <c:pt idx="426">
                  <c:v>43755</c:v>
                </c:pt>
                <c:pt idx="427">
                  <c:v>43756</c:v>
                </c:pt>
                <c:pt idx="428">
                  <c:v>43759</c:v>
                </c:pt>
                <c:pt idx="429">
                  <c:v>43760</c:v>
                </c:pt>
                <c:pt idx="430">
                  <c:v>43761</c:v>
                </c:pt>
                <c:pt idx="431">
                  <c:v>43762</c:v>
                </c:pt>
                <c:pt idx="432">
                  <c:v>43763</c:v>
                </c:pt>
                <c:pt idx="433">
                  <c:v>43766</c:v>
                </c:pt>
                <c:pt idx="434">
                  <c:v>43767</c:v>
                </c:pt>
                <c:pt idx="435">
                  <c:v>43768</c:v>
                </c:pt>
                <c:pt idx="436">
                  <c:v>43769</c:v>
                </c:pt>
                <c:pt idx="437">
                  <c:v>43770</c:v>
                </c:pt>
                <c:pt idx="438">
                  <c:v>43773</c:v>
                </c:pt>
                <c:pt idx="439">
                  <c:v>43774</c:v>
                </c:pt>
                <c:pt idx="440">
                  <c:v>43775</c:v>
                </c:pt>
                <c:pt idx="441">
                  <c:v>43776</c:v>
                </c:pt>
                <c:pt idx="442">
                  <c:v>43777</c:v>
                </c:pt>
                <c:pt idx="443">
                  <c:v>43780</c:v>
                </c:pt>
                <c:pt idx="444">
                  <c:v>43781</c:v>
                </c:pt>
                <c:pt idx="445">
                  <c:v>43782</c:v>
                </c:pt>
                <c:pt idx="446">
                  <c:v>43783</c:v>
                </c:pt>
                <c:pt idx="447">
                  <c:v>43784</c:v>
                </c:pt>
                <c:pt idx="448">
                  <c:v>43787</c:v>
                </c:pt>
                <c:pt idx="449">
                  <c:v>43788</c:v>
                </c:pt>
                <c:pt idx="450">
                  <c:v>43789</c:v>
                </c:pt>
                <c:pt idx="451">
                  <c:v>43790</c:v>
                </c:pt>
                <c:pt idx="452">
                  <c:v>43791</c:v>
                </c:pt>
                <c:pt idx="453">
                  <c:v>43794</c:v>
                </c:pt>
                <c:pt idx="454">
                  <c:v>43795</c:v>
                </c:pt>
                <c:pt idx="455">
                  <c:v>43796</c:v>
                </c:pt>
                <c:pt idx="456">
                  <c:v>43798</c:v>
                </c:pt>
                <c:pt idx="457">
                  <c:v>43801</c:v>
                </c:pt>
                <c:pt idx="458">
                  <c:v>43802</c:v>
                </c:pt>
                <c:pt idx="459">
                  <c:v>43803</c:v>
                </c:pt>
                <c:pt idx="460">
                  <c:v>43804</c:v>
                </c:pt>
                <c:pt idx="461">
                  <c:v>43805</c:v>
                </c:pt>
                <c:pt idx="462">
                  <c:v>43808</c:v>
                </c:pt>
                <c:pt idx="463">
                  <c:v>43809</c:v>
                </c:pt>
                <c:pt idx="464">
                  <c:v>43810</c:v>
                </c:pt>
                <c:pt idx="465">
                  <c:v>43811</c:v>
                </c:pt>
                <c:pt idx="466">
                  <c:v>43812</c:v>
                </c:pt>
                <c:pt idx="467">
                  <c:v>43815</c:v>
                </c:pt>
                <c:pt idx="468">
                  <c:v>43816</c:v>
                </c:pt>
                <c:pt idx="469">
                  <c:v>43817</c:v>
                </c:pt>
                <c:pt idx="470">
                  <c:v>43818</c:v>
                </c:pt>
                <c:pt idx="471">
                  <c:v>43819</c:v>
                </c:pt>
                <c:pt idx="472">
                  <c:v>43822</c:v>
                </c:pt>
                <c:pt idx="473">
                  <c:v>43823</c:v>
                </c:pt>
                <c:pt idx="474">
                  <c:v>43825</c:v>
                </c:pt>
                <c:pt idx="475">
                  <c:v>43826</c:v>
                </c:pt>
                <c:pt idx="476">
                  <c:v>43829</c:v>
                </c:pt>
                <c:pt idx="477">
                  <c:v>43830</c:v>
                </c:pt>
                <c:pt idx="478">
                  <c:v>43832</c:v>
                </c:pt>
                <c:pt idx="479">
                  <c:v>43833</c:v>
                </c:pt>
                <c:pt idx="480">
                  <c:v>43836</c:v>
                </c:pt>
                <c:pt idx="481">
                  <c:v>43837</c:v>
                </c:pt>
                <c:pt idx="482">
                  <c:v>43838</c:v>
                </c:pt>
                <c:pt idx="483">
                  <c:v>43839</c:v>
                </c:pt>
                <c:pt idx="484">
                  <c:v>43840</c:v>
                </c:pt>
                <c:pt idx="485">
                  <c:v>43843</c:v>
                </c:pt>
                <c:pt idx="486">
                  <c:v>43844</c:v>
                </c:pt>
                <c:pt idx="487">
                  <c:v>43845</c:v>
                </c:pt>
                <c:pt idx="488">
                  <c:v>43846</c:v>
                </c:pt>
                <c:pt idx="489">
                  <c:v>43847</c:v>
                </c:pt>
                <c:pt idx="490">
                  <c:v>43851</c:v>
                </c:pt>
                <c:pt idx="491">
                  <c:v>43852</c:v>
                </c:pt>
                <c:pt idx="492">
                  <c:v>43853</c:v>
                </c:pt>
                <c:pt idx="493">
                  <c:v>43854</c:v>
                </c:pt>
                <c:pt idx="494">
                  <c:v>43857</c:v>
                </c:pt>
                <c:pt idx="495">
                  <c:v>43858</c:v>
                </c:pt>
                <c:pt idx="496">
                  <c:v>43859</c:v>
                </c:pt>
                <c:pt idx="497">
                  <c:v>43860</c:v>
                </c:pt>
                <c:pt idx="498">
                  <c:v>43861</c:v>
                </c:pt>
                <c:pt idx="499">
                  <c:v>43864</c:v>
                </c:pt>
                <c:pt idx="500">
                  <c:v>43864</c:v>
                </c:pt>
              </c:numCache>
            </c:numRef>
          </c:cat>
          <c:val>
            <c:numRef>
              <c:f>Data!$G$2:$G$502</c:f>
              <c:numCache>
                <c:formatCode>General</c:formatCode>
                <c:ptCount val="501"/>
                <c:pt idx="0">
                  <c:v>12590.429688</c:v>
                </c:pt>
                <c:pt idx="1">
                  <c:v>12260.290039</c:v>
                </c:pt>
                <c:pt idx="2">
                  <c:v>12107.480469</c:v>
                </c:pt>
                <c:pt idx="3">
                  <c:v>12282.769531</c:v>
                </c:pt>
                <c:pt idx="4">
                  <c:v>12196.5</c:v>
                </c:pt>
                <c:pt idx="5">
                  <c:v>12339.160156</c:v>
                </c:pt>
                <c:pt idx="6">
                  <c:v>12346.169921999999</c:v>
                </c:pt>
                <c:pt idx="7">
                  <c:v>12451.959961</c:v>
                </c:pt>
                <c:pt idx="8">
                  <c:v>12487.900390999999</c:v>
                </c:pt>
                <c:pt idx="9">
                  <c:v>12470.490234000001</c:v>
                </c:pt>
                <c:pt idx="10">
                  <c:v>12461.910156</c:v>
                </c:pt>
                <c:pt idx="11">
                  <c:v>12483.790039</c:v>
                </c:pt>
                <c:pt idx="12">
                  <c:v>12527.040039</c:v>
                </c:pt>
                <c:pt idx="13">
                  <c:v>12490.730469</c:v>
                </c:pt>
                <c:pt idx="14">
                  <c:v>12435.849609000001</c:v>
                </c:pt>
                <c:pt idx="15">
                  <c:v>12190.940430000001</c:v>
                </c:pt>
                <c:pt idx="16">
                  <c:v>11913.709961</c:v>
                </c:pt>
                <c:pt idx="17">
                  <c:v>12090.870117</c:v>
                </c:pt>
                <c:pt idx="18">
                  <c:v>12113.870117</c:v>
                </c:pt>
                <c:pt idx="19">
                  <c:v>12245.360352</c:v>
                </c:pt>
                <c:pt idx="20">
                  <c:v>12355.570313</c:v>
                </c:pt>
                <c:pt idx="21">
                  <c:v>12346.679688</c:v>
                </c:pt>
                <c:pt idx="22">
                  <c:v>12418.389648</c:v>
                </c:pt>
                <c:pt idx="23">
                  <c:v>12221.030273</c:v>
                </c:pt>
                <c:pt idx="24">
                  <c:v>12237.740234000001</c:v>
                </c:pt>
                <c:pt idx="25">
                  <c:v>12345.559569999999</c:v>
                </c:pt>
                <c:pt idx="26">
                  <c:v>12389.580078000001</c:v>
                </c:pt>
                <c:pt idx="27">
                  <c:v>12217.019531</c:v>
                </c:pt>
                <c:pt idx="28">
                  <c:v>12307.330078000001</c:v>
                </c:pt>
                <c:pt idx="29">
                  <c:v>12309.150390999999</c:v>
                </c:pt>
                <c:pt idx="30">
                  <c:v>12100.080078000001</c:v>
                </c:pt>
                <c:pt idx="31">
                  <c:v>11886.309569999999</c:v>
                </c:pt>
                <c:pt idx="32">
                  <c:v>11787.259765999999</c:v>
                </c:pt>
                <c:pt idx="33">
                  <c:v>11970.830078000001</c:v>
                </c:pt>
                <c:pt idx="34">
                  <c:v>11940.709961</c:v>
                </c:pt>
                <c:pt idx="35">
                  <c:v>12096.730469</c:v>
                </c:pt>
                <c:pt idx="36">
                  <c:v>12002.450194999999</c:v>
                </c:pt>
                <c:pt idx="37">
                  <c:v>11957.900390999999</c:v>
                </c:pt>
                <c:pt idx="38">
                  <c:v>12305.190430000001</c:v>
                </c:pt>
                <c:pt idx="39">
                  <c:v>12241.269531</c:v>
                </c:pt>
                <c:pt idx="40">
                  <c:v>12261.75</c:v>
                </c:pt>
                <c:pt idx="41">
                  <c:v>12397.320313</c:v>
                </c:pt>
                <c:pt idx="42">
                  <c:v>12293.969727</c:v>
                </c:pt>
                <c:pt idx="43">
                  <c:v>12415.009765999999</c:v>
                </c:pt>
                <c:pt idx="44">
                  <c:v>12442.400390999999</c:v>
                </c:pt>
                <c:pt idx="45">
                  <c:v>12391.410156</c:v>
                </c:pt>
                <c:pt idx="46">
                  <c:v>12585.570313</c:v>
                </c:pt>
                <c:pt idx="47">
                  <c:v>12590.830078000001</c:v>
                </c:pt>
                <c:pt idx="48">
                  <c:v>12567.419921999999</c:v>
                </c:pt>
                <c:pt idx="49">
                  <c:v>12540.5</c:v>
                </c:pt>
                <c:pt idx="50">
                  <c:v>12572.389648</c:v>
                </c:pt>
                <c:pt idx="51">
                  <c:v>12550.820313</c:v>
                </c:pt>
                <c:pt idx="52">
                  <c:v>12422.299805000001</c:v>
                </c:pt>
                <c:pt idx="53">
                  <c:v>12500.469727</c:v>
                </c:pt>
                <c:pt idx="54">
                  <c:v>12580.870117</c:v>
                </c:pt>
                <c:pt idx="55">
                  <c:v>12612.110352</c:v>
                </c:pt>
                <c:pt idx="56">
                  <c:v>12802.25</c:v>
                </c:pt>
                <c:pt idx="57">
                  <c:v>12690.150390999999</c:v>
                </c:pt>
                <c:pt idx="58">
                  <c:v>12819.599609000001</c:v>
                </c:pt>
                <c:pt idx="59">
                  <c:v>12948.139648</c:v>
                </c:pt>
                <c:pt idx="60">
                  <c:v>12912.209961</c:v>
                </c:pt>
                <c:pt idx="61">
                  <c:v>12943.059569999999</c:v>
                </c:pt>
                <c:pt idx="62">
                  <c:v>13022.870117</c:v>
                </c:pt>
                <c:pt idx="63">
                  <c:v>13001.240234000001</c:v>
                </c:pt>
                <c:pt idx="64">
                  <c:v>12977.709961</c:v>
                </c:pt>
                <c:pt idx="65">
                  <c:v>12970.040039</c:v>
                </c:pt>
                <c:pt idx="66">
                  <c:v>12996.330078000001</c:v>
                </c:pt>
                <c:pt idx="67">
                  <c:v>13114.610352</c:v>
                </c:pt>
                <c:pt idx="68">
                  <c:v>13077.719727</c:v>
                </c:pt>
                <c:pt idx="69">
                  <c:v>13123.819824499999</c:v>
                </c:pt>
                <c:pt idx="70">
                  <c:v>13169.919921999999</c:v>
                </c:pt>
                <c:pt idx="71">
                  <c:v>12976.839844</c:v>
                </c:pt>
                <c:pt idx="72">
                  <c:v>12855.089844</c:v>
                </c:pt>
                <c:pt idx="73">
                  <c:v>12938.009765999999</c:v>
                </c:pt>
                <c:pt idx="74">
                  <c:v>12863.459961</c:v>
                </c:pt>
                <c:pt idx="75">
                  <c:v>12666.509765999999</c:v>
                </c:pt>
                <c:pt idx="76">
                  <c:v>12783.759765999999</c:v>
                </c:pt>
                <c:pt idx="77">
                  <c:v>12604.889648</c:v>
                </c:pt>
                <c:pt idx="78">
                  <c:v>12724.269531</c:v>
                </c:pt>
                <c:pt idx="79">
                  <c:v>12770.75</c:v>
                </c:pt>
                <c:pt idx="80">
                  <c:v>12787.129883</c:v>
                </c:pt>
                <c:pt idx="81">
                  <c:v>12830.070313</c:v>
                </c:pt>
                <c:pt idx="82">
                  <c:v>12811.049805000001</c:v>
                </c:pt>
                <c:pt idx="83">
                  <c:v>12766.549805000001</c:v>
                </c:pt>
                <c:pt idx="84">
                  <c:v>12842.910156</c:v>
                </c:pt>
                <c:pt idx="85">
                  <c:v>12842.299805000001</c:v>
                </c:pt>
                <c:pt idx="86">
                  <c:v>12890.580078000001</c:v>
                </c:pt>
                <c:pt idx="87">
                  <c:v>13107.099609000001</c:v>
                </c:pt>
                <c:pt idx="88">
                  <c:v>13010.549805000001</c:v>
                </c:pt>
                <c:pt idx="89">
                  <c:v>12834.110352</c:v>
                </c:pt>
                <c:pt idx="90">
                  <c:v>12677.969727</c:v>
                </c:pt>
                <c:pt idx="91">
                  <c:v>12695.160156</c:v>
                </c:pt>
                <c:pt idx="92">
                  <c:v>12511.910156</c:v>
                </c:pt>
                <c:pt idx="93">
                  <c:v>12579.719727</c:v>
                </c:pt>
                <c:pt idx="94">
                  <c:v>12270.330078000001</c:v>
                </c:pt>
                <c:pt idx="95">
                  <c:v>12234.339844</c:v>
                </c:pt>
                <c:pt idx="96">
                  <c:v>12348.610352</c:v>
                </c:pt>
                <c:pt idx="97">
                  <c:v>12177.230469</c:v>
                </c:pt>
                <c:pt idx="98">
                  <c:v>12306</c:v>
                </c:pt>
                <c:pt idx="99">
                  <c:v>12238.169921999999</c:v>
                </c:pt>
                <c:pt idx="100">
                  <c:v>12349.139648</c:v>
                </c:pt>
                <c:pt idx="101">
                  <c:v>12317.610352</c:v>
                </c:pt>
                <c:pt idx="102">
                  <c:v>12464.290039</c:v>
                </c:pt>
                <c:pt idx="103">
                  <c:v>12496.169921999999</c:v>
                </c:pt>
                <c:pt idx="104">
                  <c:v>12543.889648</c:v>
                </c:pt>
                <c:pt idx="105">
                  <c:v>12609.849609000001</c:v>
                </c:pt>
                <c:pt idx="106">
                  <c:v>12417.129883</c:v>
                </c:pt>
                <c:pt idx="107">
                  <c:v>12492.969727</c:v>
                </c:pt>
                <c:pt idx="108">
                  <c:v>12540.730469</c:v>
                </c:pt>
                <c:pt idx="109">
                  <c:v>12561.019531</c:v>
                </c:pt>
                <c:pt idx="110">
                  <c:v>12661.540039</c:v>
                </c:pt>
                <c:pt idx="111">
                  <c:v>12765.940430000001</c:v>
                </c:pt>
                <c:pt idx="112">
                  <c:v>12686.290039</c:v>
                </c:pt>
                <c:pt idx="113">
                  <c:v>12561.419921999999</c:v>
                </c:pt>
                <c:pt idx="114">
                  <c:v>12548.570313</c:v>
                </c:pt>
                <c:pt idx="115">
                  <c:v>12689.389648</c:v>
                </c:pt>
                <c:pt idx="116">
                  <c:v>12579.330078000001</c:v>
                </c:pt>
                <c:pt idx="117">
                  <c:v>12809.230469</c:v>
                </c:pt>
                <c:pt idx="118">
                  <c:v>12860.400390999999</c:v>
                </c:pt>
                <c:pt idx="119">
                  <c:v>12798.200194999999</c:v>
                </c:pt>
                <c:pt idx="120">
                  <c:v>12805.5</c:v>
                </c:pt>
                <c:pt idx="121">
                  <c:v>12737.049805000001</c:v>
                </c:pt>
                <c:pt idx="122">
                  <c:v>12546.330078000001</c:v>
                </c:pt>
                <c:pt idx="123">
                  <c:v>12615.759765999999</c:v>
                </c:pt>
                <c:pt idx="124">
                  <c:v>12598.209961</c:v>
                </c:pt>
                <c:pt idx="125">
                  <c:v>12648.190430000001</c:v>
                </c:pt>
                <c:pt idx="126">
                  <c:v>12633.540039</c:v>
                </c:pt>
                <c:pt idx="127">
                  <c:v>12676.110352</c:v>
                </c:pt>
                <c:pt idx="128">
                  <c:v>12424.349609000001</c:v>
                </c:pt>
                <c:pt idx="129">
                  <c:v>12358.740234000001</c:v>
                </c:pt>
                <c:pt idx="130">
                  <c:v>12358.870117</c:v>
                </c:pt>
                <c:pt idx="131">
                  <c:v>12163.009765999999</c:v>
                </c:pt>
                <c:pt idx="132">
                  <c:v>12237.169921999999</c:v>
                </c:pt>
                <c:pt idx="133">
                  <c:v>12210.549805000001</c:v>
                </c:pt>
                <c:pt idx="134">
                  <c:v>12331.299805000001</c:v>
                </c:pt>
                <c:pt idx="135">
                  <c:v>12384.490234000001</c:v>
                </c:pt>
                <c:pt idx="136">
                  <c:v>12385.700194999999</c:v>
                </c:pt>
                <c:pt idx="137">
                  <c:v>12365.580078000001</c:v>
                </c:pt>
                <c:pt idx="138">
                  <c:v>12394.519531</c:v>
                </c:pt>
                <c:pt idx="139">
                  <c:v>12538.309569999999</c:v>
                </c:pt>
                <c:pt idx="140">
                  <c:v>12527.419921999999</c:v>
                </c:pt>
                <c:pt idx="141">
                  <c:v>12561.679688</c:v>
                </c:pt>
                <c:pt idx="142">
                  <c:v>12494.240234000001</c:v>
                </c:pt>
                <c:pt idx="143">
                  <c:v>12364.059569999999</c:v>
                </c:pt>
                <c:pt idx="144">
                  <c:v>12346.410156</c:v>
                </c:pt>
                <c:pt idx="145">
                  <c:v>12210.209961</c:v>
                </c:pt>
                <c:pt idx="146">
                  <c:v>12040.459961</c:v>
                </c:pt>
                <c:pt idx="147">
                  <c:v>11955.25</c:v>
                </c:pt>
                <c:pt idx="148">
                  <c:v>11959.629883</c:v>
                </c:pt>
                <c:pt idx="149">
                  <c:v>11986.339844</c:v>
                </c:pt>
                <c:pt idx="150">
                  <c:v>11970.269531</c:v>
                </c:pt>
                <c:pt idx="151">
                  <c:v>12032.299805000001</c:v>
                </c:pt>
                <c:pt idx="152">
                  <c:v>12055.549805000001</c:v>
                </c:pt>
                <c:pt idx="153">
                  <c:v>12124.330078000001</c:v>
                </c:pt>
                <c:pt idx="154">
                  <c:v>12096.410156</c:v>
                </c:pt>
                <c:pt idx="155">
                  <c:v>12157.669921999999</c:v>
                </c:pt>
                <c:pt idx="156">
                  <c:v>12219.019531</c:v>
                </c:pt>
                <c:pt idx="157">
                  <c:v>12326.480469</c:v>
                </c:pt>
                <c:pt idx="158">
                  <c:v>12430.879883</c:v>
                </c:pt>
                <c:pt idx="159">
                  <c:v>12350.820313</c:v>
                </c:pt>
                <c:pt idx="160">
                  <c:v>12374.660156</c:v>
                </c:pt>
                <c:pt idx="161">
                  <c:v>12385.889648</c:v>
                </c:pt>
                <c:pt idx="162">
                  <c:v>12435.589844</c:v>
                </c:pt>
                <c:pt idx="163">
                  <c:v>12246.730469</c:v>
                </c:pt>
                <c:pt idx="164">
                  <c:v>12339.030273</c:v>
                </c:pt>
                <c:pt idx="165">
                  <c:v>12287.580078000001</c:v>
                </c:pt>
                <c:pt idx="166">
                  <c:v>12244.139648</c:v>
                </c:pt>
                <c:pt idx="167">
                  <c:v>12111.900390999999</c:v>
                </c:pt>
                <c:pt idx="168">
                  <c:v>11947.160156</c:v>
                </c:pt>
                <c:pt idx="169">
                  <c:v>11977.219727</c:v>
                </c:pt>
                <c:pt idx="170">
                  <c:v>11712.5</c:v>
                </c:pt>
                <c:pt idx="171">
                  <c:v>11539.349609000001</c:v>
                </c:pt>
                <c:pt idx="172">
                  <c:v>11523.809569999999</c:v>
                </c:pt>
                <c:pt idx="173">
                  <c:v>11614.160156</c:v>
                </c:pt>
                <c:pt idx="174">
                  <c:v>11776.549805000001</c:v>
                </c:pt>
                <c:pt idx="175">
                  <c:v>11715.030273</c:v>
                </c:pt>
                <c:pt idx="176">
                  <c:v>11589.209961</c:v>
                </c:pt>
                <c:pt idx="177">
                  <c:v>11553.830078000001</c:v>
                </c:pt>
                <c:pt idx="178">
                  <c:v>11524.339844</c:v>
                </c:pt>
                <c:pt idx="179">
                  <c:v>11274.280273</c:v>
                </c:pt>
                <c:pt idx="180">
                  <c:v>11191.629883</c:v>
                </c:pt>
                <c:pt idx="181">
                  <c:v>11307.120117</c:v>
                </c:pt>
                <c:pt idx="182">
                  <c:v>11200.620117</c:v>
                </c:pt>
                <c:pt idx="183">
                  <c:v>11335.480469</c:v>
                </c:pt>
                <c:pt idx="184">
                  <c:v>11287.389648</c:v>
                </c:pt>
                <c:pt idx="185">
                  <c:v>11447.509765999999</c:v>
                </c:pt>
                <c:pt idx="186">
                  <c:v>11468.540039</c:v>
                </c:pt>
                <c:pt idx="187">
                  <c:v>11518.990234000001</c:v>
                </c:pt>
                <c:pt idx="188">
                  <c:v>11494.959961</c:v>
                </c:pt>
                <c:pt idx="189">
                  <c:v>11484.339844</c:v>
                </c:pt>
                <c:pt idx="190">
                  <c:v>11579.099609000001</c:v>
                </c:pt>
                <c:pt idx="191">
                  <c:v>11527.320313</c:v>
                </c:pt>
                <c:pt idx="192">
                  <c:v>11529.160156</c:v>
                </c:pt>
                <c:pt idx="193">
                  <c:v>11325.440430000001</c:v>
                </c:pt>
                <c:pt idx="194">
                  <c:v>11472.219727</c:v>
                </c:pt>
                <c:pt idx="195">
                  <c:v>11412.530273</c:v>
                </c:pt>
                <c:pt idx="196">
                  <c:v>11353.669921999999</c:v>
                </c:pt>
                <c:pt idx="197">
                  <c:v>11341</c:v>
                </c:pt>
                <c:pt idx="198">
                  <c:v>11244.540039</c:v>
                </c:pt>
                <c:pt idx="199">
                  <c:v>11066.410156</c:v>
                </c:pt>
                <c:pt idx="200">
                  <c:v>11244.169921999999</c:v>
                </c:pt>
                <c:pt idx="201">
                  <c:v>11138.490234000001</c:v>
                </c:pt>
                <c:pt idx="202">
                  <c:v>11192.690430000001</c:v>
                </c:pt>
                <c:pt idx="203">
                  <c:v>11354.719727</c:v>
                </c:pt>
                <c:pt idx="204">
                  <c:v>11309.110352</c:v>
                </c:pt>
                <c:pt idx="205">
                  <c:v>11298.879883</c:v>
                </c:pt>
                <c:pt idx="206">
                  <c:v>11298.230469</c:v>
                </c:pt>
                <c:pt idx="207">
                  <c:v>11257.240234000001</c:v>
                </c:pt>
                <c:pt idx="208">
                  <c:v>11465.459961</c:v>
                </c:pt>
                <c:pt idx="209">
                  <c:v>11335.320313</c:v>
                </c:pt>
                <c:pt idx="210">
                  <c:v>11200.240234000001</c:v>
                </c:pt>
                <c:pt idx="211">
                  <c:v>10810.980469</c:v>
                </c:pt>
                <c:pt idx="212">
                  <c:v>10788.089844</c:v>
                </c:pt>
                <c:pt idx="213">
                  <c:v>10622.070313</c:v>
                </c:pt>
                <c:pt idx="214">
                  <c:v>10780.509765999999</c:v>
                </c:pt>
                <c:pt idx="215">
                  <c:v>10929.429688</c:v>
                </c:pt>
                <c:pt idx="216">
                  <c:v>10924.700194999999</c:v>
                </c:pt>
                <c:pt idx="217">
                  <c:v>10865.769531</c:v>
                </c:pt>
                <c:pt idx="218">
                  <c:v>10772.200194999999</c:v>
                </c:pt>
                <c:pt idx="219">
                  <c:v>10740.889648</c:v>
                </c:pt>
                <c:pt idx="220">
                  <c:v>10766.209961</c:v>
                </c:pt>
                <c:pt idx="221">
                  <c:v>10611.099609000001</c:v>
                </c:pt>
                <c:pt idx="222">
                  <c:v>10633.820313</c:v>
                </c:pt>
                <c:pt idx="223">
                  <c:v>10381.509765999999</c:v>
                </c:pt>
                <c:pt idx="224">
                  <c:v>10558.959961</c:v>
                </c:pt>
                <c:pt idx="225">
                  <c:v>10580.190430000001</c:v>
                </c:pt>
                <c:pt idx="226">
                  <c:v>10416.660156</c:v>
                </c:pt>
                <c:pt idx="227">
                  <c:v>10767.690430000001</c:v>
                </c:pt>
                <c:pt idx="228">
                  <c:v>10747.809569999999</c:v>
                </c:pt>
                <c:pt idx="229">
                  <c:v>10803.980469</c:v>
                </c:pt>
                <c:pt idx="230">
                  <c:v>10893.320313</c:v>
                </c:pt>
                <c:pt idx="231">
                  <c:v>10921.589844</c:v>
                </c:pt>
                <c:pt idx="232">
                  <c:v>10887.459961</c:v>
                </c:pt>
                <c:pt idx="233">
                  <c:v>10855.910156</c:v>
                </c:pt>
                <c:pt idx="234">
                  <c:v>10891.790039</c:v>
                </c:pt>
                <c:pt idx="235">
                  <c:v>10931.240234000001</c:v>
                </c:pt>
                <c:pt idx="236">
                  <c:v>10918.620117</c:v>
                </c:pt>
                <c:pt idx="237">
                  <c:v>11205.540039</c:v>
                </c:pt>
                <c:pt idx="238">
                  <c:v>11136.200194999999</c:v>
                </c:pt>
                <c:pt idx="239">
                  <c:v>11090.110352</c:v>
                </c:pt>
                <c:pt idx="240">
                  <c:v>11071.540039</c:v>
                </c:pt>
                <c:pt idx="241">
                  <c:v>11130.179688</c:v>
                </c:pt>
                <c:pt idx="242">
                  <c:v>11281.790039</c:v>
                </c:pt>
                <c:pt idx="243">
                  <c:v>11210.309569999999</c:v>
                </c:pt>
                <c:pt idx="244">
                  <c:v>11218.830078000001</c:v>
                </c:pt>
                <c:pt idx="245">
                  <c:v>11181.660156</c:v>
                </c:pt>
                <c:pt idx="246">
                  <c:v>11173.099609000001</c:v>
                </c:pt>
                <c:pt idx="247">
                  <c:v>11180.660156</c:v>
                </c:pt>
                <c:pt idx="248">
                  <c:v>11176.580078000001</c:v>
                </c:pt>
                <c:pt idx="249">
                  <c:v>11367.980469</c:v>
                </c:pt>
                <c:pt idx="250">
                  <c:v>11324.719727</c:v>
                </c:pt>
                <c:pt idx="251">
                  <c:v>11022.019531</c:v>
                </c:pt>
                <c:pt idx="252">
                  <c:v>10906.780273</c:v>
                </c:pt>
                <c:pt idx="253">
                  <c:v>11014.589844</c:v>
                </c:pt>
                <c:pt idx="254">
                  <c:v>11126.080078000001</c:v>
                </c:pt>
                <c:pt idx="255">
                  <c:v>11167.219727</c:v>
                </c:pt>
                <c:pt idx="256">
                  <c:v>11089.790039</c:v>
                </c:pt>
                <c:pt idx="257">
                  <c:v>11299.799805000001</c:v>
                </c:pt>
                <c:pt idx="258">
                  <c:v>11299.200194999999</c:v>
                </c:pt>
                <c:pt idx="259">
                  <c:v>11309.209961</c:v>
                </c:pt>
                <c:pt idx="260">
                  <c:v>11401.969727</c:v>
                </c:pt>
                <c:pt idx="261">
                  <c:v>11423.280273</c:v>
                </c:pt>
                <c:pt idx="262">
                  <c:v>11457.700194999999</c:v>
                </c:pt>
                <c:pt idx="263">
                  <c:v>11505.389648</c:v>
                </c:pt>
                <c:pt idx="264">
                  <c:v>11540.790039</c:v>
                </c:pt>
                <c:pt idx="265">
                  <c:v>11487.330078000001</c:v>
                </c:pt>
                <c:pt idx="266">
                  <c:v>11515.639648</c:v>
                </c:pt>
                <c:pt idx="267">
                  <c:v>11601.679688</c:v>
                </c:pt>
                <c:pt idx="268">
                  <c:v>11592.660156</c:v>
                </c:pt>
                <c:pt idx="269">
                  <c:v>11620.740234000001</c:v>
                </c:pt>
                <c:pt idx="270">
                  <c:v>11587.629883</c:v>
                </c:pt>
                <c:pt idx="271">
                  <c:v>11517.799805000001</c:v>
                </c:pt>
                <c:pt idx="272">
                  <c:v>11457.839844</c:v>
                </c:pt>
                <c:pt idx="273">
                  <c:v>11543.480469</c:v>
                </c:pt>
                <c:pt idx="274">
                  <c:v>11524.169921999999</c:v>
                </c:pt>
                <c:pt idx="275">
                  <c:v>11572.410156</c:v>
                </c:pt>
                <c:pt idx="276">
                  <c:v>11587.469727</c:v>
                </c:pt>
                <c:pt idx="277">
                  <c:v>11685.690430000001</c:v>
                </c:pt>
                <c:pt idx="278">
                  <c:v>11657.059569999999</c:v>
                </c:pt>
                <c:pt idx="279">
                  <c:v>11788.410156</c:v>
                </c:pt>
                <c:pt idx="280">
                  <c:v>11603.889648</c:v>
                </c:pt>
                <c:pt idx="281">
                  <c:v>11549.959961</c:v>
                </c:pt>
                <c:pt idx="282">
                  <c:v>11364.169921999999</c:v>
                </c:pt>
                <c:pt idx="283">
                  <c:v>11346.650390999999</c:v>
                </c:pt>
                <c:pt idx="284">
                  <c:v>11419.480469</c:v>
                </c:pt>
                <c:pt idx="285">
                  <c:v>11419.040039</c:v>
                </c:pt>
                <c:pt idx="286">
                  <c:v>11428.160156</c:v>
                </c:pt>
                <c:pt idx="287">
                  <c:v>11526.040039</c:v>
                </c:pt>
                <c:pt idx="288">
                  <c:v>11681.990234000001</c:v>
                </c:pt>
                <c:pt idx="289">
                  <c:v>11754.790039</c:v>
                </c:pt>
                <c:pt idx="290">
                  <c:v>11954.400390999999</c:v>
                </c:pt>
                <c:pt idx="291">
                  <c:v>11988.009765999999</c:v>
                </c:pt>
                <c:pt idx="292">
                  <c:v>12009.75</c:v>
                </c:pt>
                <c:pt idx="293">
                  <c:v>11963.400390999999</c:v>
                </c:pt>
                <c:pt idx="294">
                  <c:v>11850.570313</c:v>
                </c:pt>
                <c:pt idx="295">
                  <c:v>11905.910156</c:v>
                </c:pt>
                <c:pt idx="296">
                  <c:v>11935.200194999999</c:v>
                </c:pt>
                <c:pt idx="297">
                  <c:v>11999.929688</c:v>
                </c:pt>
                <c:pt idx="298">
                  <c:v>12020.280273</c:v>
                </c:pt>
                <c:pt idx="299">
                  <c:v>12101.320313</c:v>
                </c:pt>
                <c:pt idx="300">
                  <c:v>12153.070313</c:v>
                </c:pt>
                <c:pt idx="301">
                  <c:v>12222.389648</c:v>
                </c:pt>
                <c:pt idx="302">
                  <c:v>12235.509765999999</c:v>
                </c:pt>
                <c:pt idx="303">
                  <c:v>12313.160156</c:v>
                </c:pt>
                <c:pt idx="304">
                  <c:v>12282.599609000001</c:v>
                </c:pt>
                <c:pt idx="305">
                  <c:v>12315.179688</c:v>
                </c:pt>
                <c:pt idx="306">
                  <c:v>12328.019531</c:v>
                </c:pt>
                <c:pt idx="307">
                  <c:v>12344.080078000001</c:v>
                </c:pt>
                <c:pt idx="308">
                  <c:v>12345.419921999999</c:v>
                </c:pt>
                <c:pt idx="309">
                  <c:v>12412.75</c:v>
                </c:pt>
                <c:pt idx="310">
                  <c:v>12286.879883</c:v>
                </c:pt>
                <c:pt idx="311">
                  <c:v>12092.740234000001</c:v>
                </c:pt>
                <c:pt idx="312">
                  <c:v>12179.929688</c:v>
                </c:pt>
                <c:pt idx="313">
                  <c:v>11973.919921999999</c:v>
                </c:pt>
                <c:pt idx="314">
                  <c:v>12059.830078000001</c:v>
                </c:pt>
                <c:pt idx="315">
                  <c:v>11876.650390999999</c:v>
                </c:pt>
                <c:pt idx="316">
                  <c:v>11991.620117</c:v>
                </c:pt>
                <c:pt idx="317">
                  <c:v>12099.570313</c:v>
                </c:pt>
                <c:pt idx="318">
                  <c:v>12310.370117</c:v>
                </c:pt>
                <c:pt idx="319">
                  <c:v>12238.940430000001</c:v>
                </c:pt>
                <c:pt idx="320">
                  <c:v>12041.290039</c:v>
                </c:pt>
                <c:pt idx="321">
                  <c:v>12143.469727</c:v>
                </c:pt>
                <c:pt idx="322">
                  <c:v>12168.740234000001</c:v>
                </c:pt>
                <c:pt idx="323">
                  <c:v>11952.410156</c:v>
                </c:pt>
                <c:pt idx="324">
                  <c:v>12011.040039</c:v>
                </c:pt>
                <c:pt idx="325">
                  <c:v>12071.179688</c:v>
                </c:pt>
                <c:pt idx="326">
                  <c:v>12027.049805000001</c:v>
                </c:pt>
                <c:pt idx="327">
                  <c:v>11837.809569999999</c:v>
                </c:pt>
                <c:pt idx="328">
                  <c:v>11902.080078000001</c:v>
                </c:pt>
                <c:pt idx="329">
                  <c:v>11726.839844</c:v>
                </c:pt>
                <c:pt idx="330">
                  <c:v>11792.809569999999</c:v>
                </c:pt>
                <c:pt idx="331">
                  <c:v>11971.169921999999</c:v>
                </c:pt>
                <c:pt idx="332">
                  <c:v>11980.809569999999</c:v>
                </c:pt>
                <c:pt idx="333">
                  <c:v>11953.139648</c:v>
                </c:pt>
                <c:pt idx="334">
                  <c:v>12045.379883</c:v>
                </c:pt>
                <c:pt idx="335">
                  <c:v>12155.809569999999</c:v>
                </c:pt>
                <c:pt idx="336">
                  <c:v>12115.679688</c:v>
                </c:pt>
                <c:pt idx="337">
                  <c:v>12169.049805000001</c:v>
                </c:pt>
                <c:pt idx="338">
                  <c:v>12096.400390999999</c:v>
                </c:pt>
                <c:pt idx="339">
                  <c:v>12085.820313</c:v>
                </c:pt>
                <c:pt idx="340">
                  <c:v>12331.75</c:v>
                </c:pt>
                <c:pt idx="341">
                  <c:v>12308.530273</c:v>
                </c:pt>
                <c:pt idx="342">
                  <c:v>12355.389648</c:v>
                </c:pt>
                <c:pt idx="343">
                  <c:v>12339.919921999999</c:v>
                </c:pt>
                <c:pt idx="344">
                  <c:v>12274.570313</c:v>
                </c:pt>
                <c:pt idx="345">
                  <c:v>12228.440430000001</c:v>
                </c:pt>
                <c:pt idx="346">
                  <c:v>12245.320313</c:v>
                </c:pt>
                <c:pt idx="347">
                  <c:v>12271.030273</c:v>
                </c:pt>
                <c:pt idx="348">
                  <c:v>12398.799805000001</c:v>
                </c:pt>
                <c:pt idx="349">
                  <c:v>12521.379883</c:v>
                </c:pt>
                <c:pt idx="350">
                  <c:v>12526.719727</c:v>
                </c:pt>
                <c:pt idx="351">
                  <c:v>12616.240234000001</c:v>
                </c:pt>
                <c:pt idx="352">
                  <c:v>12629.900390999999</c:v>
                </c:pt>
                <c:pt idx="353">
                  <c:v>12568.530273</c:v>
                </c:pt>
                <c:pt idx="354">
                  <c:v>12543.509765999999</c:v>
                </c:pt>
                <c:pt idx="355">
                  <c:v>12436.549805000001</c:v>
                </c:pt>
                <c:pt idx="356">
                  <c:v>12373.410156</c:v>
                </c:pt>
                <c:pt idx="357">
                  <c:v>12332.120117</c:v>
                </c:pt>
                <c:pt idx="358">
                  <c:v>12323.320313</c:v>
                </c:pt>
                <c:pt idx="359">
                  <c:v>12387.339844</c:v>
                </c:pt>
                <c:pt idx="360">
                  <c:v>12430.969727</c:v>
                </c:pt>
                <c:pt idx="361">
                  <c:v>12341.030273</c:v>
                </c:pt>
                <c:pt idx="362">
                  <c:v>12227.849609000001</c:v>
                </c:pt>
                <c:pt idx="363">
                  <c:v>12260.070313</c:v>
                </c:pt>
                <c:pt idx="364">
                  <c:v>12289.400390999999</c:v>
                </c:pt>
                <c:pt idx="365">
                  <c:v>12490.740234000001</c:v>
                </c:pt>
                <c:pt idx="366">
                  <c:v>12522.889648</c:v>
                </c:pt>
                <c:pt idx="367">
                  <c:v>12362.099609000001</c:v>
                </c:pt>
                <c:pt idx="368">
                  <c:v>12419.900390999999</c:v>
                </c:pt>
                <c:pt idx="369">
                  <c:v>12417.469727</c:v>
                </c:pt>
                <c:pt idx="370">
                  <c:v>12147.240234000001</c:v>
                </c:pt>
                <c:pt idx="371">
                  <c:v>12189.040039</c:v>
                </c:pt>
                <c:pt idx="372">
                  <c:v>12253.150390999999</c:v>
                </c:pt>
                <c:pt idx="373">
                  <c:v>11872.440430000001</c:v>
                </c:pt>
                <c:pt idx="374">
                  <c:v>11658.509765999999</c:v>
                </c:pt>
                <c:pt idx="375">
                  <c:v>11567.959961</c:v>
                </c:pt>
                <c:pt idx="376">
                  <c:v>11650.150390999999</c:v>
                </c:pt>
                <c:pt idx="377">
                  <c:v>11845.410156</c:v>
                </c:pt>
                <c:pt idx="378">
                  <c:v>11693.799805000001</c:v>
                </c:pt>
                <c:pt idx="379">
                  <c:v>11679.679688</c:v>
                </c:pt>
                <c:pt idx="380">
                  <c:v>11750.129883</c:v>
                </c:pt>
                <c:pt idx="381">
                  <c:v>11492.660156</c:v>
                </c:pt>
                <c:pt idx="382">
                  <c:v>11412.669921999999</c:v>
                </c:pt>
                <c:pt idx="383">
                  <c:v>11562.740234000001</c:v>
                </c:pt>
                <c:pt idx="384">
                  <c:v>11715.370117</c:v>
                </c:pt>
                <c:pt idx="385">
                  <c:v>11651.179688</c:v>
                </c:pt>
                <c:pt idx="386">
                  <c:v>11802.849609000001</c:v>
                </c:pt>
                <c:pt idx="387">
                  <c:v>11747.040039</c:v>
                </c:pt>
                <c:pt idx="388">
                  <c:v>11611.509765999999</c:v>
                </c:pt>
                <c:pt idx="389">
                  <c:v>11658.040039</c:v>
                </c:pt>
                <c:pt idx="390">
                  <c:v>11730.019531</c:v>
                </c:pt>
                <c:pt idx="391">
                  <c:v>11701.019531</c:v>
                </c:pt>
                <c:pt idx="392">
                  <c:v>11838.879883</c:v>
                </c:pt>
                <c:pt idx="393">
                  <c:v>11939.280273</c:v>
                </c:pt>
                <c:pt idx="394">
                  <c:v>11953.780273</c:v>
                </c:pt>
                <c:pt idx="395">
                  <c:v>11910.860352</c:v>
                </c:pt>
                <c:pt idx="396">
                  <c:v>12025.040039</c:v>
                </c:pt>
                <c:pt idx="397">
                  <c:v>12126.780273</c:v>
                </c:pt>
                <c:pt idx="398">
                  <c:v>12191.730469</c:v>
                </c:pt>
                <c:pt idx="399">
                  <c:v>12226.099609000001</c:v>
                </c:pt>
                <c:pt idx="400">
                  <c:v>12268.709961</c:v>
                </c:pt>
                <c:pt idx="401">
                  <c:v>12359.070313</c:v>
                </c:pt>
                <c:pt idx="402">
                  <c:v>12410.25</c:v>
                </c:pt>
                <c:pt idx="403">
                  <c:v>12468.530273</c:v>
                </c:pt>
                <c:pt idx="404">
                  <c:v>12380.309569999999</c:v>
                </c:pt>
                <c:pt idx="405">
                  <c:v>12372.610352</c:v>
                </c:pt>
                <c:pt idx="406">
                  <c:v>12389.620117</c:v>
                </c:pt>
                <c:pt idx="407">
                  <c:v>12457.700194999999</c:v>
                </c:pt>
                <c:pt idx="408">
                  <c:v>12468.009765999999</c:v>
                </c:pt>
                <c:pt idx="409">
                  <c:v>12342.330078000001</c:v>
                </c:pt>
                <c:pt idx="410">
                  <c:v>12307.150390999999</c:v>
                </c:pt>
                <c:pt idx="411">
                  <c:v>12234.179688</c:v>
                </c:pt>
                <c:pt idx="412">
                  <c:v>12288.540039</c:v>
                </c:pt>
                <c:pt idx="413">
                  <c:v>12380.940430000001</c:v>
                </c:pt>
                <c:pt idx="414">
                  <c:v>12428.080078000001</c:v>
                </c:pt>
                <c:pt idx="415">
                  <c:v>12263.830078000001</c:v>
                </c:pt>
                <c:pt idx="416">
                  <c:v>11925.25</c:v>
                </c:pt>
                <c:pt idx="417">
                  <c:v>12012.809569999999</c:v>
                </c:pt>
                <c:pt idx="418">
                  <c:v>12097.429688</c:v>
                </c:pt>
                <c:pt idx="419">
                  <c:v>11970.200194999999</c:v>
                </c:pt>
                <c:pt idx="420">
                  <c:v>12094.259765999999</c:v>
                </c:pt>
                <c:pt idx="421">
                  <c:v>12164.200194999999</c:v>
                </c:pt>
                <c:pt idx="422">
                  <c:v>12511.650390999999</c:v>
                </c:pt>
                <c:pt idx="423">
                  <c:v>12486.559569999999</c:v>
                </c:pt>
                <c:pt idx="424">
                  <c:v>12629.790039</c:v>
                </c:pt>
                <c:pt idx="425">
                  <c:v>12670.110352</c:v>
                </c:pt>
                <c:pt idx="426">
                  <c:v>12654.950194999999</c:v>
                </c:pt>
                <c:pt idx="427">
                  <c:v>12633.599609000001</c:v>
                </c:pt>
                <c:pt idx="428">
                  <c:v>12747.959961</c:v>
                </c:pt>
                <c:pt idx="429">
                  <c:v>12754.690430000001</c:v>
                </c:pt>
                <c:pt idx="430">
                  <c:v>12798.190430000001</c:v>
                </c:pt>
                <c:pt idx="431">
                  <c:v>12872.099609000001</c:v>
                </c:pt>
                <c:pt idx="432">
                  <c:v>12894.509765999999</c:v>
                </c:pt>
                <c:pt idx="433">
                  <c:v>12941.709961</c:v>
                </c:pt>
                <c:pt idx="434">
                  <c:v>12939.620117</c:v>
                </c:pt>
                <c:pt idx="435">
                  <c:v>12910.230469</c:v>
                </c:pt>
                <c:pt idx="436">
                  <c:v>12866.790039</c:v>
                </c:pt>
                <c:pt idx="437">
                  <c:v>12961.049805000001</c:v>
                </c:pt>
                <c:pt idx="438">
                  <c:v>13136.280273</c:v>
                </c:pt>
                <c:pt idx="439">
                  <c:v>13148.5</c:v>
                </c:pt>
                <c:pt idx="440">
                  <c:v>13179.889648</c:v>
                </c:pt>
                <c:pt idx="441">
                  <c:v>13289.459961</c:v>
                </c:pt>
                <c:pt idx="442">
                  <c:v>13228.559569999999</c:v>
                </c:pt>
                <c:pt idx="443">
                  <c:v>13198.370117</c:v>
                </c:pt>
                <c:pt idx="444">
                  <c:v>13283.509765999999</c:v>
                </c:pt>
                <c:pt idx="445">
                  <c:v>13230.070313</c:v>
                </c:pt>
                <c:pt idx="446">
                  <c:v>13180.230469</c:v>
                </c:pt>
                <c:pt idx="447">
                  <c:v>13241.75</c:v>
                </c:pt>
                <c:pt idx="448">
                  <c:v>13207.009765999999</c:v>
                </c:pt>
                <c:pt idx="449">
                  <c:v>13221.120117</c:v>
                </c:pt>
                <c:pt idx="450">
                  <c:v>13158.139648</c:v>
                </c:pt>
                <c:pt idx="451">
                  <c:v>13137.700194999999</c:v>
                </c:pt>
                <c:pt idx="452">
                  <c:v>13163.879883</c:v>
                </c:pt>
                <c:pt idx="453">
                  <c:v>13246.450194999999</c:v>
                </c:pt>
                <c:pt idx="454">
                  <c:v>13236.419921999999</c:v>
                </c:pt>
                <c:pt idx="455">
                  <c:v>13287.070313</c:v>
                </c:pt>
                <c:pt idx="456">
                  <c:v>13245.580078000001</c:v>
                </c:pt>
                <c:pt idx="457">
                  <c:v>13236.379883</c:v>
                </c:pt>
                <c:pt idx="458">
                  <c:v>12964.679688</c:v>
                </c:pt>
                <c:pt idx="459">
                  <c:v>12989.290039</c:v>
                </c:pt>
                <c:pt idx="460">
                  <c:v>13140.570313</c:v>
                </c:pt>
                <c:pt idx="461">
                  <c:v>13054.799805000001</c:v>
                </c:pt>
                <c:pt idx="462">
                  <c:v>13166.580078000001</c:v>
                </c:pt>
                <c:pt idx="463">
                  <c:v>13105.610352</c:v>
                </c:pt>
                <c:pt idx="464">
                  <c:v>13070.719727</c:v>
                </c:pt>
                <c:pt idx="465">
                  <c:v>13146.740234000001</c:v>
                </c:pt>
                <c:pt idx="466">
                  <c:v>13221.639648</c:v>
                </c:pt>
                <c:pt idx="467">
                  <c:v>13282.719727</c:v>
                </c:pt>
                <c:pt idx="468">
                  <c:v>13407.660156</c:v>
                </c:pt>
                <c:pt idx="469">
                  <c:v>13287.830078000001</c:v>
                </c:pt>
                <c:pt idx="470">
                  <c:v>13222.160156</c:v>
                </c:pt>
                <c:pt idx="471">
                  <c:v>13211.959961</c:v>
                </c:pt>
                <c:pt idx="472">
                  <c:v>13318.900390999999</c:v>
                </c:pt>
                <c:pt idx="473">
                  <c:v>13300.980469</c:v>
                </c:pt>
                <c:pt idx="474">
                  <c:v>13337.110352</c:v>
                </c:pt>
                <c:pt idx="475">
                  <c:v>13249.009765999999</c:v>
                </c:pt>
                <c:pt idx="476">
                  <c:v>13385.929688</c:v>
                </c:pt>
                <c:pt idx="477">
                  <c:v>13219.139648</c:v>
                </c:pt>
                <c:pt idx="478">
                  <c:v>13126.990234000001</c:v>
                </c:pt>
                <c:pt idx="479">
                  <c:v>13226.830078000001</c:v>
                </c:pt>
                <c:pt idx="480">
                  <c:v>13320.179688</c:v>
                </c:pt>
                <c:pt idx="481">
                  <c:v>13495.059569999999</c:v>
                </c:pt>
                <c:pt idx="482">
                  <c:v>13483.309569999999</c:v>
                </c:pt>
                <c:pt idx="483">
                  <c:v>13451.519531</c:v>
                </c:pt>
                <c:pt idx="484">
                  <c:v>13456.490234000001</c:v>
                </c:pt>
                <c:pt idx="485">
                  <c:v>13432.299805000001</c:v>
                </c:pt>
                <c:pt idx="486">
                  <c:v>13429.429688</c:v>
                </c:pt>
                <c:pt idx="487">
                  <c:v>13526.129883</c:v>
                </c:pt>
                <c:pt idx="488">
                  <c:v>13548.940430000001</c:v>
                </c:pt>
                <c:pt idx="489">
                  <c:v>13555.870117</c:v>
                </c:pt>
                <c:pt idx="490">
                  <c:v>13515.75</c:v>
                </c:pt>
                <c:pt idx="491">
                  <c:v>13388.419921999999</c:v>
                </c:pt>
                <c:pt idx="492">
                  <c:v>13576.679688</c:v>
                </c:pt>
                <c:pt idx="493">
                  <c:v>13204.769531</c:v>
                </c:pt>
                <c:pt idx="494">
                  <c:v>13323.690430000001</c:v>
                </c:pt>
                <c:pt idx="495">
                  <c:v>13345</c:v>
                </c:pt>
                <c:pt idx="496">
                  <c:v>13157.120117</c:v>
                </c:pt>
                <c:pt idx="497">
                  <c:v>12981.969727</c:v>
                </c:pt>
                <c:pt idx="498">
                  <c:v>13045.190430000001</c:v>
                </c:pt>
                <c:pt idx="499">
                  <c:v>13281.740234000001</c:v>
                </c:pt>
                <c:pt idx="500">
                  <c:v>13478.330078000001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71-4297-9BC2-5B1315D636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9584568"/>
        <c:axId val="649582328"/>
      </c:lineChart>
      <c:dateAx>
        <c:axId val="649584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82328"/>
        <c:crosses val="autoZero"/>
        <c:auto val="1"/>
        <c:lblOffset val="100"/>
        <c:baseTimeUnit val="days"/>
      </c:dateAx>
      <c:valAx>
        <c:axId val="649582328"/>
        <c:scaling>
          <c:orientation val="minMax"/>
          <c:min val="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84568"/>
        <c:crosses val="autoZero"/>
        <c:crossBetween val="between"/>
        <c:majorUnit val="1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NIKKEI 225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Data!$B$2:$B$502</c:f>
              <c:numCache>
                <c:formatCode>m/d/yyyy</c:formatCode>
                <c:ptCount val="501"/>
                <c:pt idx="0">
                  <c:v>43138</c:v>
                </c:pt>
                <c:pt idx="1">
                  <c:v>43139</c:v>
                </c:pt>
                <c:pt idx="2">
                  <c:v>43140</c:v>
                </c:pt>
                <c:pt idx="3">
                  <c:v>43143</c:v>
                </c:pt>
                <c:pt idx="4">
                  <c:v>43144</c:v>
                </c:pt>
                <c:pt idx="5">
                  <c:v>43145</c:v>
                </c:pt>
                <c:pt idx="6">
                  <c:v>43146</c:v>
                </c:pt>
                <c:pt idx="7">
                  <c:v>43147</c:v>
                </c:pt>
                <c:pt idx="8">
                  <c:v>43151</c:v>
                </c:pt>
                <c:pt idx="9">
                  <c:v>43152</c:v>
                </c:pt>
                <c:pt idx="10">
                  <c:v>43153</c:v>
                </c:pt>
                <c:pt idx="11">
                  <c:v>43154</c:v>
                </c:pt>
                <c:pt idx="12">
                  <c:v>43157</c:v>
                </c:pt>
                <c:pt idx="13">
                  <c:v>43158</c:v>
                </c:pt>
                <c:pt idx="14">
                  <c:v>43159</c:v>
                </c:pt>
                <c:pt idx="15">
                  <c:v>43160</c:v>
                </c:pt>
                <c:pt idx="16">
                  <c:v>43161</c:v>
                </c:pt>
                <c:pt idx="17">
                  <c:v>43164</c:v>
                </c:pt>
                <c:pt idx="18">
                  <c:v>43165</c:v>
                </c:pt>
                <c:pt idx="19">
                  <c:v>43166</c:v>
                </c:pt>
                <c:pt idx="20">
                  <c:v>43167</c:v>
                </c:pt>
                <c:pt idx="21">
                  <c:v>43168</c:v>
                </c:pt>
                <c:pt idx="22">
                  <c:v>43171</c:v>
                </c:pt>
                <c:pt idx="23">
                  <c:v>43172</c:v>
                </c:pt>
                <c:pt idx="24">
                  <c:v>43173</c:v>
                </c:pt>
                <c:pt idx="25">
                  <c:v>43174</c:v>
                </c:pt>
                <c:pt idx="26">
                  <c:v>43175</c:v>
                </c:pt>
                <c:pt idx="27">
                  <c:v>43178</c:v>
                </c:pt>
                <c:pt idx="28">
                  <c:v>43179</c:v>
                </c:pt>
                <c:pt idx="29">
                  <c:v>43180</c:v>
                </c:pt>
                <c:pt idx="30">
                  <c:v>43181</c:v>
                </c:pt>
                <c:pt idx="31">
                  <c:v>43182</c:v>
                </c:pt>
                <c:pt idx="32">
                  <c:v>43185</c:v>
                </c:pt>
                <c:pt idx="33">
                  <c:v>43186</c:v>
                </c:pt>
                <c:pt idx="34">
                  <c:v>43187</c:v>
                </c:pt>
                <c:pt idx="35">
                  <c:v>43188</c:v>
                </c:pt>
                <c:pt idx="36">
                  <c:v>43192</c:v>
                </c:pt>
                <c:pt idx="37">
                  <c:v>43193</c:v>
                </c:pt>
                <c:pt idx="38">
                  <c:v>43194</c:v>
                </c:pt>
                <c:pt idx="39">
                  <c:v>43195</c:v>
                </c:pt>
                <c:pt idx="40">
                  <c:v>43196</c:v>
                </c:pt>
                <c:pt idx="41">
                  <c:v>43199</c:v>
                </c:pt>
                <c:pt idx="42">
                  <c:v>43200</c:v>
                </c:pt>
                <c:pt idx="43">
                  <c:v>43201</c:v>
                </c:pt>
                <c:pt idx="44">
                  <c:v>43202</c:v>
                </c:pt>
                <c:pt idx="45">
                  <c:v>43203</c:v>
                </c:pt>
                <c:pt idx="46">
                  <c:v>43206</c:v>
                </c:pt>
                <c:pt idx="47">
                  <c:v>43207</c:v>
                </c:pt>
                <c:pt idx="48">
                  <c:v>43208</c:v>
                </c:pt>
                <c:pt idx="49">
                  <c:v>43209</c:v>
                </c:pt>
                <c:pt idx="50">
                  <c:v>43210</c:v>
                </c:pt>
                <c:pt idx="51">
                  <c:v>43213</c:v>
                </c:pt>
                <c:pt idx="52">
                  <c:v>43214</c:v>
                </c:pt>
                <c:pt idx="53">
                  <c:v>43215</c:v>
                </c:pt>
                <c:pt idx="54">
                  <c:v>43216</c:v>
                </c:pt>
                <c:pt idx="55">
                  <c:v>43217</c:v>
                </c:pt>
                <c:pt idx="56">
                  <c:v>43220</c:v>
                </c:pt>
                <c:pt idx="57">
                  <c:v>43221</c:v>
                </c:pt>
                <c:pt idx="58">
                  <c:v>43222</c:v>
                </c:pt>
                <c:pt idx="59">
                  <c:v>43223</c:v>
                </c:pt>
                <c:pt idx="60">
                  <c:v>43224</c:v>
                </c:pt>
                <c:pt idx="61">
                  <c:v>43227</c:v>
                </c:pt>
                <c:pt idx="62">
                  <c:v>43228</c:v>
                </c:pt>
                <c:pt idx="63">
                  <c:v>43229</c:v>
                </c:pt>
                <c:pt idx="64">
                  <c:v>43230</c:v>
                </c:pt>
                <c:pt idx="65">
                  <c:v>43231</c:v>
                </c:pt>
                <c:pt idx="66">
                  <c:v>43234</c:v>
                </c:pt>
                <c:pt idx="67">
                  <c:v>43235</c:v>
                </c:pt>
                <c:pt idx="68">
                  <c:v>43236</c:v>
                </c:pt>
                <c:pt idx="69">
                  <c:v>43237</c:v>
                </c:pt>
                <c:pt idx="70">
                  <c:v>43238</c:v>
                </c:pt>
                <c:pt idx="71">
                  <c:v>43241</c:v>
                </c:pt>
                <c:pt idx="72">
                  <c:v>43242</c:v>
                </c:pt>
                <c:pt idx="73">
                  <c:v>43243</c:v>
                </c:pt>
                <c:pt idx="74">
                  <c:v>43244</c:v>
                </c:pt>
                <c:pt idx="75">
                  <c:v>43245</c:v>
                </c:pt>
                <c:pt idx="76">
                  <c:v>43249</c:v>
                </c:pt>
                <c:pt idx="77">
                  <c:v>43250</c:v>
                </c:pt>
                <c:pt idx="78">
                  <c:v>43251</c:v>
                </c:pt>
                <c:pt idx="79">
                  <c:v>43252</c:v>
                </c:pt>
                <c:pt idx="80">
                  <c:v>43255</c:v>
                </c:pt>
                <c:pt idx="81">
                  <c:v>43256</c:v>
                </c:pt>
                <c:pt idx="82">
                  <c:v>43257</c:v>
                </c:pt>
                <c:pt idx="83">
                  <c:v>43258</c:v>
                </c:pt>
                <c:pt idx="84">
                  <c:v>43259</c:v>
                </c:pt>
                <c:pt idx="85">
                  <c:v>43262</c:v>
                </c:pt>
                <c:pt idx="86">
                  <c:v>43263</c:v>
                </c:pt>
                <c:pt idx="87">
                  <c:v>43264</c:v>
                </c:pt>
                <c:pt idx="88">
                  <c:v>43265</c:v>
                </c:pt>
                <c:pt idx="89">
                  <c:v>43266</c:v>
                </c:pt>
                <c:pt idx="90">
                  <c:v>43269</c:v>
                </c:pt>
                <c:pt idx="91">
                  <c:v>43270</c:v>
                </c:pt>
                <c:pt idx="92">
                  <c:v>43271</c:v>
                </c:pt>
                <c:pt idx="93">
                  <c:v>43272</c:v>
                </c:pt>
                <c:pt idx="94">
                  <c:v>43273</c:v>
                </c:pt>
                <c:pt idx="95">
                  <c:v>43276</c:v>
                </c:pt>
                <c:pt idx="96">
                  <c:v>43277</c:v>
                </c:pt>
                <c:pt idx="97">
                  <c:v>43278</c:v>
                </c:pt>
                <c:pt idx="98">
                  <c:v>43279</c:v>
                </c:pt>
                <c:pt idx="99">
                  <c:v>43280</c:v>
                </c:pt>
                <c:pt idx="100">
                  <c:v>43283</c:v>
                </c:pt>
                <c:pt idx="101">
                  <c:v>43284</c:v>
                </c:pt>
                <c:pt idx="102">
                  <c:v>43286</c:v>
                </c:pt>
                <c:pt idx="103">
                  <c:v>43287</c:v>
                </c:pt>
                <c:pt idx="104">
                  <c:v>43290</c:v>
                </c:pt>
                <c:pt idx="105">
                  <c:v>43291</c:v>
                </c:pt>
                <c:pt idx="106">
                  <c:v>43292</c:v>
                </c:pt>
                <c:pt idx="107">
                  <c:v>43293</c:v>
                </c:pt>
                <c:pt idx="108">
                  <c:v>43294</c:v>
                </c:pt>
                <c:pt idx="109">
                  <c:v>43297</c:v>
                </c:pt>
                <c:pt idx="110">
                  <c:v>43298</c:v>
                </c:pt>
                <c:pt idx="111">
                  <c:v>43299</c:v>
                </c:pt>
                <c:pt idx="112">
                  <c:v>43300</c:v>
                </c:pt>
                <c:pt idx="113">
                  <c:v>43301</c:v>
                </c:pt>
                <c:pt idx="114">
                  <c:v>43304</c:v>
                </c:pt>
                <c:pt idx="115">
                  <c:v>43305</c:v>
                </c:pt>
                <c:pt idx="116">
                  <c:v>43306</c:v>
                </c:pt>
                <c:pt idx="117">
                  <c:v>43307</c:v>
                </c:pt>
                <c:pt idx="118">
                  <c:v>43308</c:v>
                </c:pt>
                <c:pt idx="119">
                  <c:v>43311</c:v>
                </c:pt>
                <c:pt idx="120">
                  <c:v>43312</c:v>
                </c:pt>
                <c:pt idx="121">
                  <c:v>43313</c:v>
                </c:pt>
                <c:pt idx="122">
                  <c:v>43314</c:v>
                </c:pt>
                <c:pt idx="123">
                  <c:v>43315</c:v>
                </c:pt>
                <c:pt idx="124">
                  <c:v>43318</c:v>
                </c:pt>
                <c:pt idx="125">
                  <c:v>43319</c:v>
                </c:pt>
                <c:pt idx="126">
                  <c:v>43320</c:v>
                </c:pt>
                <c:pt idx="127">
                  <c:v>43321</c:v>
                </c:pt>
                <c:pt idx="128">
                  <c:v>43322</c:v>
                </c:pt>
                <c:pt idx="129">
                  <c:v>43325</c:v>
                </c:pt>
                <c:pt idx="130">
                  <c:v>43326</c:v>
                </c:pt>
                <c:pt idx="131">
                  <c:v>43327</c:v>
                </c:pt>
                <c:pt idx="132">
                  <c:v>43328</c:v>
                </c:pt>
                <c:pt idx="133">
                  <c:v>43329</c:v>
                </c:pt>
                <c:pt idx="134">
                  <c:v>43332</c:v>
                </c:pt>
                <c:pt idx="135">
                  <c:v>43333</c:v>
                </c:pt>
                <c:pt idx="136">
                  <c:v>43334</c:v>
                </c:pt>
                <c:pt idx="137">
                  <c:v>43335</c:v>
                </c:pt>
                <c:pt idx="138">
                  <c:v>43336</c:v>
                </c:pt>
                <c:pt idx="139">
                  <c:v>43339</c:v>
                </c:pt>
                <c:pt idx="140">
                  <c:v>43340</c:v>
                </c:pt>
                <c:pt idx="141">
                  <c:v>43341</c:v>
                </c:pt>
                <c:pt idx="142">
                  <c:v>43342</c:v>
                </c:pt>
                <c:pt idx="143">
                  <c:v>43343</c:v>
                </c:pt>
                <c:pt idx="144">
                  <c:v>43347</c:v>
                </c:pt>
                <c:pt idx="145">
                  <c:v>43348</c:v>
                </c:pt>
                <c:pt idx="146">
                  <c:v>43349</c:v>
                </c:pt>
                <c:pt idx="147">
                  <c:v>43350</c:v>
                </c:pt>
                <c:pt idx="148">
                  <c:v>43353</c:v>
                </c:pt>
                <c:pt idx="149">
                  <c:v>43354</c:v>
                </c:pt>
                <c:pt idx="150">
                  <c:v>43355</c:v>
                </c:pt>
                <c:pt idx="151">
                  <c:v>43356</c:v>
                </c:pt>
                <c:pt idx="152">
                  <c:v>43357</c:v>
                </c:pt>
                <c:pt idx="153">
                  <c:v>43360</c:v>
                </c:pt>
                <c:pt idx="154">
                  <c:v>43361</c:v>
                </c:pt>
                <c:pt idx="155">
                  <c:v>43362</c:v>
                </c:pt>
                <c:pt idx="156">
                  <c:v>43363</c:v>
                </c:pt>
                <c:pt idx="157">
                  <c:v>43364</c:v>
                </c:pt>
                <c:pt idx="158">
                  <c:v>43367</c:v>
                </c:pt>
                <c:pt idx="159">
                  <c:v>43368</c:v>
                </c:pt>
                <c:pt idx="160">
                  <c:v>43369</c:v>
                </c:pt>
                <c:pt idx="161">
                  <c:v>43370</c:v>
                </c:pt>
                <c:pt idx="162">
                  <c:v>43371</c:v>
                </c:pt>
                <c:pt idx="163">
                  <c:v>43374</c:v>
                </c:pt>
                <c:pt idx="164">
                  <c:v>43375</c:v>
                </c:pt>
                <c:pt idx="165">
                  <c:v>43376</c:v>
                </c:pt>
                <c:pt idx="166">
                  <c:v>43377</c:v>
                </c:pt>
                <c:pt idx="167">
                  <c:v>43378</c:v>
                </c:pt>
                <c:pt idx="168">
                  <c:v>43381</c:v>
                </c:pt>
                <c:pt idx="169">
                  <c:v>43382</c:v>
                </c:pt>
                <c:pt idx="170">
                  <c:v>43383</c:v>
                </c:pt>
                <c:pt idx="171">
                  <c:v>43384</c:v>
                </c:pt>
                <c:pt idx="172">
                  <c:v>43385</c:v>
                </c:pt>
                <c:pt idx="173">
                  <c:v>43388</c:v>
                </c:pt>
                <c:pt idx="174">
                  <c:v>43389</c:v>
                </c:pt>
                <c:pt idx="175">
                  <c:v>43390</c:v>
                </c:pt>
                <c:pt idx="176">
                  <c:v>43391</c:v>
                </c:pt>
                <c:pt idx="177">
                  <c:v>43392</c:v>
                </c:pt>
                <c:pt idx="178">
                  <c:v>43395</c:v>
                </c:pt>
                <c:pt idx="179">
                  <c:v>43396</c:v>
                </c:pt>
                <c:pt idx="180">
                  <c:v>43397</c:v>
                </c:pt>
                <c:pt idx="181">
                  <c:v>43398</c:v>
                </c:pt>
                <c:pt idx="182">
                  <c:v>43399</c:v>
                </c:pt>
                <c:pt idx="183">
                  <c:v>43402</c:v>
                </c:pt>
                <c:pt idx="184">
                  <c:v>43403</c:v>
                </c:pt>
                <c:pt idx="185">
                  <c:v>43404</c:v>
                </c:pt>
                <c:pt idx="186">
                  <c:v>43405</c:v>
                </c:pt>
                <c:pt idx="187">
                  <c:v>43406</c:v>
                </c:pt>
                <c:pt idx="188">
                  <c:v>43409</c:v>
                </c:pt>
                <c:pt idx="189">
                  <c:v>43410</c:v>
                </c:pt>
                <c:pt idx="190">
                  <c:v>43411</c:v>
                </c:pt>
                <c:pt idx="191">
                  <c:v>43412</c:v>
                </c:pt>
                <c:pt idx="192">
                  <c:v>43413</c:v>
                </c:pt>
                <c:pt idx="193">
                  <c:v>43416</c:v>
                </c:pt>
                <c:pt idx="194">
                  <c:v>43417</c:v>
                </c:pt>
                <c:pt idx="195">
                  <c:v>43418</c:v>
                </c:pt>
                <c:pt idx="196">
                  <c:v>43419</c:v>
                </c:pt>
                <c:pt idx="197">
                  <c:v>43420</c:v>
                </c:pt>
                <c:pt idx="198">
                  <c:v>43423</c:v>
                </c:pt>
                <c:pt idx="199">
                  <c:v>43424</c:v>
                </c:pt>
                <c:pt idx="200">
                  <c:v>43425</c:v>
                </c:pt>
                <c:pt idx="201">
                  <c:v>43427</c:v>
                </c:pt>
                <c:pt idx="202">
                  <c:v>43430</c:v>
                </c:pt>
                <c:pt idx="203">
                  <c:v>43431</c:v>
                </c:pt>
                <c:pt idx="204">
                  <c:v>43432</c:v>
                </c:pt>
                <c:pt idx="205">
                  <c:v>43433</c:v>
                </c:pt>
                <c:pt idx="206">
                  <c:v>43434</c:v>
                </c:pt>
                <c:pt idx="207">
                  <c:v>43437</c:v>
                </c:pt>
                <c:pt idx="208">
                  <c:v>43438</c:v>
                </c:pt>
                <c:pt idx="209">
                  <c:v>43440</c:v>
                </c:pt>
                <c:pt idx="210">
                  <c:v>43441</c:v>
                </c:pt>
                <c:pt idx="211">
                  <c:v>43444</c:v>
                </c:pt>
                <c:pt idx="212">
                  <c:v>43445</c:v>
                </c:pt>
                <c:pt idx="213">
                  <c:v>43446</c:v>
                </c:pt>
                <c:pt idx="214">
                  <c:v>43447</c:v>
                </c:pt>
                <c:pt idx="215">
                  <c:v>43448</c:v>
                </c:pt>
                <c:pt idx="216">
                  <c:v>43451</c:v>
                </c:pt>
                <c:pt idx="217">
                  <c:v>43452</c:v>
                </c:pt>
                <c:pt idx="218">
                  <c:v>43453</c:v>
                </c:pt>
                <c:pt idx="219">
                  <c:v>43454</c:v>
                </c:pt>
                <c:pt idx="220">
                  <c:v>43455</c:v>
                </c:pt>
                <c:pt idx="221">
                  <c:v>43458</c:v>
                </c:pt>
                <c:pt idx="222">
                  <c:v>43460</c:v>
                </c:pt>
                <c:pt idx="223">
                  <c:v>43461</c:v>
                </c:pt>
                <c:pt idx="224">
                  <c:v>43462</c:v>
                </c:pt>
                <c:pt idx="225">
                  <c:v>43465</c:v>
                </c:pt>
                <c:pt idx="226">
                  <c:v>43467</c:v>
                </c:pt>
                <c:pt idx="227">
                  <c:v>43468</c:v>
                </c:pt>
                <c:pt idx="228">
                  <c:v>43469</c:v>
                </c:pt>
                <c:pt idx="229">
                  <c:v>43472</c:v>
                </c:pt>
                <c:pt idx="230">
                  <c:v>43473</c:v>
                </c:pt>
                <c:pt idx="231">
                  <c:v>43474</c:v>
                </c:pt>
                <c:pt idx="232">
                  <c:v>43475</c:v>
                </c:pt>
                <c:pt idx="233">
                  <c:v>43476</c:v>
                </c:pt>
                <c:pt idx="234">
                  <c:v>43479</c:v>
                </c:pt>
                <c:pt idx="235">
                  <c:v>43480</c:v>
                </c:pt>
                <c:pt idx="236">
                  <c:v>43481</c:v>
                </c:pt>
                <c:pt idx="237">
                  <c:v>43482</c:v>
                </c:pt>
                <c:pt idx="238">
                  <c:v>43483</c:v>
                </c:pt>
                <c:pt idx="239">
                  <c:v>43487</c:v>
                </c:pt>
                <c:pt idx="240">
                  <c:v>43488</c:v>
                </c:pt>
                <c:pt idx="241">
                  <c:v>43489</c:v>
                </c:pt>
                <c:pt idx="242">
                  <c:v>43490</c:v>
                </c:pt>
                <c:pt idx="243">
                  <c:v>43493</c:v>
                </c:pt>
                <c:pt idx="244">
                  <c:v>43494</c:v>
                </c:pt>
                <c:pt idx="245">
                  <c:v>43495</c:v>
                </c:pt>
                <c:pt idx="246">
                  <c:v>43496</c:v>
                </c:pt>
                <c:pt idx="247">
                  <c:v>43497</c:v>
                </c:pt>
                <c:pt idx="248">
                  <c:v>43500</c:v>
                </c:pt>
                <c:pt idx="249">
                  <c:v>43501</c:v>
                </c:pt>
                <c:pt idx="250">
                  <c:v>43502</c:v>
                </c:pt>
                <c:pt idx="251">
                  <c:v>43503</c:v>
                </c:pt>
                <c:pt idx="252">
                  <c:v>43504</c:v>
                </c:pt>
                <c:pt idx="253">
                  <c:v>43507</c:v>
                </c:pt>
                <c:pt idx="254">
                  <c:v>43508</c:v>
                </c:pt>
                <c:pt idx="255">
                  <c:v>43509</c:v>
                </c:pt>
                <c:pt idx="256">
                  <c:v>43510</c:v>
                </c:pt>
                <c:pt idx="257">
                  <c:v>43511</c:v>
                </c:pt>
                <c:pt idx="258">
                  <c:v>43515</c:v>
                </c:pt>
                <c:pt idx="259">
                  <c:v>43516</c:v>
                </c:pt>
                <c:pt idx="260">
                  <c:v>43517</c:v>
                </c:pt>
                <c:pt idx="261">
                  <c:v>43518</c:v>
                </c:pt>
                <c:pt idx="262">
                  <c:v>43521</c:v>
                </c:pt>
                <c:pt idx="263">
                  <c:v>43522</c:v>
                </c:pt>
                <c:pt idx="264">
                  <c:v>43523</c:v>
                </c:pt>
                <c:pt idx="265">
                  <c:v>43524</c:v>
                </c:pt>
                <c:pt idx="266">
                  <c:v>43525</c:v>
                </c:pt>
                <c:pt idx="267">
                  <c:v>43528</c:v>
                </c:pt>
                <c:pt idx="268">
                  <c:v>43529</c:v>
                </c:pt>
                <c:pt idx="269">
                  <c:v>43530</c:v>
                </c:pt>
                <c:pt idx="270">
                  <c:v>43531</c:v>
                </c:pt>
                <c:pt idx="271">
                  <c:v>43532</c:v>
                </c:pt>
                <c:pt idx="272">
                  <c:v>43535</c:v>
                </c:pt>
                <c:pt idx="273">
                  <c:v>43536</c:v>
                </c:pt>
                <c:pt idx="274">
                  <c:v>43537</c:v>
                </c:pt>
                <c:pt idx="275">
                  <c:v>43538</c:v>
                </c:pt>
                <c:pt idx="276">
                  <c:v>43539</c:v>
                </c:pt>
                <c:pt idx="277">
                  <c:v>43542</c:v>
                </c:pt>
                <c:pt idx="278">
                  <c:v>43543</c:v>
                </c:pt>
                <c:pt idx="279">
                  <c:v>43544</c:v>
                </c:pt>
                <c:pt idx="280">
                  <c:v>43545</c:v>
                </c:pt>
                <c:pt idx="281">
                  <c:v>43546</c:v>
                </c:pt>
                <c:pt idx="282">
                  <c:v>43549</c:v>
                </c:pt>
                <c:pt idx="283">
                  <c:v>43550</c:v>
                </c:pt>
                <c:pt idx="284">
                  <c:v>43551</c:v>
                </c:pt>
                <c:pt idx="285">
                  <c:v>43552</c:v>
                </c:pt>
                <c:pt idx="286">
                  <c:v>43553</c:v>
                </c:pt>
                <c:pt idx="287">
                  <c:v>43556</c:v>
                </c:pt>
                <c:pt idx="288">
                  <c:v>43557</c:v>
                </c:pt>
                <c:pt idx="289">
                  <c:v>43558</c:v>
                </c:pt>
                <c:pt idx="290">
                  <c:v>43559</c:v>
                </c:pt>
                <c:pt idx="291">
                  <c:v>43560</c:v>
                </c:pt>
                <c:pt idx="292">
                  <c:v>43563</c:v>
                </c:pt>
                <c:pt idx="293">
                  <c:v>43564</c:v>
                </c:pt>
                <c:pt idx="294">
                  <c:v>43565</c:v>
                </c:pt>
                <c:pt idx="295">
                  <c:v>43566</c:v>
                </c:pt>
                <c:pt idx="296">
                  <c:v>43567</c:v>
                </c:pt>
                <c:pt idx="297">
                  <c:v>43570</c:v>
                </c:pt>
                <c:pt idx="298">
                  <c:v>43571</c:v>
                </c:pt>
                <c:pt idx="299">
                  <c:v>43572</c:v>
                </c:pt>
                <c:pt idx="300">
                  <c:v>43573</c:v>
                </c:pt>
                <c:pt idx="301">
                  <c:v>43577</c:v>
                </c:pt>
                <c:pt idx="302">
                  <c:v>43578</c:v>
                </c:pt>
                <c:pt idx="303">
                  <c:v>43579</c:v>
                </c:pt>
                <c:pt idx="304">
                  <c:v>43580</c:v>
                </c:pt>
                <c:pt idx="305">
                  <c:v>43581</c:v>
                </c:pt>
                <c:pt idx="306">
                  <c:v>43584</c:v>
                </c:pt>
                <c:pt idx="307">
                  <c:v>43585</c:v>
                </c:pt>
                <c:pt idx="308">
                  <c:v>43586</c:v>
                </c:pt>
                <c:pt idx="309">
                  <c:v>43587</c:v>
                </c:pt>
                <c:pt idx="310">
                  <c:v>43588</c:v>
                </c:pt>
                <c:pt idx="311">
                  <c:v>43591</c:v>
                </c:pt>
                <c:pt idx="312">
                  <c:v>43592</c:v>
                </c:pt>
                <c:pt idx="313">
                  <c:v>43593</c:v>
                </c:pt>
                <c:pt idx="314">
                  <c:v>43594</c:v>
                </c:pt>
                <c:pt idx="315">
                  <c:v>43595</c:v>
                </c:pt>
                <c:pt idx="316">
                  <c:v>43598</c:v>
                </c:pt>
                <c:pt idx="317">
                  <c:v>43599</c:v>
                </c:pt>
                <c:pt idx="318">
                  <c:v>43600</c:v>
                </c:pt>
                <c:pt idx="319">
                  <c:v>43601</c:v>
                </c:pt>
                <c:pt idx="320">
                  <c:v>43602</c:v>
                </c:pt>
                <c:pt idx="321">
                  <c:v>43605</c:v>
                </c:pt>
                <c:pt idx="322">
                  <c:v>43606</c:v>
                </c:pt>
                <c:pt idx="323">
                  <c:v>43607</c:v>
                </c:pt>
                <c:pt idx="324">
                  <c:v>43608</c:v>
                </c:pt>
                <c:pt idx="325">
                  <c:v>43609</c:v>
                </c:pt>
                <c:pt idx="326">
                  <c:v>43613</c:v>
                </c:pt>
                <c:pt idx="327">
                  <c:v>43614</c:v>
                </c:pt>
                <c:pt idx="328">
                  <c:v>43615</c:v>
                </c:pt>
                <c:pt idx="329">
                  <c:v>43616</c:v>
                </c:pt>
                <c:pt idx="330">
                  <c:v>43619</c:v>
                </c:pt>
                <c:pt idx="331">
                  <c:v>43620</c:v>
                </c:pt>
                <c:pt idx="332">
                  <c:v>43621</c:v>
                </c:pt>
                <c:pt idx="333">
                  <c:v>43622</c:v>
                </c:pt>
                <c:pt idx="334">
                  <c:v>43623</c:v>
                </c:pt>
                <c:pt idx="335">
                  <c:v>43626</c:v>
                </c:pt>
                <c:pt idx="336">
                  <c:v>43627</c:v>
                </c:pt>
                <c:pt idx="337">
                  <c:v>43628</c:v>
                </c:pt>
                <c:pt idx="338">
                  <c:v>43629</c:v>
                </c:pt>
                <c:pt idx="339">
                  <c:v>43630</c:v>
                </c:pt>
                <c:pt idx="340">
                  <c:v>43633</c:v>
                </c:pt>
                <c:pt idx="341">
                  <c:v>43634</c:v>
                </c:pt>
                <c:pt idx="342">
                  <c:v>43635</c:v>
                </c:pt>
                <c:pt idx="343">
                  <c:v>43636</c:v>
                </c:pt>
                <c:pt idx="344">
                  <c:v>43637</c:v>
                </c:pt>
                <c:pt idx="345">
                  <c:v>43640</c:v>
                </c:pt>
                <c:pt idx="346">
                  <c:v>43641</c:v>
                </c:pt>
                <c:pt idx="347">
                  <c:v>43642</c:v>
                </c:pt>
                <c:pt idx="348">
                  <c:v>43643</c:v>
                </c:pt>
                <c:pt idx="349">
                  <c:v>43644</c:v>
                </c:pt>
                <c:pt idx="350">
                  <c:v>43647</c:v>
                </c:pt>
                <c:pt idx="351">
                  <c:v>43648</c:v>
                </c:pt>
                <c:pt idx="352">
                  <c:v>43649</c:v>
                </c:pt>
                <c:pt idx="353">
                  <c:v>43651</c:v>
                </c:pt>
                <c:pt idx="354">
                  <c:v>43654</c:v>
                </c:pt>
                <c:pt idx="355">
                  <c:v>43655</c:v>
                </c:pt>
                <c:pt idx="356">
                  <c:v>43656</c:v>
                </c:pt>
                <c:pt idx="357">
                  <c:v>43657</c:v>
                </c:pt>
                <c:pt idx="358">
                  <c:v>43658</c:v>
                </c:pt>
                <c:pt idx="359">
                  <c:v>43661</c:v>
                </c:pt>
                <c:pt idx="360">
                  <c:v>43662</c:v>
                </c:pt>
                <c:pt idx="361">
                  <c:v>43663</c:v>
                </c:pt>
                <c:pt idx="362">
                  <c:v>43664</c:v>
                </c:pt>
                <c:pt idx="363">
                  <c:v>43665</c:v>
                </c:pt>
                <c:pt idx="364">
                  <c:v>43668</c:v>
                </c:pt>
                <c:pt idx="365">
                  <c:v>43669</c:v>
                </c:pt>
                <c:pt idx="366">
                  <c:v>43670</c:v>
                </c:pt>
                <c:pt idx="367">
                  <c:v>43671</c:v>
                </c:pt>
                <c:pt idx="368">
                  <c:v>43672</c:v>
                </c:pt>
                <c:pt idx="369">
                  <c:v>43675</c:v>
                </c:pt>
                <c:pt idx="370">
                  <c:v>43676</c:v>
                </c:pt>
                <c:pt idx="371">
                  <c:v>43677</c:v>
                </c:pt>
                <c:pt idx="372">
                  <c:v>43678</c:v>
                </c:pt>
                <c:pt idx="373">
                  <c:v>43679</c:v>
                </c:pt>
                <c:pt idx="374">
                  <c:v>43682</c:v>
                </c:pt>
                <c:pt idx="375">
                  <c:v>43683</c:v>
                </c:pt>
                <c:pt idx="376">
                  <c:v>43684</c:v>
                </c:pt>
                <c:pt idx="377">
                  <c:v>43685</c:v>
                </c:pt>
                <c:pt idx="378">
                  <c:v>43686</c:v>
                </c:pt>
                <c:pt idx="379">
                  <c:v>43689</c:v>
                </c:pt>
                <c:pt idx="380">
                  <c:v>43690</c:v>
                </c:pt>
                <c:pt idx="381">
                  <c:v>43691</c:v>
                </c:pt>
                <c:pt idx="382">
                  <c:v>43692</c:v>
                </c:pt>
                <c:pt idx="383">
                  <c:v>43693</c:v>
                </c:pt>
                <c:pt idx="384">
                  <c:v>43696</c:v>
                </c:pt>
                <c:pt idx="385">
                  <c:v>43697</c:v>
                </c:pt>
                <c:pt idx="386">
                  <c:v>43698</c:v>
                </c:pt>
                <c:pt idx="387">
                  <c:v>43699</c:v>
                </c:pt>
                <c:pt idx="388">
                  <c:v>43700</c:v>
                </c:pt>
                <c:pt idx="389">
                  <c:v>43703</c:v>
                </c:pt>
                <c:pt idx="390">
                  <c:v>43704</c:v>
                </c:pt>
                <c:pt idx="391">
                  <c:v>43705</c:v>
                </c:pt>
                <c:pt idx="392">
                  <c:v>43706</c:v>
                </c:pt>
                <c:pt idx="393">
                  <c:v>43707</c:v>
                </c:pt>
                <c:pt idx="394">
                  <c:v>43711</c:v>
                </c:pt>
                <c:pt idx="395">
                  <c:v>43712</c:v>
                </c:pt>
                <c:pt idx="396">
                  <c:v>43713</c:v>
                </c:pt>
                <c:pt idx="397">
                  <c:v>43714</c:v>
                </c:pt>
                <c:pt idx="398">
                  <c:v>43717</c:v>
                </c:pt>
                <c:pt idx="399">
                  <c:v>43718</c:v>
                </c:pt>
                <c:pt idx="400">
                  <c:v>43719</c:v>
                </c:pt>
                <c:pt idx="401">
                  <c:v>43720</c:v>
                </c:pt>
                <c:pt idx="402">
                  <c:v>43721</c:v>
                </c:pt>
                <c:pt idx="403">
                  <c:v>43724</c:v>
                </c:pt>
                <c:pt idx="404">
                  <c:v>43725</c:v>
                </c:pt>
                <c:pt idx="405">
                  <c:v>43726</c:v>
                </c:pt>
                <c:pt idx="406">
                  <c:v>43727</c:v>
                </c:pt>
                <c:pt idx="407">
                  <c:v>43728</c:v>
                </c:pt>
                <c:pt idx="408">
                  <c:v>43731</c:v>
                </c:pt>
                <c:pt idx="409">
                  <c:v>43732</c:v>
                </c:pt>
                <c:pt idx="410">
                  <c:v>43733</c:v>
                </c:pt>
                <c:pt idx="411">
                  <c:v>43734</c:v>
                </c:pt>
                <c:pt idx="412">
                  <c:v>43735</c:v>
                </c:pt>
                <c:pt idx="413">
                  <c:v>43738</c:v>
                </c:pt>
                <c:pt idx="414">
                  <c:v>43739</c:v>
                </c:pt>
                <c:pt idx="415">
                  <c:v>43740</c:v>
                </c:pt>
                <c:pt idx="416">
                  <c:v>43741</c:v>
                </c:pt>
                <c:pt idx="417">
                  <c:v>43742</c:v>
                </c:pt>
                <c:pt idx="418">
                  <c:v>43745</c:v>
                </c:pt>
                <c:pt idx="419">
                  <c:v>43746</c:v>
                </c:pt>
                <c:pt idx="420">
                  <c:v>43747</c:v>
                </c:pt>
                <c:pt idx="421">
                  <c:v>43748</c:v>
                </c:pt>
                <c:pt idx="422">
                  <c:v>43749</c:v>
                </c:pt>
                <c:pt idx="423">
                  <c:v>43752</c:v>
                </c:pt>
                <c:pt idx="424">
                  <c:v>43753</c:v>
                </c:pt>
                <c:pt idx="425">
                  <c:v>43754</c:v>
                </c:pt>
                <c:pt idx="426">
                  <c:v>43755</c:v>
                </c:pt>
                <c:pt idx="427">
                  <c:v>43756</c:v>
                </c:pt>
                <c:pt idx="428">
                  <c:v>43759</c:v>
                </c:pt>
                <c:pt idx="429">
                  <c:v>43760</c:v>
                </c:pt>
                <c:pt idx="430">
                  <c:v>43761</c:v>
                </c:pt>
                <c:pt idx="431">
                  <c:v>43762</c:v>
                </c:pt>
                <c:pt idx="432">
                  <c:v>43763</c:v>
                </c:pt>
                <c:pt idx="433">
                  <c:v>43766</c:v>
                </c:pt>
                <c:pt idx="434">
                  <c:v>43767</c:v>
                </c:pt>
                <c:pt idx="435">
                  <c:v>43768</c:v>
                </c:pt>
                <c:pt idx="436">
                  <c:v>43769</c:v>
                </c:pt>
                <c:pt idx="437">
                  <c:v>43770</c:v>
                </c:pt>
                <c:pt idx="438">
                  <c:v>43773</c:v>
                </c:pt>
                <c:pt idx="439">
                  <c:v>43774</c:v>
                </c:pt>
                <c:pt idx="440">
                  <c:v>43775</c:v>
                </c:pt>
                <c:pt idx="441">
                  <c:v>43776</c:v>
                </c:pt>
                <c:pt idx="442">
                  <c:v>43777</c:v>
                </c:pt>
                <c:pt idx="443">
                  <c:v>43780</c:v>
                </c:pt>
                <c:pt idx="444">
                  <c:v>43781</c:v>
                </c:pt>
                <c:pt idx="445">
                  <c:v>43782</c:v>
                </c:pt>
                <c:pt idx="446">
                  <c:v>43783</c:v>
                </c:pt>
                <c:pt idx="447">
                  <c:v>43784</c:v>
                </c:pt>
                <c:pt idx="448">
                  <c:v>43787</c:v>
                </c:pt>
                <c:pt idx="449">
                  <c:v>43788</c:v>
                </c:pt>
                <c:pt idx="450">
                  <c:v>43789</c:v>
                </c:pt>
                <c:pt idx="451">
                  <c:v>43790</c:v>
                </c:pt>
                <c:pt idx="452">
                  <c:v>43791</c:v>
                </c:pt>
                <c:pt idx="453">
                  <c:v>43794</c:v>
                </c:pt>
                <c:pt idx="454">
                  <c:v>43795</c:v>
                </c:pt>
                <c:pt idx="455">
                  <c:v>43796</c:v>
                </c:pt>
                <c:pt idx="456">
                  <c:v>43798</c:v>
                </c:pt>
                <c:pt idx="457">
                  <c:v>43801</c:v>
                </c:pt>
                <c:pt idx="458">
                  <c:v>43802</c:v>
                </c:pt>
                <c:pt idx="459">
                  <c:v>43803</c:v>
                </c:pt>
                <c:pt idx="460">
                  <c:v>43804</c:v>
                </c:pt>
                <c:pt idx="461">
                  <c:v>43805</c:v>
                </c:pt>
                <c:pt idx="462">
                  <c:v>43808</c:v>
                </c:pt>
                <c:pt idx="463">
                  <c:v>43809</c:v>
                </c:pt>
                <c:pt idx="464">
                  <c:v>43810</c:v>
                </c:pt>
                <c:pt idx="465">
                  <c:v>43811</c:v>
                </c:pt>
                <c:pt idx="466">
                  <c:v>43812</c:v>
                </c:pt>
                <c:pt idx="467">
                  <c:v>43815</c:v>
                </c:pt>
                <c:pt idx="468">
                  <c:v>43816</c:v>
                </c:pt>
                <c:pt idx="469">
                  <c:v>43817</c:v>
                </c:pt>
                <c:pt idx="470">
                  <c:v>43818</c:v>
                </c:pt>
                <c:pt idx="471">
                  <c:v>43819</c:v>
                </c:pt>
                <c:pt idx="472">
                  <c:v>43822</c:v>
                </c:pt>
                <c:pt idx="473">
                  <c:v>43823</c:v>
                </c:pt>
                <c:pt idx="474">
                  <c:v>43825</c:v>
                </c:pt>
                <c:pt idx="475">
                  <c:v>43826</c:v>
                </c:pt>
                <c:pt idx="476">
                  <c:v>43829</c:v>
                </c:pt>
                <c:pt idx="477">
                  <c:v>43830</c:v>
                </c:pt>
                <c:pt idx="478">
                  <c:v>43832</c:v>
                </c:pt>
                <c:pt idx="479">
                  <c:v>43833</c:v>
                </c:pt>
                <c:pt idx="480">
                  <c:v>43836</c:v>
                </c:pt>
                <c:pt idx="481">
                  <c:v>43837</c:v>
                </c:pt>
                <c:pt idx="482">
                  <c:v>43838</c:v>
                </c:pt>
                <c:pt idx="483">
                  <c:v>43839</c:v>
                </c:pt>
                <c:pt idx="484">
                  <c:v>43840</c:v>
                </c:pt>
                <c:pt idx="485">
                  <c:v>43843</c:v>
                </c:pt>
                <c:pt idx="486">
                  <c:v>43844</c:v>
                </c:pt>
                <c:pt idx="487">
                  <c:v>43845</c:v>
                </c:pt>
                <c:pt idx="488">
                  <c:v>43846</c:v>
                </c:pt>
                <c:pt idx="489">
                  <c:v>43847</c:v>
                </c:pt>
                <c:pt idx="490">
                  <c:v>43851</c:v>
                </c:pt>
                <c:pt idx="491">
                  <c:v>43852</c:v>
                </c:pt>
                <c:pt idx="492">
                  <c:v>43853</c:v>
                </c:pt>
                <c:pt idx="493">
                  <c:v>43854</c:v>
                </c:pt>
                <c:pt idx="494">
                  <c:v>43857</c:v>
                </c:pt>
                <c:pt idx="495">
                  <c:v>43858</c:v>
                </c:pt>
                <c:pt idx="496">
                  <c:v>43859</c:v>
                </c:pt>
                <c:pt idx="497">
                  <c:v>43860</c:v>
                </c:pt>
                <c:pt idx="498">
                  <c:v>43861</c:v>
                </c:pt>
                <c:pt idx="499">
                  <c:v>43864</c:v>
                </c:pt>
                <c:pt idx="500">
                  <c:v>43864</c:v>
                </c:pt>
              </c:numCache>
            </c:numRef>
          </c:cat>
          <c:val>
            <c:numRef>
              <c:f>Data!$J$2:$J$502</c:f>
              <c:numCache>
                <c:formatCode>General</c:formatCode>
                <c:ptCount val="501"/>
                <c:pt idx="0">
                  <c:v>21645.369140999999</c:v>
                </c:pt>
                <c:pt idx="1">
                  <c:v>21890.859375</c:v>
                </c:pt>
                <c:pt idx="2">
                  <c:v>21382.619140999999</c:v>
                </c:pt>
                <c:pt idx="3">
                  <c:v>21382.619140999999</c:v>
                </c:pt>
                <c:pt idx="4">
                  <c:v>21244.679688</c:v>
                </c:pt>
                <c:pt idx="5">
                  <c:v>21154.169922000001</c:v>
                </c:pt>
                <c:pt idx="6">
                  <c:v>21464.980468999998</c:v>
                </c:pt>
                <c:pt idx="7">
                  <c:v>21720.25</c:v>
                </c:pt>
                <c:pt idx="8">
                  <c:v>22149.210938</c:v>
                </c:pt>
                <c:pt idx="9">
                  <c:v>21925.099609000001</c:v>
                </c:pt>
                <c:pt idx="10">
                  <c:v>21970.810547000001</c:v>
                </c:pt>
                <c:pt idx="11">
                  <c:v>21736.439452999999</c:v>
                </c:pt>
                <c:pt idx="12">
                  <c:v>21892.779297000001</c:v>
                </c:pt>
                <c:pt idx="13">
                  <c:v>22153.630859000001</c:v>
                </c:pt>
                <c:pt idx="14">
                  <c:v>22389.859375</c:v>
                </c:pt>
                <c:pt idx="15">
                  <c:v>22068.240234000001</c:v>
                </c:pt>
                <c:pt idx="16">
                  <c:v>21724.470702999999</c:v>
                </c:pt>
                <c:pt idx="17">
                  <c:v>21181.640625</c:v>
                </c:pt>
                <c:pt idx="18">
                  <c:v>21042.089843999998</c:v>
                </c:pt>
                <c:pt idx="19">
                  <c:v>21417.759765999999</c:v>
                </c:pt>
                <c:pt idx="20">
                  <c:v>21252.720702999999</c:v>
                </c:pt>
                <c:pt idx="21">
                  <c:v>21368.070313</c:v>
                </c:pt>
                <c:pt idx="22">
                  <c:v>21469.199218999998</c:v>
                </c:pt>
                <c:pt idx="23">
                  <c:v>21824.029297000001</c:v>
                </c:pt>
                <c:pt idx="24">
                  <c:v>21968.099609000001</c:v>
                </c:pt>
                <c:pt idx="25">
                  <c:v>21777.289063</c:v>
                </c:pt>
                <c:pt idx="26">
                  <c:v>21803.949218999998</c:v>
                </c:pt>
                <c:pt idx="27">
                  <c:v>21676.509765999999</c:v>
                </c:pt>
                <c:pt idx="28">
                  <c:v>21480.900390999999</c:v>
                </c:pt>
                <c:pt idx="29">
                  <c:v>21380.970702999999</c:v>
                </c:pt>
                <c:pt idx="30">
                  <c:v>21486.480468499998</c:v>
                </c:pt>
                <c:pt idx="31">
                  <c:v>21591.990234000001</c:v>
                </c:pt>
                <c:pt idx="32">
                  <c:v>20617.859375</c:v>
                </c:pt>
                <c:pt idx="33">
                  <c:v>20766.099609000001</c:v>
                </c:pt>
                <c:pt idx="34">
                  <c:v>21317.320313</c:v>
                </c:pt>
                <c:pt idx="35">
                  <c:v>21031.310547000001</c:v>
                </c:pt>
                <c:pt idx="36">
                  <c:v>21159.080077999999</c:v>
                </c:pt>
                <c:pt idx="37">
                  <c:v>21454.300781000002</c:v>
                </c:pt>
                <c:pt idx="38">
                  <c:v>21388.580077999999</c:v>
                </c:pt>
                <c:pt idx="39">
                  <c:v>21292.289063</c:v>
                </c:pt>
                <c:pt idx="40">
                  <c:v>21319.550781000002</c:v>
                </c:pt>
                <c:pt idx="41">
                  <c:v>21645.419922000001</c:v>
                </c:pt>
                <c:pt idx="42">
                  <c:v>21567.519531000002</c:v>
                </c:pt>
                <c:pt idx="43">
                  <c:v>21678.259765999999</c:v>
                </c:pt>
                <c:pt idx="44">
                  <c:v>21794.320313</c:v>
                </c:pt>
                <c:pt idx="45">
                  <c:v>21687.099609000001</c:v>
                </c:pt>
                <c:pt idx="46">
                  <c:v>21660.279297000001</c:v>
                </c:pt>
                <c:pt idx="47">
                  <c:v>21778.740234000001</c:v>
                </c:pt>
                <c:pt idx="48">
                  <c:v>21835.529297000001</c:v>
                </c:pt>
                <c:pt idx="49">
                  <c:v>21847.589843999998</c:v>
                </c:pt>
                <c:pt idx="50">
                  <c:v>22158.199218999998</c:v>
                </c:pt>
                <c:pt idx="51">
                  <c:v>22191.179688</c:v>
                </c:pt>
                <c:pt idx="52">
                  <c:v>22162.240234000001</c:v>
                </c:pt>
                <c:pt idx="53">
                  <c:v>22088.039063</c:v>
                </c:pt>
                <c:pt idx="54">
                  <c:v>22278.119140999999</c:v>
                </c:pt>
                <c:pt idx="55">
                  <c:v>22215.320313</c:v>
                </c:pt>
                <c:pt idx="56">
                  <c:v>22319.609375</c:v>
                </c:pt>
                <c:pt idx="57">
                  <c:v>22467.869140999999</c:v>
                </c:pt>
                <c:pt idx="58">
                  <c:v>22487.949219000002</c:v>
                </c:pt>
                <c:pt idx="59">
                  <c:v>22508.029297000001</c:v>
                </c:pt>
                <c:pt idx="60">
                  <c:v>22472.779297000001</c:v>
                </c:pt>
                <c:pt idx="61">
                  <c:v>22469.9697265</c:v>
                </c:pt>
                <c:pt idx="62">
                  <c:v>22467.160156000002</c:v>
                </c:pt>
                <c:pt idx="63">
                  <c:v>22467.160156000002</c:v>
                </c:pt>
                <c:pt idx="64">
                  <c:v>22508.689452999999</c:v>
                </c:pt>
                <c:pt idx="65">
                  <c:v>22408.880859000001</c:v>
                </c:pt>
                <c:pt idx="66">
                  <c:v>22497.179688</c:v>
                </c:pt>
                <c:pt idx="67">
                  <c:v>22758.480468999998</c:v>
                </c:pt>
                <c:pt idx="68">
                  <c:v>22865.859375</c:v>
                </c:pt>
                <c:pt idx="69">
                  <c:v>22818.019531000002</c:v>
                </c:pt>
                <c:pt idx="70">
                  <c:v>22717.230468999998</c:v>
                </c:pt>
                <c:pt idx="71">
                  <c:v>22838.369140999999</c:v>
                </c:pt>
                <c:pt idx="72">
                  <c:v>22930.359375</c:v>
                </c:pt>
                <c:pt idx="73">
                  <c:v>23002.369140999999</c:v>
                </c:pt>
                <c:pt idx="74">
                  <c:v>22960.339843999998</c:v>
                </c:pt>
                <c:pt idx="75">
                  <c:v>22689.740234000001</c:v>
                </c:pt>
                <c:pt idx="76">
                  <c:v>22437.009765999999</c:v>
                </c:pt>
                <c:pt idx="77">
                  <c:v>22450.789063</c:v>
                </c:pt>
                <c:pt idx="78">
                  <c:v>22481.089843999998</c:v>
                </c:pt>
                <c:pt idx="79">
                  <c:v>22358.429688</c:v>
                </c:pt>
                <c:pt idx="80">
                  <c:v>22018.519531000002</c:v>
                </c:pt>
                <c:pt idx="81">
                  <c:v>22201.820313</c:v>
                </c:pt>
                <c:pt idx="82">
                  <c:v>22171.349609000001</c:v>
                </c:pt>
                <c:pt idx="83">
                  <c:v>22475.939452999999</c:v>
                </c:pt>
                <c:pt idx="84">
                  <c:v>22539.539063</c:v>
                </c:pt>
                <c:pt idx="85">
                  <c:v>22625.730468999998</c:v>
                </c:pt>
                <c:pt idx="86">
                  <c:v>22823.259765999999</c:v>
                </c:pt>
                <c:pt idx="87">
                  <c:v>22694.5</c:v>
                </c:pt>
                <c:pt idx="88">
                  <c:v>22804.039063</c:v>
                </c:pt>
                <c:pt idx="89">
                  <c:v>22878.349609000001</c:v>
                </c:pt>
                <c:pt idx="90">
                  <c:v>22966.380859000001</c:v>
                </c:pt>
                <c:pt idx="91">
                  <c:v>22738.609375</c:v>
                </c:pt>
                <c:pt idx="92">
                  <c:v>22851.75</c:v>
                </c:pt>
                <c:pt idx="93">
                  <c:v>22680.330077999999</c:v>
                </c:pt>
                <c:pt idx="94">
                  <c:v>22278.480468999998</c:v>
                </c:pt>
                <c:pt idx="95">
                  <c:v>22555.429688</c:v>
                </c:pt>
                <c:pt idx="96">
                  <c:v>22693.039063</c:v>
                </c:pt>
                <c:pt idx="97">
                  <c:v>22516.830077999999</c:v>
                </c:pt>
                <c:pt idx="98">
                  <c:v>22338.150390999999</c:v>
                </c:pt>
                <c:pt idx="99">
                  <c:v>22342</c:v>
                </c:pt>
                <c:pt idx="100">
                  <c:v>22271.769531000002</c:v>
                </c:pt>
                <c:pt idx="101">
                  <c:v>22270.390625</c:v>
                </c:pt>
                <c:pt idx="102">
                  <c:v>22304.509765999999</c:v>
                </c:pt>
                <c:pt idx="103">
                  <c:v>21811.929688</c:v>
                </c:pt>
                <c:pt idx="104">
                  <c:v>21785.539063</c:v>
                </c:pt>
                <c:pt idx="105">
                  <c:v>21717.039063</c:v>
                </c:pt>
                <c:pt idx="106">
                  <c:v>21546.990234000001</c:v>
                </c:pt>
                <c:pt idx="107">
                  <c:v>21788.140625</c:v>
                </c:pt>
                <c:pt idx="108">
                  <c:v>22052.179688</c:v>
                </c:pt>
                <c:pt idx="109">
                  <c:v>22196.890625</c:v>
                </c:pt>
                <c:pt idx="110">
                  <c:v>21932.210938</c:v>
                </c:pt>
                <c:pt idx="111">
                  <c:v>22187.960938</c:v>
                </c:pt>
                <c:pt idx="112">
                  <c:v>22597.349609000001</c:v>
                </c:pt>
                <c:pt idx="113">
                  <c:v>22597.349609000001</c:v>
                </c:pt>
                <c:pt idx="114">
                  <c:v>22697.359375</c:v>
                </c:pt>
                <c:pt idx="115">
                  <c:v>22794.189452999999</c:v>
                </c:pt>
                <c:pt idx="116">
                  <c:v>22764.679688</c:v>
                </c:pt>
                <c:pt idx="117">
                  <c:v>22697.880859000001</c:v>
                </c:pt>
                <c:pt idx="118">
                  <c:v>22396.990234000001</c:v>
                </c:pt>
                <c:pt idx="119">
                  <c:v>22510.480468999998</c:v>
                </c:pt>
                <c:pt idx="120">
                  <c:v>22614.25</c:v>
                </c:pt>
                <c:pt idx="121">
                  <c:v>22586.869140999999</c:v>
                </c:pt>
                <c:pt idx="122">
                  <c:v>22712.75</c:v>
                </c:pt>
                <c:pt idx="123">
                  <c:v>22544.839843999998</c:v>
                </c:pt>
                <c:pt idx="124">
                  <c:v>22553.720702999999</c:v>
                </c:pt>
                <c:pt idx="125">
                  <c:v>22746.699218999998</c:v>
                </c:pt>
                <c:pt idx="126">
                  <c:v>22512.529297000001</c:v>
                </c:pt>
                <c:pt idx="127">
                  <c:v>22525.179688</c:v>
                </c:pt>
                <c:pt idx="128">
                  <c:v>22507.320313</c:v>
                </c:pt>
                <c:pt idx="129">
                  <c:v>22662.740234000001</c:v>
                </c:pt>
                <c:pt idx="130">
                  <c:v>22644.310547000001</c:v>
                </c:pt>
                <c:pt idx="131">
                  <c:v>22598.390625</c:v>
                </c:pt>
                <c:pt idx="132">
                  <c:v>22298.080077999999</c:v>
                </c:pt>
                <c:pt idx="133">
                  <c:v>21857.429688</c:v>
                </c:pt>
                <c:pt idx="134">
                  <c:v>22356.080077999999</c:v>
                </c:pt>
                <c:pt idx="135">
                  <c:v>22204.220702999999</c:v>
                </c:pt>
                <c:pt idx="136">
                  <c:v>22192.039063</c:v>
                </c:pt>
                <c:pt idx="137">
                  <c:v>22270.380859000001</c:v>
                </c:pt>
                <c:pt idx="138">
                  <c:v>22199</c:v>
                </c:pt>
                <c:pt idx="139">
                  <c:v>22219.730468999998</c:v>
                </c:pt>
                <c:pt idx="140">
                  <c:v>22362.550781000002</c:v>
                </c:pt>
                <c:pt idx="141">
                  <c:v>22410.820313</c:v>
                </c:pt>
                <c:pt idx="142">
                  <c:v>22601.769531000002</c:v>
                </c:pt>
                <c:pt idx="143">
                  <c:v>22799.640625</c:v>
                </c:pt>
                <c:pt idx="144">
                  <c:v>22813.470702999999</c:v>
                </c:pt>
                <c:pt idx="145">
                  <c:v>22848.220702999999</c:v>
                </c:pt>
                <c:pt idx="146">
                  <c:v>22869.5</c:v>
                </c:pt>
                <c:pt idx="147">
                  <c:v>22865.150390999999</c:v>
                </c:pt>
                <c:pt idx="148">
                  <c:v>22707.380859000001</c:v>
                </c:pt>
                <c:pt idx="149">
                  <c:v>22696.900390999999</c:v>
                </c:pt>
                <c:pt idx="150">
                  <c:v>22580.830077999999</c:v>
                </c:pt>
                <c:pt idx="151">
                  <c:v>22487.939452999999</c:v>
                </c:pt>
                <c:pt idx="152">
                  <c:v>22307.060547000001</c:v>
                </c:pt>
                <c:pt idx="153">
                  <c:v>22373.089843999998</c:v>
                </c:pt>
                <c:pt idx="154">
                  <c:v>22664.689452999999</c:v>
                </c:pt>
                <c:pt idx="155">
                  <c:v>22604.609375</c:v>
                </c:pt>
                <c:pt idx="156">
                  <c:v>22821.320313</c:v>
                </c:pt>
                <c:pt idx="157">
                  <c:v>23094.669922000001</c:v>
                </c:pt>
                <c:pt idx="158">
                  <c:v>23257.604492500002</c:v>
                </c:pt>
                <c:pt idx="159">
                  <c:v>23420.539063</c:v>
                </c:pt>
                <c:pt idx="160">
                  <c:v>23672.519531000002</c:v>
                </c:pt>
                <c:pt idx="161">
                  <c:v>23674.929688</c:v>
                </c:pt>
                <c:pt idx="162">
                  <c:v>23869.929688</c:v>
                </c:pt>
                <c:pt idx="163">
                  <c:v>23905.094727</c:v>
                </c:pt>
                <c:pt idx="164">
                  <c:v>23940.259765999999</c:v>
                </c:pt>
                <c:pt idx="165">
                  <c:v>24033.789063</c:v>
                </c:pt>
                <c:pt idx="166">
                  <c:v>23796.740234000001</c:v>
                </c:pt>
                <c:pt idx="167">
                  <c:v>24120.039063</c:v>
                </c:pt>
                <c:pt idx="168">
                  <c:v>24245.759765999999</c:v>
                </c:pt>
                <c:pt idx="169">
                  <c:v>24270.619140999999</c:v>
                </c:pt>
                <c:pt idx="170">
                  <c:v>24110.960938</c:v>
                </c:pt>
                <c:pt idx="171">
                  <c:v>23975.619140999999</c:v>
                </c:pt>
                <c:pt idx="172">
                  <c:v>23783.720702999999</c:v>
                </c:pt>
                <c:pt idx="173">
                  <c:v>23626.555664</c:v>
                </c:pt>
                <c:pt idx="174">
                  <c:v>23469.390625</c:v>
                </c:pt>
                <c:pt idx="175">
                  <c:v>23506.039063</c:v>
                </c:pt>
                <c:pt idx="176">
                  <c:v>22590.859375</c:v>
                </c:pt>
                <c:pt idx="177">
                  <c:v>22694.660156000002</c:v>
                </c:pt>
                <c:pt idx="178">
                  <c:v>22271.300781000002</c:v>
                </c:pt>
                <c:pt idx="179">
                  <c:v>22549.240234000001</c:v>
                </c:pt>
                <c:pt idx="180">
                  <c:v>22841.119140999999</c:v>
                </c:pt>
                <c:pt idx="181">
                  <c:v>22658.160156000002</c:v>
                </c:pt>
                <c:pt idx="182">
                  <c:v>22532.080077999999</c:v>
                </c:pt>
                <c:pt idx="183">
                  <c:v>22614.820313</c:v>
                </c:pt>
                <c:pt idx="184">
                  <c:v>22010.779297000001</c:v>
                </c:pt>
                <c:pt idx="185">
                  <c:v>22091.179688</c:v>
                </c:pt>
                <c:pt idx="186">
                  <c:v>21268.730468999998</c:v>
                </c:pt>
                <c:pt idx="187">
                  <c:v>21184.599609000001</c:v>
                </c:pt>
                <c:pt idx="188">
                  <c:v>21149.800781000002</c:v>
                </c:pt>
                <c:pt idx="189">
                  <c:v>21457.289063</c:v>
                </c:pt>
                <c:pt idx="190">
                  <c:v>21920.460938</c:v>
                </c:pt>
                <c:pt idx="191">
                  <c:v>21687.650390999999</c:v>
                </c:pt>
                <c:pt idx="192">
                  <c:v>22243.660156000002</c:v>
                </c:pt>
                <c:pt idx="193">
                  <c:v>21898.990234000001</c:v>
                </c:pt>
                <c:pt idx="194">
                  <c:v>22147.75</c:v>
                </c:pt>
                <c:pt idx="195">
                  <c:v>22085.800781000002</c:v>
                </c:pt>
                <c:pt idx="196">
                  <c:v>22486.919922000001</c:v>
                </c:pt>
                <c:pt idx="197">
                  <c:v>22250.25</c:v>
                </c:pt>
                <c:pt idx="198">
                  <c:v>22269.880859000001</c:v>
                </c:pt>
                <c:pt idx="199">
                  <c:v>21810.519531000002</c:v>
                </c:pt>
                <c:pt idx="200">
                  <c:v>21846.480468999998</c:v>
                </c:pt>
                <c:pt idx="201">
                  <c:v>21803.619140999999</c:v>
                </c:pt>
                <c:pt idx="202">
                  <c:v>21680.339843999998</c:v>
                </c:pt>
                <c:pt idx="203">
                  <c:v>21821.160156000002</c:v>
                </c:pt>
                <c:pt idx="204">
                  <c:v>21583.119140999999</c:v>
                </c:pt>
                <c:pt idx="205">
                  <c:v>21507.539063</c:v>
                </c:pt>
                <c:pt idx="206">
                  <c:v>21646.550781000002</c:v>
                </c:pt>
                <c:pt idx="207">
                  <c:v>21729.275390499999</c:v>
                </c:pt>
                <c:pt idx="208">
                  <c:v>21812</c:v>
                </c:pt>
                <c:pt idx="209">
                  <c:v>21952.400390999999</c:v>
                </c:pt>
                <c:pt idx="210">
                  <c:v>22177.019531000002</c:v>
                </c:pt>
                <c:pt idx="211">
                  <c:v>22262.599609000001</c:v>
                </c:pt>
                <c:pt idx="212">
                  <c:v>22351.060547000001</c:v>
                </c:pt>
                <c:pt idx="213">
                  <c:v>22574.759765999999</c:v>
                </c:pt>
                <c:pt idx="214">
                  <c:v>22036.050781000002</c:v>
                </c:pt>
                <c:pt idx="215">
                  <c:v>21919.330077999999</c:v>
                </c:pt>
                <c:pt idx="216">
                  <c:v>21501.619140999999</c:v>
                </c:pt>
                <c:pt idx="217">
                  <c:v>21678.679688</c:v>
                </c:pt>
                <c:pt idx="218">
                  <c:v>21219.5</c:v>
                </c:pt>
                <c:pt idx="219">
                  <c:v>21148.019531000002</c:v>
                </c:pt>
                <c:pt idx="220">
                  <c:v>21602.75</c:v>
                </c:pt>
                <c:pt idx="221">
                  <c:v>21816.189452999999</c:v>
                </c:pt>
                <c:pt idx="222">
                  <c:v>21374.830077999999</c:v>
                </c:pt>
                <c:pt idx="223">
                  <c:v>21506.880859000001</c:v>
                </c:pt>
                <c:pt idx="224">
                  <c:v>21115.449218999998</c:v>
                </c:pt>
                <c:pt idx="225">
                  <c:v>20987.919922000001</c:v>
                </c:pt>
                <c:pt idx="226">
                  <c:v>20392.580077999999</c:v>
                </c:pt>
                <c:pt idx="227">
                  <c:v>20166.189452999999</c:v>
                </c:pt>
                <c:pt idx="228">
                  <c:v>19660.964843499998</c:v>
                </c:pt>
                <c:pt idx="229">
                  <c:v>19155.740234000001</c:v>
                </c:pt>
                <c:pt idx="230">
                  <c:v>19327.060547000001</c:v>
                </c:pt>
                <c:pt idx="231">
                  <c:v>20077.619140999999</c:v>
                </c:pt>
                <c:pt idx="232">
                  <c:v>20014.769531000002</c:v>
                </c:pt>
                <c:pt idx="233">
                  <c:v>19788.365234500001</c:v>
                </c:pt>
                <c:pt idx="234">
                  <c:v>19561.960938</c:v>
                </c:pt>
                <c:pt idx="235">
                  <c:v>20038.970702999999</c:v>
                </c:pt>
                <c:pt idx="236">
                  <c:v>20204.039063</c:v>
                </c:pt>
                <c:pt idx="237">
                  <c:v>20427.060547000001</c:v>
                </c:pt>
                <c:pt idx="238">
                  <c:v>20163.800781000002</c:v>
                </c:pt>
                <c:pt idx="239">
                  <c:v>20359.699218999998</c:v>
                </c:pt>
                <c:pt idx="240">
                  <c:v>20555.289063</c:v>
                </c:pt>
                <c:pt idx="241">
                  <c:v>20442.75</c:v>
                </c:pt>
                <c:pt idx="242">
                  <c:v>20402.269531000002</c:v>
                </c:pt>
                <c:pt idx="243">
                  <c:v>20666.070313</c:v>
                </c:pt>
                <c:pt idx="244">
                  <c:v>20719.330077999999</c:v>
                </c:pt>
                <c:pt idx="245">
                  <c:v>20622.910156000002</c:v>
                </c:pt>
                <c:pt idx="246">
                  <c:v>20593.720702999999</c:v>
                </c:pt>
                <c:pt idx="247">
                  <c:v>20574.630859000001</c:v>
                </c:pt>
                <c:pt idx="248">
                  <c:v>20773.560547000001</c:v>
                </c:pt>
                <c:pt idx="249">
                  <c:v>20649</c:v>
                </c:pt>
                <c:pt idx="250">
                  <c:v>20664.640625</c:v>
                </c:pt>
                <c:pt idx="251">
                  <c:v>20556.539063</c:v>
                </c:pt>
                <c:pt idx="252">
                  <c:v>20773.490234000001</c:v>
                </c:pt>
                <c:pt idx="253">
                  <c:v>20788.390625</c:v>
                </c:pt>
                <c:pt idx="254">
                  <c:v>20883.769531000002</c:v>
                </c:pt>
                <c:pt idx="255">
                  <c:v>20844.449218999998</c:v>
                </c:pt>
                <c:pt idx="256">
                  <c:v>20874.060547000001</c:v>
                </c:pt>
                <c:pt idx="257">
                  <c:v>20751.279297000001</c:v>
                </c:pt>
                <c:pt idx="258">
                  <c:v>20333.169922000001</c:v>
                </c:pt>
                <c:pt idx="259">
                  <c:v>20864.210938</c:v>
                </c:pt>
                <c:pt idx="260">
                  <c:v>21144.480468999998</c:v>
                </c:pt>
                <c:pt idx="261">
                  <c:v>21139.710938</c:v>
                </c:pt>
                <c:pt idx="262">
                  <c:v>20900.630859000001</c:v>
                </c:pt>
                <c:pt idx="263">
                  <c:v>21281.849609000001</c:v>
                </c:pt>
                <c:pt idx="264">
                  <c:v>21302.650390999999</c:v>
                </c:pt>
                <c:pt idx="265">
                  <c:v>21431.490234000001</c:v>
                </c:pt>
                <c:pt idx="266">
                  <c:v>21464.230468999998</c:v>
                </c:pt>
                <c:pt idx="267">
                  <c:v>21425.509765999999</c:v>
                </c:pt>
                <c:pt idx="268">
                  <c:v>21528.230468999998</c:v>
                </c:pt>
                <c:pt idx="269">
                  <c:v>21449.390625</c:v>
                </c:pt>
                <c:pt idx="270">
                  <c:v>21556.509765999999</c:v>
                </c:pt>
                <c:pt idx="271">
                  <c:v>21385.160156000002</c:v>
                </c:pt>
                <c:pt idx="272">
                  <c:v>21602.689452999999</c:v>
                </c:pt>
                <c:pt idx="273">
                  <c:v>21822.039063</c:v>
                </c:pt>
                <c:pt idx="274">
                  <c:v>21726.279297000001</c:v>
                </c:pt>
                <c:pt idx="275">
                  <c:v>21596.810547000001</c:v>
                </c:pt>
                <c:pt idx="276">
                  <c:v>21456.009765999999</c:v>
                </c:pt>
                <c:pt idx="277">
                  <c:v>21025.560547000001</c:v>
                </c:pt>
                <c:pt idx="278">
                  <c:v>21125.089843999998</c:v>
                </c:pt>
                <c:pt idx="279">
                  <c:v>21503.689452999999</c:v>
                </c:pt>
                <c:pt idx="280">
                  <c:v>21290.240234000001</c:v>
                </c:pt>
                <c:pt idx="281">
                  <c:v>21287.019531000002</c:v>
                </c:pt>
                <c:pt idx="282">
                  <c:v>21450.849609000001</c:v>
                </c:pt>
                <c:pt idx="283">
                  <c:v>21584.5</c:v>
                </c:pt>
                <c:pt idx="284">
                  <c:v>21566.849609000001</c:v>
                </c:pt>
                <c:pt idx="285">
                  <c:v>21608.919922000001</c:v>
                </c:pt>
                <c:pt idx="286">
                  <c:v>21627.339843999998</c:v>
                </c:pt>
                <c:pt idx="287">
                  <c:v>20977.109375</c:v>
                </c:pt>
                <c:pt idx="288">
                  <c:v>21428.390625</c:v>
                </c:pt>
                <c:pt idx="289">
                  <c:v>21378.730468999998</c:v>
                </c:pt>
                <c:pt idx="290">
                  <c:v>21033.759765999999</c:v>
                </c:pt>
                <c:pt idx="291">
                  <c:v>21205.810547000001</c:v>
                </c:pt>
                <c:pt idx="292">
                  <c:v>21509.029297000001</c:v>
                </c:pt>
                <c:pt idx="293">
                  <c:v>21505.310547000001</c:v>
                </c:pt>
                <c:pt idx="294">
                  <c:v>21713.210938</c:v>
                </c:pt>
                <c:pt idx="295">
                  <c:v>21724.949218999998</c:v>
                </c:pt>
                <c:pt idx="296">
                  <c:v>21807.5</c:v>
                </c:pt>
                <c:pt idx="297">
                  <c:v>21761.650390999999</c:v>
                </c:pt>
                <c:pt idx="298">
                  <c:v>21802.589843999998</c:v>
                </c:pt>
                <c:pt idx="299">
                  <c:v>21687.570313</c:v>
                </c:pt>
                <c:pt idx="300">
                  <c:v>21711.380859000001</c:v>
                </c:pt>
                <c:pt idx="301">
                  <c:v>21870.560547000001</c:v>
                </c:pt>
                <c:pt idx="302">
                  <c:v>22169.109375</c:v>
                </c:pt>
                <c:pt idx="303">
                  <c:v>22221.660156000002</c:v>
                </c:pt>
                <c:pt idx="304">
                  <c:v>22277.970702999999</c:v>
                </c:pt>
                <c:pt idx="305">
                  <c:v>22090.119140999999</c:v>
                </c:pt>
                <c:pt idx="306">
                  <c:v>22200.560547000001</c:v>
                </c:pt>
                <c:pt idx="307">
                  <c:v>22217.900390999999</c:v>
                </c:pt>
                <c:pt idx="308">
                  <c:v>22259.740234000001</c:v>
                </c:pt>
                <c:pt idx="309">
                  <c:v>22200</c:v>
                </c:pt>
                <c:pt idx="310">
                  <c:v>22307.580077999999</c:v>
                </c:pt>
                <c:pt idx="311">
                  <c:v>22258.730468999998</c:v>
                </c:pt>
                <c:pt idx="312">
                  <c:v>21923.720702999999</c:v>
                </c:pt>
                <c:pt idx="313">
                  <c:v>21602.589843999998</c:v>
                </c:pt>
                <c:pt idx="314">
                  <c:v>21402.130859000001</c:v>
                </c:pt>
                <c:pt idx="315">
                  <c:v>21344.919922000001</c:v>
                </c:pt>
                <c:pt idx="316">
                  <c:v>21191.279297000001</c:v>
                </c:pt>
                <c:pt idx="317">
                  <c:v>21067.230468999998</c:v>
                </c:pt>
                <c:pt idx="318">
                  <c:v>21188.560547000001</c:v>
                </c:pt>
                <c:pt idx="319">
                  <c:v>21062.980468999998</c:v>
                </c:pt>
                <c:pt idx="320">
                  <c:v>21250.089843999998</c:v>
                </c:pt>
                <c:pt idx="321">
                  <c:v>21301.730468999998</c:v>
                </c:pt>
                <c:pt idx="322">
                  <c:v>21272.449218999998</c:v>
                </c:pt>
                <c:pt idx="323">
                  <c:v>21283.369140999999</c:v>
                </c:pt>
                <c:pt idx="324">
                  <c:v>21151.140625</c:v>
                </c:pt>
                <c:pt idx="325">
                  <c:v>21117.220702999999</c:v>
                </c:pt>
                <c:pt idx="326">
                  <c:v>21182.580077999999</c:v>
                </c:pt>
                <c:pt idx="327">
                  <c:v>21260.140625</c:v>
                </c:pt>
                <c:pt idx="328">
                  <c:v>21003.369140999999</c:v>
                </c:pt>
                <c:pt idx="329">
                  <c:v>20942.529297000001</c:v>
                </c:pt>
                <c:pt idx="330">
                  <c:v>20601.189452999999</c:v>
                </c:pt>
                <c:pt idx="331">
                  <c:v>20410.880859000001</c:v>
                </c:pt>
                <c:pt idx="332">
                  <c:v>20408.539063</c:v>
                </c:pt>
                <c:pt idx="333">
                  <c:v>20776.099609000001</c:v>
                </c:pt>
                <c:pt idx="334">
                  <c:v>20774.039063</c:v>
                </c:pt>
                <c:pt idx="335">
                  <c:v>20884.710938</c:v>
                </c:pt>
                <c:pt idx="336">
                  <c:v>21134.419922000001</c:v>
                </c:pt>
                <c:pt idx="337">
                  <c:v>21204.279297000001</c:v>
                </c:pt>
                <c:pt idx="338">
                  <c:v>21129.720702999999</c:v>
                </c:pt>
                <c:pt idx="339">
                  <c:v>21032</c:v>
                </c:pt>
                <c:pt idx="340">
                  <c:v>21116.890625</c:v>
                </c:pt>
                <c:pt idx="341">
                  <c:v>21124</c:v>
                </c:pt>
                <c:pt idx="342">
                  <c:v>20972.710938</c:v>
                </c:pt>
                <c:pt idx="343">
                  <c:v>21333.869140999999</c:v>
                </c:pt>
                <c:pt idx="344">
                  <c:v>21462.859375</c:v>
                </c:pt>
                <c:pt idx="345">
                  <c:v>21258.640625</c:v>
                </c:pt>
                <c:pt idx="346">
                  <c:v>21285.990234000001</c:v>
                </c:pt>
                <c:pt idx="347">
                  <c:v>21193.810547000001</c:v>
                </c:pt>
                <c:pt idx="348">
                  <c:v>21086.589843999998</c:v>
                </c:pt>
                <c:pt idx="349">
                  <c:v>21338.169922000001</c:v>
                </c:pt>
                <c:pt idx="350">
                  <c:v>21275.919922000001</c:v>
                </c:pt>
                <c:pt idx="351">
                  <c:v>21729.970702999999</c:v>
                </c:pt>
                <c:pt idx="352">
                  <c:v>21754.269531000002</c:v>
                </c:pt>
                <c:pt idx="353">
                  <c:v>21638.160156000002</c:v>
                </c:pt>
                <c:pt idx="354">
                  <c:v>21702.449218999998</c:v>
                </c:pt>
                <c:pt idx="355">
                  <c:v>21746.380859000001</c:v>
                </c:pt>
                <c:pt idx="356">
                  <c:v>21534.349609000001</c:v>
                </c:pt>
                <c:pt idx="357">
                  <c:v>21565.150390999999</c:v>
                </c:pt>
                <c:pt idx="358">
                  <c:v>21533.480468999998</c:v>
                </c:pt>
                <c:pt idx="359">
                  <c:v>21643.529297000001</c:v>
                </c:pt>
                <c:pt idx="360">
                  <c:v>21685.900390999999</c:v>
                </c:pt>
                <c:pt idx="361">
                  <c:v>21535.25</c:v>
                </c:pt>
                <c:pt idx="362">
                  <c:v>21469.179688</c:v>
                </c:pt>
                <c:pt idx="363">
                  <c:v>21046.240234000001</c:v>
                </c:pt>
                <c:pt idx="364">
                  <c:v>21466.990234000001</c:v>
                </c:pt>
                <c:pt idx="365">
                  <c:v>21416.789063</c:v>
                </c:pt>
                <c:pt idx="366">
                  <c:v>21620.880859000001</c:v>
                </c:pt>
                <c:pt idx="367">
                  <c:v>21709.570313</c:v>
                </c:pt>
                <c:pt idx="368">
                  <c:v>21756.550781000002</c:v>
                </c:pt>
                <c:pt idx="369">
                  <c:v>21658.150390999999</c:v>
                </c:pt>
                <c:pt idx="370">
                  <c:v>21616.800781000002</c:v>
                </c:pt>
                <c:pt idx="371">
                  <c:v>21709.310547000001</c:v>
                </c:pt>
                <c:pt idx="372">
                  <c:v>21521.529297000001</c:v>
                </c:pt>
                <c:pt idx="373">
                  <c:v>21540.990234000001</c:v>
                </c:pt>
                <c:pt idx="374">
                  <c:v>21087.160156000002</c:v>
                </c:pt>
                <c:pt idx="375">
                  <c:v>20720.289063</c:v>
                </c:pt>
                <c:pt idx="376">
                  <c:v>20585.310547000001</c:v>
                </c:pt>
                <c:pt idx="377">
                  <c:v>20516.560547000001</c:v>
                </c:pt>
                <c:pt idx="378">
                  <c:v>20593.349609000001</c:v>
                </c:pt>
                <c:pt idx="379">
                  <c:v>20684.820313</c:v>
                </c:pt>
                <c:pt idx="380">
                  <c:v>20455.439452999999</c:v>
                </c:pt>
                <c:pt idx="381">
                  <c:v>20655.130859000001</c:v>
                </c:pt>
                <c:pt idx="382">
                  <c:v>20405.650390999999</c:v>
                </c:pt>
                <c:pt idx="383">
                  <c:v>20418.810547000001</c:v>
                </c:pt>
                <c:pt idx="384">
                  <c:v>20563.160156000002</c:v>
                </c:pt>
                <c:pt idx="385">
                  <c:v>20677.220702999999</c:v>
                </c:pt>
                <c:pt idx="386">
                  <c:v>20618.570313</c:v>
                </c:pt>
                <c:pt idx="387">
                  <c:v>20628.009765999999</c:v>
                </c:pt>
                <c:pt idx="388">
                  <c:v>20710.910156000002</c:v>
                </c:pt>
                <c:pt idx="389">
                  <c:v>20261.039063</c:v>
                </c:pt>
                <c:pt idx="390">
                  <c:v>20456.080077999999</c:v>
                </c:pt>
                <c:pt idx="391">
                  <c:v>20479.419922000001</c:v>
                </c:pt>
                <c:pt idx="392">
                  <c:v>20460.929688</c:v>
                </c:pt>
                <c:pt idx="393">
                  <c:v>20704.369140999999</c:v>
                </c:pt>
                <c:pt idx="394">
                  <c:v>20620.189452999999</c:v>
                </c:pt>
                <c:pt idx="395">
                  <c:v>20625.160156000002</c:v>
                </c:pt>
                <c:pt idx="396">
                  <c:v>20649.140625</c:v>
                </c:pt>
                <c:pt idx="397">
                  <c:v>21085.939452999999</c:v>
                </c:pt>
                <c:pt idx="398">
                  <c:v>21199.570313</c:v>
                </c:pt>
                <c:pt idx="399">
                  <c:v>21318.419922000001</c:v>
                </c:pt>
                <c:pt idx="400">
                  <c:v>21392.099609000001</c:v>
                </c:pt>
                <c:pt idx="401">
                  <c:v>21597.759765999999</c:v>
                </c:pt>
                <c:pt idx="402">
                  <c:v>21759.609375</c:v>
                </c:pt>
                <c:pt idx="403">
                  <c:v>21988.289063</c:v>
                </c:pt>
                <c:pt idx="404">
                  <c:v>22001.320313</c:v>
                </c:pt>
                <c:pt idx="405">
                  <c:v>21960.710938</c:v>
                </c:pt>
                <c:pt idx="406">
                  <c:v>22044.449218999998</c:v>
                </c:pt>
                <c:pt idx="407">
                  <c:v>22079.089843999998</c:v>
                </c:pt>
                <c:pt idx="408">
                  <c:v>22098.839843999998</c:v>
                </c:pt>
                <c:pt idx="409">
                  <c:v>22020.150390999999</c:v>
                </c:pt>
                <c:pt idx="410">
                  <c:v>22048.240234000001</c:v>
                </c:pt>
                <c:pt idx="411">
                  <c:v>21878.900390999999</c:v>
                </c:pt>
                <c:pt idx="412">
                  <c:v>21755.839843999998</c:v>
                </c:pt>
                <c:pt idx="413">
                  <c:v>21885.240234000001</c:v>
                </c:pt>
                <c:pt idx="414">
                  <c:v>21778.609375</c:v>
                </c:pt>
                <c:pt idx="415">
                  <c:v>21341.740234000001</c:v>
                </c:pt>
                <c:pt idx="416">
                  <c:v>21410.199218999998</c:v>
                </c:pt>
                <c:pt idx="417">
                  <c:v>21375.25</c:v>
                </c:pt>
                <c:pt idx="418">
                  <c:v>21587.779297000001</c:v>
                </c:pt>
                <c:pt idx="419">
                  <c:v>21456.380859000001</c:v>
                </c:pt>
                <c:pt idx="420">
                  <c:v>21551.980468999998</c:v>
                </c:pt>
                <c:pt idx="421">
                  <c:v>21798.869140999999</c:v>
                </c:pt>
                <c:pt idx="422">
                  <c:v>22207.210938</c:v>
                </c:pt>
                <c:pt idx="423">
                  <c:v>22472.919922000001</c:v>
                </c:pt>
                <c:pt idx="424">
                  <c:v>22451.859375</c:v>
                </c:pt>
                <c:pt idx="425">
                  <c:v>22492.679688</c:v>
                </c:pt>
                <c:pt idx="426">
                  <c:v>22548.900390999999</c:v>
                </c:pt>
                <c:pt idx="427">
                  <c:v>22625.380859000001</c:v>
                </c:pt>
                <c:pt idx="428">
                  <c:v>22750.599609000001</c:v>
                </c:pt>
                <c:pt idx="429">
                  <c:v>22799.810547000001</c:v>
                </c:pt>
                <c:pt idx="430">
                  <c:v>22867.269531000002</c:v>
                </c:pt>
                <c:pt idx="431">
                  <c:v>22974.130859000001</c:v>
                </c:pt>
                <c:pt idx="432">
                  <c:v>22843.119140999999</c:v>
                </c:pt>
                <c:pt idx="433">
                  <c:v>22927.039063</c:v>
                </c:pt>
                <c:pt idx="434">
                  <c:v>22850.769531000002</c:v>
                </c:pt>
                <c:pt idx="435">
                  <c:v>23251.990234000001</c:v>
                </c:pt>
                <c:pt idx="436">
                  <c:v>23303.820313</c:v>
                </c:pt>
                <c:pt idx="437">
                  <c:v>23330.320313</c:v>
                </c:pt>
                <c:pt idx="438">
                  <c:v>23391.869140999999</c:v>
                </c:pt>
                <c:pt idx="439">
                  <c:v>23331.839843999998</c:v>
                </c:pt>
                <c:pt idx="440">
                  <c:v>23520.009765999999</c:v>
                </c:pt>
                <c:pt idx="441">
                  <c:v>23319.869140999999</c:v>
                </c:pt>
                <c:pt idx="442">
                  <c:v>23141.550781000002</c:v>
                </c:pt>
                <c:pt idx="443">
                  <c:v>23303.320313</c:v>
                </c:pt>
                <c:pt idx="444">
                  <c:v>23416.759765999999</c:v>
                </c:pt>
                <c:pt idx="445">
                  <c:v>23292.650390999999</c:v>
                </c:pt>
                <c:pt idx="446">
                  <c:v>23148.570313</c:v>
                </c:pt>
                <c:pt idx="447">
                  <c:v>23038.580077999999</c:v>
                </c:pt>
                <c:pt idx="448">
                  <c:v>23112.880859000001</c:v>
                </c:pt>
                <c:pt idx="449">
                  <c:v>23148.570313</c:v>
                </c:pt>
                <c:pt idx="450">
                  <c:v>23038.580077999999</c:v>
                </c:pt>
                <c:pt idx="451">
                  <c:v>23112.880859000001</c:v>
                </c:pt>
                <c:pt idx="452">
                  <c:v>23292.810547000001</c:v>
                </c:pt>
                <c:pt idx="453">
                  <c:v>23373.320313</c:v>
                </c:pt>
                <c:pt idx="454">
                  <c:v>23437.769531000002</c:v>
                </c:pt>
                <c:pt idx="455">
                  <c:v>23409.140625</c:v>
                </c:pt>
                <c:pt idx="456">
                  <c:v>23293.910156000002</c:v>
                </c:pt>
                <c:pt idx="457">
                  <c:v>23529.5</c:v>
                </c:pt>
                <c:pt idx="458">
                  <c:v>23379.810547000001</c:v>
                </c:pt>
                <c:pt idx="459">
                  <c:v>23135.230468999998</c:v>
                </c:pt>
                <c:pt idx="460">
                  <c:v>23300.089843999998</c:v>
                </c:pt>
                <c:pt idx="461">
                  <c:v>23354.400390999999</c:v>
                </c:pt>
                <c:pt idx="462">
                  <c:v>23430.699218999998</c:v>
                </c:pt>
                <c:pt idx="463">
                  <c:v>23410.189452999999</c:v>
                </c:pt>
                <c:pt idx="464">
                  <c:v>23391.859375</c:v>
                </c:pt>
                <c:pt idx="465">
                  <c:v>23424.810547000001</c:v>
                </c:pt>
                <c:pt idx="466">
                  <c:v>24023.099609000001</c:v>
                </c:pt>
                <c:pt idx="467">
                  <c:v>23952.349609000001</c:v>
                </c:pt>
                <c:pt idx="468">
                  <c:v>24066.119140999999</c:v>
                </c:pt>
                <c:pt idx="469">
                  <c:v>23934.429688</c:v>
                </c:pt>
                <c:pt idx="470">
                  <c:v>23864.849609000001</c:v>
                </c:pt>
                <c:pt idx="471">
                  <c:v>23816.630859000001</c:v>
                </c:pt>
                <c:pt idx="472">
                  <c:v>23821.109375</c:v>
                </c:pt>
                <c:pt idx="473">
                  <c:v>23830.580077999999</c:v>
                </c:pt>
                <c:pt idx="474">
                  <c:v>23782.869140999999</c:v>
                </c:pt>
                <c:pt idx="475">
                  <c:v>23924.919922000001</c:v>
                </c:pt>
                <c:pt idx="476">
                  <c:v>23837.720702999999</c:v>
                </c:pt>
                <c:pt idx="477">
                  <c:v>23656.619140999999</c:v>
                </c:pt>
                <c:pt idx="478">
                  <c:v>23204.859375</c:v>
                </c:pt>
                <c:pt idx="479">
                  <c:v>23575.720702999999</c:v>
                </c:pt>
                <c:pt idx="480">
                  <c:v>23204.759765999999</c:v>
                </c:pt>
                <c:pt idx="481">
                  <c:v>23472.314453499999</c:v>
                </c:pt>
                <c:pt idx="482">
                  <c:v>23739.869140999999</c:v>
                </c:pt>
                <c:pt idx="483">
                  <c:v>23850.570313</c:v>
                </c:pt>
                <c:pt idx="484">
                  <c:v>24025.169922000001</c:v>
                </c:pt>
                <c:pt idx="485">
                  <c:v>23916.580077999999</c:v>
                </c:pt>
                <c:pt idx="486">
                  <c:v>23933.130859000001</c:v>
                </c:pt>
                <c:pt idx="487">
                  <c:v>24041.259765999999</c:v>
                </c:pt>
                <c:pt idx="488">
                  <c:v>24083.509765999999</c:v>
                </c:pt>
                <c:pt idx="489">
                  <c:v>23864.560547000001</c:v>
                </c:pt>
                <c:pt idx="490">
                  <c:v>24031.349609000001</c:v>
                </c:pt>
                <c:pt idx="491">
                  <c:v>23795.439452999999</c:v>
                </c:pt>
                <c:pt idx="492">
                  <c:v>23827.179688</c:v>
                </c:pt>
                <c:pt idx="493">
                  <c:v>23343.509765999999</c:v>
                </c:pt>
                <c:pt idx="494">
                  <c:v>23215.710938</c:v>
                </c:pt>
                <c:pt idx="495">
                  <c:v>23379.400390999999</c:v>
                </c:pt>
                <c:pt idx="496">
                  <c:v>22977.75</c:v>
                </c:pt>
                <c:pt idx="497">
                  <c:v>23205.179688</c:v>
                </c:pt>
                <c:pt idx="498">
                  <c:v>22971.939452999999</c:v>
                </c:pt>
                <c:pt idx="499">
                  <c:v>23084.589843999998</c:v>
                </c:pt>
                <c:pt idx="500">
                  <c:v>23319.560547000001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CE-4E44-9AC7-A87B4F0E8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9588088"/>
        <c:axId val="649595768"/>
      </c:lineChart>
      <c:dateAx>
        <c:axId val="649588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95768"/>
        <c:crosses val="autoZero"/>
        <c:auto val="1"/>
        <c:lblOffset val="100"/>
        <c:baseTimeUnit val="days"/>
      </c:dateAx>
      <c:valAx>
        <c:axId val="649595768"/>
        <c:scaling>
          <c:orientation val="minMax"/>
          <c:min val="1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88088"/>
        <c:crosses val="autoZero"/>
        <c:crossBetween val="between"/>
        <c:majorUnit val="2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DAX USD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Data!$B$2:$B$502</c:f>
              <c:numCache>
                <c:formatCode>m/d/yyyy</c:formatCode>
                <c:ptCount val="501"/>
                <c:pt idx="0">
                  <c:v>43138</c:v>
                </c:pt>
                <c:pt idx="1">
                  <c:v>43139</c:v>
                </c:pt>
                <c:pt idx="2">
                  <c:v>43140</c:v>
                </c:pt>
                <c:pt idx="3">
                  <c:v>43143</c:v>
                </c:pt>
                <c:pt idx="4">
                  <c:v>43144</c:v>
                </c:pt>
                <c:pt idx="5">
                  <c:v>43145</c:v>
                </c:pt>
                <c:pt idx="6">
                  <c:v>43146</c:v>
                </c:pt>
                <c:pt idx="7">
                  <c:v>43147</c:v>
                </c:pt>
                <c:pt idx="8">
                  <c:v>43151</c:v>
                </c:pt>
                <c:pt idx="9">
                  <c:v>43152</c:v>
                </c:pt>
                <c:pt idx="10">
                  <c:v>43153</c:v>
                </c:pt>
                <c:pt idx="11">
                  <c:v>43154</c:v>
                </c:pt>
                <c:pt idx="12">
                  <c:v>43157</c:v>
                </c:pt>
                <c:pt idx="13">
                  <c:v>43158</c:v>
                </c:pt>
                <c:pt idx="14">
                  <c:v>43159</c:v>
                </c:pt>
                <c:pt idx="15">
                  <c:v>43160</c:v>
                </c:pt>
                <c:pt idx="16">
                  <c:v>43161</c:v>
                </c:pt>
                <c:pt idx="17">
                  <c:v>43164</c:v>
                </c:pt>
                <c:pt idx="18">
                  <c:v>43165</c:v>
                </c:pt>
                <c:pt idx="19">
                  <c:v>43166</c:v>
                </c:pt>
                <c:pt idx="20">
                  <c:v>43167</c:v>
                </c:pt>
                <c:pt idx="21">
                  <c:v>43168</c:v>
                </c:pt>
                <c:pt idx="22">
                  <c:v>43171</c:v>
                </c:pt>
                <c:pt idx="23">
                  <c:v>43172</c:v>
                </c:pt>
                <c:pt idx="24">
                  <c:v>43173</c:v>
                </c:pt>
                <c:pt idx="25">
                  <c:v>43174</c:v>
                </c:pt>
                <c:pt idx="26">
                  <c:v>43175</c:v>
                </c:pt>
                <c:pt idx="27">
                  <c:v>43178</c:v>
                </c:pt>
                <c:pt idx="28">
                  <c:v>43179</c:v>
                </c:pt>
                <c:pt idx="29">
                  <c:v>43180</c:v>
                </c:pt>
                <c:pt idx="30">
                  <c:v>43181</c:v>
                </c:pt>
                <c:pt idx="31">
                  <c:v>43182</c:v>
                </c:pt>
                <c:pt idx="32">
                  <c:v>43185</c:v>
                </c:pt>
                <c:pt idx="33">
                  <c:v>43186</c:v>
                </c:pt>
                <c:pt idx="34">
                  <c:v>43187</c:v>
                </c:pt>
                <c:pt idx="35">
                  <c:v>43188</c:v>
                </c:pt>
                <c:pt idx="36">
                  <c:v>43192</c:v>
                </c:pt>
                <c:pt idx="37">
                  <c:v>43193</c:v>
                </c:pt>
                <c:pt idx="38">
                  <c:v>43194</c:v>
                </c:pt>
                <c:pt idx="39">
                  <c:v>43195</c:v>
                </c:pt>
                <c:pt idx="40">
                  <c:v>43196</c:v>
                </c:pt>
                <c:pt idx="41">
                  <c:v>43199</c:v>
                </c:pt>
                <c:pt idx="42">
                  <c:v>43200</c:v>
                </c:pt>
                <c:pt idx="43">
                  <c:v>43201</c:v>
                </c:pt>
                <c:pt idx="44">
                  <c:v>43202</c:v>
                </c:pt>
                <c:pt idx="45">
                  <c:v>43203</c:v>
                </c:pt>
                <c:pt idx="46">
                  <c:v>43206</c:v>
                </c:pt>
                <c:pt idx="47">
                  <c:v>43207</c:v>
                </c:pt>
                <c:pt idx="48">
                  <c:v>43208</c:v>
                </c:pt>
                <c:pt idx="49">
                  <c:v>43209</c:v>
                </c:pt>
                <c:pt idx="50">
                  <c:v>43210</c:v>
                </c:pt>
                <c:pt idx="51">
                  <c:v>43213</c:v>
                </c:pt>
                <c:pt idx="52">
                  <c:v>43214</c:v>
                </c:pt>
                <c:pt idx="53">
                  <c:v>43215</c:v>
                </c:pt>
                <c:pt idx="54">
                  <c:v>43216</c:v>
                </c:pt>
                <c:pt idx="55">
                  <c:v>43217</c:v>
                </c:pt>
                <c:pt idx="56">
                  <c:v>43220</c:v>
                </c:pt>
                <c:pt idx="57">
                  <c:v>43221</c:v>
                </c:pt>
                <c:pt idx="58">
                  <c:v>43222</c:v>
                </c:pt>
                <c:pt idx="59">
                  <c:v>43223</c:v>
                </c:pt>
                <c:pt idx="60">
                  <c:v>43224</c:v>
                </c:pt>
                <c:pt idx="61">
                  <c:v>43227</c:v>
                </c:pt>
                <c:pt idx="62">
                  <c:v>43228</c:v>
                </c:pt>
                <c:pt idx="63">
                  <c:v>43229</c:v>
                </c:pt>
                <c:pt idx="64">
                  <c:v>43230</c:v>
                </c:pt>
                <c:pt idx="65">
                  <c:v>43231</c:v>
                </c:pt>
                <c:pt idx="66">
                  <c:v>43234</c:v>
                </c:pt>
                <c:pt idx="67">
                  <c:v>43235</c:v>
                </c:pt>
                <c:pt idx="68">
                  <c:v>43236</c:v>
                </c:pt>
                <c:pt idx="69">
                  <c:v>43237</c:v>
                </c:pt>
                <c:pt idx="70">
                  <c:v>43238</c:v>
                </c:pt>
                <c:pt idx="71">
                  <c:v>43241</c:v>
                </c:pt>
                <c:pt idx="72">
                  <c:v>43242</c:v>
                </c:pt>
                <c:pt idx="73">
                  <c:v>43243</c:v>
                </c:pt>
                <c:pt idx="74">
                  <c:v>43244</c:v>
                </c:pt>
                <c:pt idx="75">
                  <c:v>43245</c:v>
                </c:pt>
                <c:pt idx="76">
                  <c:v>43249</c:v>
                </c:pt>
                <c:pt idx="77">
                  <c:v>43250</c:v>
                </c:pt>
                <c:pt idx="78">
                  <c:v>43251</c:v>
                </c:pt>
                <c:pt idx="79">
                  <c:v>43252</c:v>
                </c:pt>
                <c:pt idx="80">
                  <c:v>43255</c:v>
                </c:pt>
                <c:pt idx="81">
                  <c:v>43256</c:v>
                </c:pt>
                <c:pt idx="82">
                  <c:v>43257</c:v>
                </c:pt>
                <c:pt idx="83">
                  <c:v>43258</c:v>
                </c:pt>
                <c:pt idx="84">
                  <c:v>43259</c:v>
                </c:pt>
                <c:pt idx="85">
                  <c:v>43262</c:v>
                </c:pt>
                <c:pt idx="86">
                  <c:v>43263</c:v>
                </c:pt>
                <c:pt idx="87">
                  <c:v>43264</c:v>
                </c:pt>
                <c:pt idx="88">
                  <c:v>43265</c:v>
                </c:pt>
                <c:pt idx="89">
                  <c:v>43266</c:v>
                </c:pt>
                <c:pt idx="90">
                  <c:v>43269</c:v>
                </c:pt>
                <c:pt idx="91">
                  <c:v>43270</c:v>
                </c:pt>
                <c:pt idx="92">
                  <c:v>43271</c:v>
                </c:pt>
                <c:pt idx="93">
                  <c:v>43272</c:v>
                </c:pt>
                <c:pt idx="94">
                  <c:v>43273</c:v>
                </c:pt>
                <c:pt idx="95">
                  <c:v>43276</c:v>
                </c:pt>
                <c:pt idx="96">
                  <c:v>43277</c:v>
                </c:pt>
                <c:pt idx="97">
                  <c:v>43278</c:v>
                </c:pt>
                <c:pt idx="98">
                  <c:v>43279</c:v>
                </c:pt>
                <c:pt idx="99">
                  <c:v>43280</c:v>
                </c:pt>
                <c:pt idx="100">
                  <c:v>43283</c:v>
                </c:pt>
                <c:pt idx="101">
                  <c:v>43284</c:v>
                </c:pt>
                <c:pt idx="102">
                  <c:v>43286</c:v>
                </c:pt>
                <c:pt idx="103">
                  <c:v>43287</c:v>
                </c:pt>
                <c:pt idx="104">
                  <c:v>43290</c:v>
                </c:pt>
                <c:pt idx="105">
                  <c:v>43291</c:v>
                </c:pt>
                <c:pt idx="106">
                  <c:v>43292</c:v>
                </c:pt>
                <c:pt idx="107">
                  <c:v>43293</c:v>
                </c:pt>
                <c:pt idx="108">
                  <c:v>43294</c:v>
                </c:pt>
                <c:pt idx="109">
                  <c:v>43297</c:v>
                </c:pt>
                <c:pt idx="110">
                  <c:v>43298</c:v>
                </c:pt>
                <c:pt idx="111">
                  <c:v>43299</c:v>
                </c:pt>
                <c:pt idx="112">
                  <c:v>43300</c:v>
                </c:pt>
                <c:pt idx="113">
                  <c:v>43301</c:v>
                </c:pt>
                <c:pt idx="114">
                  <c:v>43304</c:v>
                </c:pt>
                <c:pt idx="115">
                  <c:v>43305</c:v>
                </c:pt>
                <c:pt idx="116">
                  <c:v>43306</c:v>
                </c:pt>
                <c:pt idx="117">
                  <c:v>43307</c:v>
                </c:pt>
                <c:pt idx="118">
                  <c:v>43308</c:v>
                </c:pt>
                <c:pt idx="119">
                  <c:v>43311</c:v>
                </c:pt>
                <c:pt idx="120">
                  <c:v>43312</c:v>
                </c:pt>
                <c:pt idx="121">
                  <c:v>43313</c:v>
                </c:pt>
                <c:pt idx="122">
                  <c:v>43314</c:v>
                </c:pt>
                <c:pt idx="123">
                  <c:v>43315</c:v>
                </c:pt>
                <c:pt idx="124">
                  <c:v>43318</c:v>
                </c:pt>
                <c:pt idx="125">
                  <c:v>43319</c:v>
                </c:pt>
                <c:pt idx="126">
                  <c:v>43320</c:v>
                </c:pt>
                <c:pt idx="127">
                  <c:v>43321</c:v>
                </c:pt>
                <c:pt idx="128">
                  <c:v>43322</c:v>
                </c:pt>
                <c:pt idx="129">
                  <c:v>43325</c:v>
                </c:pt>
                <c:pt idx="130">
                  <c:v>43326</c:v>
                </c:pt>
                <c:pt idx="131">
                  <c:v>43327</c:v>
                </c:pt>
                <c:pt idx="132">
                  <c:v>43328</c:v>
                </c:pt>
                <c:pt idx="133">
                  <c:v>43329</c:v>
                </c:pt>
                <c:pt idx="134">
                  <c:v>43332</c:v>
                </c:pt>
                <c:pt idx="135">
                  <c:v>43333</c:v>
                </c:pt>
                <c:pt idx="136">
                  <c:v>43334</c:v>
                </c:pt>
                <c:pt idx="137">
                  <c:v>43335</c:v>
                </c:pt>
                <c:pt idx="138">
                  <c:v>43336</c:v>
                </c:pt>
                <c:pt idx="139">
                  <c:v>43339</c:v>
                </c:pt>
                <c:pt idx="140">
                  <c:v>43340</c:v>
                </c:pt>
                <c:pt idx="141">
                  <c:v>43341</c:v>
                </c:pt>
                <c:pt idx="142">
                  <c:v>43342</c:v>
                </c:pt>
                <c:pt idx="143">
                  <c:v>43343</c:v>
                </c:pt>
                <c:pt idx="144">
                  <c:v>43347</c:v>
                </c:pt>
                <c:pt idx="145">
                  <c:v>43348</c:v>
                </c:pt>
                <c:pt idx="146">
                  <c:v>43349</c:v>
                </c:pt>
                <c:pt idx="147">
                  <c:v>43350</c:v>
                </c:pt>
                <c:pt idx="148">
                  <c:v>43353</c:v>
                </c:pt>
                <c:pt idx="149">
                  <c:v>43354</c:v>
                </c:pt>
                <c:pt idx="150">
                  <c:v>43355</c:v>
                </c:pt>
                <c:pt idx="151">
                  <c:v>43356</c:v>
                </c:pt>
                <c:pt idx="152">
                  <c:v>43357</c:v>
                </c:pt>
                <c:pt idx="153">
                  <c:v>43360</c:v>
                </c:pt>
                <c:pt idx="154">
                  <c:v>43361</c:v>
                </c:pt>
                <c:pt idx="155">
                  <c:v>43362</c:v>
                </c:pt>
                <c:pt idx="156">
                  <c:v>43363</c:v>
                </c:pt>
                <c:pt idx="157">
                  <c:v>43364</c:v>
                </c:pt>
                <c:pt idx="158">
                  <c:v>43367</c:v>
                </c:pt>
                <c:pt idx="159">
                  <c:v>43368</c:v>
                </c:pt>
                <c:pt idx="160">
                  <c:v>43369</c:v>
                </c:pt>
                <c:pt idx="161">
                  <c:v>43370</c:v>
                </c:pt>
                <c:pt idx="162">
                  <c:v>43371</c:v>
                </c:pt>
                <c:pt idx="163">
                  <c:v>43374</c:v>
                </c:pt>
                <c:pt idx="164">
                  <c:v>43375</c:v>
                </c:pt>
                <c:pt idx="165">
                  <c:v>43376</c:v>
                </c:pt>
                <c:pt idx="166">
                  <c:v>43377</c:v>
                </c:pt>
                <c:pt idx="167">
                  <c:v>43378</c:v>
                </c:pt>
                <c:pt idx="168">
                  <c:v>43381</c:v>
                </c:pt>
                <c:pt idx="169">
                  <c:v>43382</c:v>
                </c:pt>
                <c:pt idx="170">
                  <c:v>43383</c:v>
                </c:pt>
                <c:pt idx="171">
                  <c:v>43384</c:v>
                </c:pt>
                <c:pt idx="172">
                  <c:v>43385</c:v>
                </c:pt>
                <c:pt idx="173">
                  <c:v>43388</c:v>
                </c:pt>
                <c:pt idx="174">
                  <c:v>43389</c:v>
                </c:pt>
                <c:pt idx="175">
                  <c:v>43390</c:v>
                </c:pt>
                <c:pt idx="176">
                  <c:v>43391</c:v>
                </c:pt>
                <c:pt idx="177">
                  <c:v>43392</c:v>
                </c:pt>
                <c:pt idx="178">
                  <c:v>43395</c:v>
                </c:pt>
                <c:pt idx="179">
                  <c:v>43396</c:v>
                </c:pt>
                <c:pt idx="180">
                  <c:v>43397</c:v>
                </c:pt>
                <c:pt idx="181">
                  <c:v>43398</c:v>
                </c:pt>
                <c:pt idx="182">
                  <c:v>43399</c:v>
                </c:pt>
                <c:pt idx="183">
                  <c:v>43402</c:v>
                </c:pt>
                <c:pt idx="184">
                  <c:v>43403</c:v>
                </c:pt>
                <c:pt idx="185">
                  <c:v>43404</c:v>
                </c:pt>
                <c:pt idx="186">
                  <c:v>43405</c:v>
                </c:pt>
                <c:pt idx="187">
                  <c:v>43406</c:v>
                </c:pt>
                <c:pt idx="188">
                  <c:v>43409</c:v>
                </c:pt>
                <c:pt idx="189">
                  <c:v>43410</c:v>
                </c:pt>
                <c:pt idx="190">
                  <c:v>43411</c:v>
                </c:pt>
                <c:pt idx="191">
                  <c:v>43412</c:v>
                </c:pt>
                <c:pt idx="192">
                  <c:v>43413</c:v>
                </c:pt>
                <c:pt idx="193">
                  <c:v>43416</c:v>
                </c:pt>
                <c:pt idx="194">
                  <c:v>43417</c:v>
                </c:pt>
                <c:pt idx="195">
                  <c:v>43418</c:v>
                </c:pt>
                <c:pt idx="196">
                  <c:v>43419</c:v>
                </c:pt>
                <c:pt idx="197">
                  <c:v>43420</c:v>
                </c:pt>
                <c:pt idx="198">
                  <c:v>43423</c:v>
                </c:pt>
                <c:pt idx="199">
                  <c:v>43424</c:v>
                </c:pt>
                <c:pt idx="200">
                  <c:v>43425</c:v>
                </c:pt>
                <c:pt idx="201">
                  <c:v>43427</c:v>
                </c:pt>
                <c:pt idx="202">
                  <c:v>43430</c:v>
                </c:pt>
                <c:pt idx="203">
                  <c:v>43431</c:v>
                </c:pt>
                <c:pt idx="204">
                  <c:v>43432</c:v>
                </c:pt>
                <c:pt idx="205">
                  <c:v>43433</c:v>
                </c:pt>
                <c:pt idx="206">
                  <c:v>43434</c:v>
                </c:pt>
                <c:pt idx="207">
                  <c:v>43437</c:v>
                </c:pt>
                <c:pt idx="208">
                  <c:v>43438</c:v>
                </c:pt>
                <c:pt idx="209">
                  <c:v>43440</c:v>
                </c:pt>
                <c:pt idx="210">
                  <c:v>43441</c:v>
                </c:pt>
                <c:pt idx="211">
                  <c:v>43444</c:v>
                </c:pt>
                <c:pt idx="212">
                  <c:v>43445</c:v>
                </c:pt>
                <c:pt idx="213">
                  <c:v>43446</c:v>
                </c:pt>
                <c:pt idx="214">
                  <c:v>43447</c:v>
                </c:pt>
                <c:pt idx="215">
                  <c:v>43448</c:v>
                </c:pt>
                <c:pt idx="216">
                  <c:v>43451</c:v>
                </c:pt>
                <c:pt idx="217">
                  <c:v>43452</c:v>
                </c:pt>
                <c:pt idx="218">
                  <c:v>43453</c:v>
                </c:pt>
                <c:pt idx="219">
                  <c:v>43454</c:v>
                </c:pt>
                <c:pt idx="220">
                  <c:v>43455</c:v>
                </c:pt>
                <c:pt idx="221">
                  <c:v>43458</c:v>
                </c:pt>
                <c:pt idx="222">
                  <c:v>43460</c:v>
                </c:pt>
                <c:pt idx="223">
                  <c:v>43461</c:v>
                </c:pt>
                <c:pt idx="224">
                  <c:v>43462</c:v>
                </c:pt>
                <c:pt idx="225">
                  <c:v>43465</c:v>
                </c:pt>
                <c:pt idx="226">
                  <c:v>43467</c:v>
                </c:pt>
                <c:pt idx="227">
                  <c:v>43468</c:v>
                </c:pt>
                <c:pt idx="228">
                  <c:v>43469</c:v>
                </c:pt>
                <c:pt idx="229">
                  <c:v>43472</c:v>
                </c:pt>
                <c:pt idx="230">
                  <c:v>43473</c:v>
                </c:pt>
                <c:pt idx="231">
                  <c:v>43474</c:v>
                </c:pt>
                <c:pt idx="232">
                  <c:v>43475</c:v>
                </c:pt>
                <c:pt idx="233">
                  <c:v>43476</c:v>
                </c:pt>
                <c:pt idx="234">
                  <c:v>43479</c:v>
                </c:pt>
                <c:pt idx="235">
                  <c:v>43480</c:v>
                </c:pt>
                <c:pt idx="236">
                  <c:v>43481</c:v>
                </c:pt>
                <c:pt idx="237">
                  <c:v>43482</c:v>
                </c:pt>
                <c:pt idx="238">
                  <c:v>43483</c:v>
                </c:pt>
                <c:pt idx="239">
                  <c:v>43487</c:v>
                </c:pt>
                <c:pt idx="240">
                  <c:v>43488</c:v>
                </c:pt>
                <c:pt idx="241">
                  <c:v>43489</c:v>
                </c:pt>
                <c:pt idx="242">
                  <c:v>43490</c:v>
                </c:pt>
                <c:pt idx="243">
                  <c:v>43493</c:v>
                </c:pt>
                <c:pt idx="244">
                  <c:v>43494</c:v>
                </c:pt>
                <c:pt idx="245">
                  <c:v>43495</c:v>
                </c:pt>
                <c:pt idx="246">
                  <c:v>43496</c:v>
                </c:pt>
                <c:pt idx="247">
                  <c:v>43497</c:v>
                </c:pt>
                <c:pt idx="248">
                  <c:v>43500</c:v>
                </c:pt>
                <c:pt idx="249">
                  <c:v>43501</c:v>
                </c:pt>
                <c:pt idx="250">
                  <c:v>43502</c:v>
                </c:pt>
                <c:pt idx="251">
                  <c:v>43503</c:v>
                </c:pt>
                <c:pt idx="252">
                  <c:v>43504</c:v>
                </c:pt>
                <c:pt idx="253">
                  <c:v>43507</c:v>
                </c:pt>
                <c:pt idx="254">
                  <c:v>43508</c:v>
                </c:pt>
                <c:pt idx="255">
                  <c:v>43509</c:v>
                </c:pt>
                <c:pt idx="256">
                  <c:v>43510</c:v>
                </c:pt>
                <c:pt idx="257">
                  <c:v>43511</c:v>
                </c:pt>
                <c:pt idx="258">
                  <c:v>43515</c:v>
                </c:pt>
                <c:pt idx="259">
                  <c:v>43516</c:v>
                </c:pt>
                <c:pt idx="260">
                  <c:v>43517</c:v>
                </c:pt>
                <c:pt idx="261">
                  <c:v>43518</c:v>
                </c:pt>
                <c:pt idx="262">
                  <c:v>43521</c:v>
                </c:pt>
                <c:pt idx="263">
                  <c:v>43522</c:v>
                </c:pt>
                <c:pt idx="264">
                  <c:v>43523</c:v>
                </c:pt>
                <c:pt idx="265">
                  <c:v>43524</c:v>
                </c:pt>
                <c:pt idx="266">
                  <c:v>43525</c:v>
                </c:pt>
                <c:pt idx="267">
                  <c:v>43528</c:v>
                </c:pt>
                <c:pt idx="268">
                  <c:v>43529</c:v>
                </c:pt>
                <c:pt idx="269">
                  <c:v>43530</c:v>
                </c:pt>
                <c:pt idx="270">
                  <c:v>43531</c:v>
                </c:pt>
                <c:pt idx="271">
                  <c:v>43532</c:v>
                </c:pt>
                <c:pt idx="272">
                  <c:v>43535</c:v>
                </c:pt>
                <c:pt idx="273">
                  <c:v>43536</c:v>
                </c:pt>
                <c:pt idx="274">
                  <c:v>43537</c:v>
                </c:pt>
                <c:pt idx="275">
                  <c:v>43538</c:v>
                </c:pt>
                <c:pt idx="276">
                  <c:v>43539</c:v>
                </c:pt>
                <c:pt idx="277">
                  <c:v>43542</c:v>
                </c:pt>
                <c:pt idx="278">
                  <c:v>43543</c:v>
                </c:pt>
                <c:pt idx="279">
                  <c:v>43544</c:v>
                </c:pt>
                <c:pt idx="280">
                  <c:v>43545</c:v>
                </c:pt>
                <c:pt idx="281">
                  <c:v>43546</c:v>
                </c:pt>
                <c:pt idx="282">
                  <c:v>43549</c:v>
                </c:pt>
                <c:pt idx="283">
                  <c:v>43550</c:v>
                </c:pt>
                <c:pt idx="284">
                  <c:v>43551</c:v>
                </c:pt>
                <c:pt idx="285">
                  <c:v>43552</c:v>
                </c:pt>
                <c:pt idx="286">
                  <c:v>43553</c:v>
                </c:pt>
                <c:pt idx="287">
                  <c:v>43556</c:v>
                </c:pt>
                <c:pt idx="288">
                  <c:v>43557</c:v>
                </c:pt>
                <c:pt idx="289">
                  <c:v>43558</c:v>
                </c:pt>
                <c:pt idx="290">
                  <c:v>43559</c:v>
                </c:pt>
                <c:pt idx="291">
                  <c:v>43560</c:v>
                </c:pt>
                <c:pt idx="292">
                  <c:v>43563</c:v>
                </c:pt>
                <c:pt idx="293">
                  <c:v>43564</c:v>
                </c:pt>
                <c:pt idx="294">
                  <c:v>43565</c:v>
                </c:pt>
                <c:pt idx="295">
                  <c:v>43566</c:v>
                </c:pt>
                <c:pt idx="296">
                  <c:v>43567</c:v>
                </c:pt>
                <c:pt idx="297">
                  <c:v>43570</c:v>
                </c:pt>
                <c:pt idx="298">
                  <c:v>43571</c:v>
                </c:pt>
                <c:pt idx="299">
                  <c:v>43572</c:v>
                </c:pt>
                <c:pt idx="300">
                  <c:v>43573</c:v>
                </c:pt>
                <c:pt idx="301">
                  <c:v>43577</c:v>
                </c:pt>
                <c:pt idx="302">
                  <c:v>43578</c:v>
                </c:pt>
                <c:pt idx="303">
                  <c:v>43579</c:v>
                </c:pt>
                <c:pt idx="304">
                  <c:v>43580</c:v>
                </c:pt>
                <c:pt idx="305">
                  <c:v>43581</c:v>
                </c:pt>
                <c:pt idx="306">
                  <c:v>43584</c:v>
                </c:pt>
                <c:pt idx="307">
                  <c:v>43585</c:v>
                </c:pt>
                <c:pt idx="308">
                  <c:v>43586</c:v>
                </c:pt>
                <c:pt idx="309">
                  <c:v>43587</c:v>
                </c:pt>
                <c:pt idx="310">
                  <c:v>43588</c:v>
                </c:pt>
                <c:pt idx="311">
                  <c:v>43591</c:v>
                </c:pt>
                <c:pt idx="312">
                  <c:v>43592</c:v>
                </c:pt>
                <c:pt idx="313">
                  <c:v>43593</c:v>
                </c:pt>
                <c:pt idx="314">
                  <c:v>43594</c:v>
                </c:pt>
                <c:pt idx="315">
                  <c:v>43595</c:v>
                </c:pt>
                <c:pt idx="316">
                  <c:v>43598</c:v>
                </c:pt>
                <c:pt idx="317">
                  <c:v>43599</c:v>
                </c:pt>
                <c:pt idx="318">
                  <c:v>43600</c:v>
                </c:pt>
                <c:pt idx="319">
                  <c:v>43601</c:v>
                </c:pt>
                <c:pt idx="320">
                  <c:v>43602</c:v>
                </c:pt>
                <c:pt idx="321">
                  <c:v>43605</c:v>
                </c:pt>
                <c:pt idx="322">
                  <c:v>43606</c:v>
                </c:pt>
                <c:pt idx="323">
                  <c:v>43607</c:v>
                </c:pt>
                <c:pt idx="324">
                  <c:v>43608</c:v>
                </c:pt>
                <c:pt idx="325">
                  <c:v>43609</c:v>
                </c:pt>
                <c:pt idx="326">
                  <c:v>43613</c:v>
                </c:pt>
                <c:pt idx="327">
                  <c:v>43614</c:v>
                </c:pt>
                <c:pt idx="328">
                  <c:v>43615</c:v>
                </c:pt>
                <c:pt idx="329">
                  <c:v>43616</c:v>
                </c:pt>
                <c:pt idx="330">
                  <c:v>43619</c:v>
                </c:pt>
                <c:pt idx="331">
                  <c:v>43620</c:v>
                </c:pt>
                <c:pt idx="332">
                  <c:v>43621</c:v>
                </c:pt>
                <c:pt idx="333">
                  <c:v>43622</c:v>
                </c:pt>
                <c:pt idx="334">
                  <c:v>43623</c:v>
                </c:pt>
                <c:pt idx="335">
                  <c:v>43626</c:v>
                </c:pt>
                <c:pt idx="336">
                  <c:v>43627</c:v>
                </c:pt>
                <c:pt idx="337">
                  <c:v>43628</c:v>
                </c:pt>
                <c:pt idx="338">
                  <c:v>43629</c:v>
                </c:pt>
                <c:pt idx="339">
                  <c:v>43630</c:v>
                </c:pt>
                <c:pt idx="340">
                  <c:v>43633</c:v>
                </c:pt>
                <c:pt idx="341">
                  <c:v>43634</c:v>
                </c:pt>
                <c:pt idx="342">
                  <c:v>43635</c:v>
                </c:pt>
                <c:pt idx="343">
                  <c:v>43636</c:v>
                </c:pt>
                <c:pt idx="344">
                  <c:v>43637</c:v>
                </c:pt>
                <c:pt idx="345">
                  <c:v>43640</c:v>
                </c:pt>
                <c:pt idx="346">
                  <c:v>43641</c:v>
                </c:pt>
                <c:pt idx="347">
                  <c:v>43642</c:v>
                </c:pt>
                <c:pt idx="348">
                  <c:v>43643</c:v>
                </c:pt>
                <c:pt idx="349">
                  <c:v>43644</c:v>
                </c:pt>
                <c:pt idx="350">
                  <c:v>43647</c:v>
                </c:pt>
                <c:pt idx="351">
                  <c:v>43648</c:v>
                </c:pt>
                <c:pt idx="352">
                  <c:v>43649</c:v>
                </c:pt>
                <c:pt idx="353">
                  <c:v>43651</c:v>
                </c:pt>
                <c:pt idx="354">
                  <c:v>43654</c:v>
                </c:pt>
                <c:pt idx="355">
                  <c:v>43655</c:v>
                </c:pt>
                <c:pt idx="356">
                  <c:v>43656</c:v>
                </c:pt>
                <c:pt idx="357">
                  <c:v>43657</c:v>
                </c:pt>
                <c:pt idx="358">
                  <c:v>43658</c:v>
                </c:pt>
                <c:pt idx="359">
                  <c:v>43661</c:v>
                </c:pt>
                <c:pt idx="360">
                  <c:v>43662</c:v>
                </c:pt>
                <c:pt idx="361">
                  <c:v>43663</c:v>
                </c:pt>
                <c:pt idx="362">
                  <c:v>43664</c:v>
                </c:pt>
                <c:pt idx="363">
                  <c:v>43665</c:v>
                </c:pt>
                <c:pt idx="364">
                  <c:v>43668</c:v>
                </c:pt>
                <c:pt idx="365">
                  <c:v>43669</c:v>
                </c:pt>
                <c:pt idx="366">
                  <c:v>43670</c:v>
                </c:pt>
                <c:pt idx="367">
                  <c:v>43671</c:v>
                </c:pt>
                <c:pt idx="368">
                  <c:v>43672</c:v>
                </c:pt>
                <c:pt idx="369">
                  <c:v>43675</c:v>
                </c:pt>
                <c:pt idx="370">
                  <c:v>43676</c:v>
                </c:pt>
                <c:pt idx="371">
                  <c:v>43677</c:v>
                </c:pt>
                <c:pt idx="372">
                  <c:v>43678</c:v>
                </c:pt>
                <c:pt idx="373">
                  <c:v>43679</c:v>
                </c:pt>
                <c:pt idx="374">
                  <c:v>43682</c:v>
                </c:pt>
                <c:pt idx="375">
                  <c:v>43683</c:v>
                </c:pt>
                <c:pt idx="376">
                  <c:v>43684</c:v>
                </c:pt>
                <c:pt idx="377">
                  <c:v>43685</c:v>
                </c:pt>
                <c:pt idx="378">
                  <c:v>43686</c:v>
                </c:pt>
                <c:pt idx="379">
                  <c:v>43689</c:v>
                </c:pt>
                <c:pt idx="380">
                  <c:v>43690</c:v>
                </c:pt>
                <c:pt idx="381">
                  <c:v>43691</c:v>
                </c:pt>
                <c:pt idx="382">
                  <c:v>43692</c:v>
                </c:pt>
                <c:pt idx="383">
                  <c:v>43693</c:v>
                </c:pt>
                <c:pt idx="384">
                  <c:v>43696</c:v>
                </c:pt>
                <c:pt idx="385">
                  <c:v>43697</c:v>
                </c:pt>
                <c:pt idx="386">
                  <c:v>43698</c:v>
                </c:pt>
                <c:pt idx="387">
                  <c:v>43699</c:v>
                </c:pt>
                <c:pt idx="388">
                  <c:v>43700</c:v>
                </c:pt>
                <c:pt idx="389">
                  <c:v>43703</c:v>
                </c:pt>
                <c:pt idx="390">
                  <c:v>43704</c:v>
                </c:pt>
                <c:pt idx="391">
                  <c:v>43705</c:v>
                </c:pt>
                <c:pt idx="392">
                  <c:v>43706</c:v>
                </c:pt>
                <c:pt idx="393">
                  <c:v>43707</c:v>
                </c:pt>
                <c:pt idx="394">
                  <c:v>43711</c:v>
                </c:pt>
                <c:pt idx="395">
                  <c:v>43712</c:v>
                </c:pt>
                <c:pt idx="396">
                  <c:v>43713</c:v>
                </c:pt>
                <c:pt idx="397">
                  <c:v>43714</c:v>
                </c:pt>
                <c:pt idx="398">
                  <c:v>43717</c:v>
                </c:pt>
                <c:pt idx="399">
                  <c:v>43718</c:v>
                </c:pt>
                <c:pt idx="400">
                  <c:v>43719</c:v>
                </c:pt>
                <c:pt idx="401">
                  <c:v>43720</c:v>
                </c:pt>
                <c:pt idx="402">
                  <c:v>43721</c:v>
                </c:pt>
                <c:pt idx="403">
                  <c:v>43724</c:v>
                </c:pt>
                <c:pt idx="404">
                  <c:v>43725</c:v>
                </c:pt>
                <c:pt idx="405">
                  <c:v>43726</c:v>
                </c:pt>
                <c:pt idx="406">
                  <c:v>43727</c:v>
                </c:pt>
                <c:pt idx="407">
                  <c:v>43728</c:v>
                </c:pt>
                <c:pt idx="408">
                  <c:v>43731</c:v>
                </c:pt>
                <c:pt idx="409">
                  <c:v>43732</c:v>
                </c:pt>
                <c:pt idx="410">
                  <c:v>43733</c:v>
                </c:pt>
                <c:pt idx="411">
                  <c:v>43734</c:v>
                </c:pt>
                <c:pt idx="412">
                  <c:v>43735</c:v>
                </c:pt>
                <c:pt idx="413">
                  <c:v>43738</c:v>
                </c:pt>
                <c:pt idx="414">
                  <c:v>43739</c:v>
                </c:pt>
                <c:pt idx="415">
                  <c:v>43740</c:v>
                </c:pt>
                <c:pt idx="416">
                  <c:v>43741</c:v>
                </c:pt>
                <c:pt idx="417">
                  <c:v>43742</c:v>
                </c:pt>
                <c:pt idx="418">
                  <c:v>43745</c:v>
                </c:pt>
                <c:pt idx="419">
                  <c:v>43746</c:v>
                </c:pt>
                <c:pt idx="420">
                  <c:v>43747</c:v>
                </c:pt>
                <c:pt idx="421">
                  <c:v>43748</c:v>
                </c:pt>
                <c:pt idx="422">
                  <c:v>43749</c:v>
                </c:pt>
                <c:pt idx="423">
                  <c:v>43752</c:v>
                </c:pt>
                <c:pt idx="424">
                  <c:v>43753</c:v>
                </c:pt>
                <c:pt idx="425">
                  <c:v>43754</c:v>
                </c:pt>
                <c:pt idx="426">
                  <c:v>43755</c:v>
                </c:pt>
                <c:pt idx="427">
                  <c:v>43756</c:v>
                </c:pt>
                <c:pt idx="428">
                  <c:v>43759</c:v>
                </c:pt>
                <c:pt idx="429">
                  <c:v>43760</c:v>
                </c:pt>
                <c:pt idx="430">
                  <c:v>43761</c:v>
                </c:pt>
                <c:pt idx="431">
                  <c:v>43762</c:v>
                </c:pt>
                <c:pt idx="432">
                  <c:v>43763</c:v>
                </c:pt>
                <c:pt idx="433">
                  <c:v>43766</c:v>
                </c:pt>
                <c:pt idx="434">
                  <c:v>43767</c:v>
                </c:pt>
                <c:pt idx="435">
                  <c:v>43768</c:v>
                </c:pt>
                <c:pt idx="436">
                  <c:v>43769</c:v>
                </c:pt>
                <c:pt idx="437">
                  <c:v>43770</c:v>
                </c:pt>
                <c:pt idx="438">
                  <c:v>43773</c:v>
                </c:pt>
                <c:pt idx="439">
                  <c:v>43774</c:v>
                </c:pt>
                <c:pt idx="440">
                  <c:v>43775</c:v>
                </c:pt>
                <c:pt idx="441">
                  <c:v>43776</c:v>
                </c:pt>
                <c:pt idx="442">
                  <c:v>43777</c:v>
                </c:pt>
                <c:pt idx="443">
                  <c:v>43780</c:v>
                </c:pt>
                <c:pt idx="444">
                  <c:v>43781</c:v>
                </c:pt>
                <c:pt idx="445">
                  <c:v>43782</c:v>
                </c:pt>
                <c:pt idx="446">
                  <c:v>43783</c:v>
                </c:pt>
                <c:pt idx="447">
                  <c:v>43784</c:v>
                </c:pt>
                <c:pt idx="448">
                  <c:v>43787</c:v>
                </c:pt>
                <c:pt idx="449">
                  <c:v>43788</c:v>
                </c:pt>
                <c:pt idx="450">
                  <c:v>43789</c:v>
                </c:pt>
                <c:pt idx="451">
                  <c:v>43790</c:v>
                </c:pt>
                <c:pt idx="452">
                  <c:v>43791</c:v>
                </c:pt>
                <c:pt idx="453">
                  <c:v>43794</c:v>
                </c:pt>
                <c:pt idx="454">
                  <c:v>43795</c:v>
                </c:pt>
                <c:pt idx="455">
                  <c:v>43796</c:v>
                </c:pt>
                <c:pt idx="456">
                  <c:v>43798</c:v>
                </c:pt>
                <c:pt idx="457">
                  <c:v>43801</c:v>
                </c:pt>
                <c:pt idx="458">
                  <c:v>43802</c:v>
                </c:pt>
                <c:pt idx="459">
                  <c:v>43803</c:v>
                </c:pt>
                <c:pt idx="460">
                  <c:v>43804</c:v>
                </c:pt>
                <c:pt idx="461">
                  <c:v>43805</c:v>
                </c:pt>
                <c:pt idx="462">
                  <c:v>43808</c:v>
                </c:pt>
                <c:pt idx="463">
                  <c:v>43809</c:v>
                </c:pt>
                <c:pt idx="464">
                  <c:v>43810</c:v>
                </c:pt>
                <c:pt idx="465">
                  <c:v>43811</c:v>
                </c:pt>
                <c:pt idx="466">
                  <c:v>43812</c:v>
                </c:pt>
                <c:pt idx="467">
                  <c:v>43815</c:v>
                </c:pt>
                <c:pt idx="468">
                  <c:v>43816</c:v>
                </c:pt>
                <c:pt idx="469">
                  <c:v>43817</c:v>
                </c:pt>
                <c:pt idx="470">
                  <c:v>43818</c:v>
                </c:pt>
                <c:pt idx="471">
                  <c:v>43819</c:v>
                </c:pt>
                <c:pt idx="472">
                  <c:v>43822</c:v>
                </c:pt>
                <c:pt idx="473">
                  <c:v>43823</c:v>
                </c:pt>
                <c:pt idx="474">
                  <c:v>43825</c:v>
                </c:pt>
                <c:pt idx="475">
                  <c:v>43826</c:v>
                </c:pt>
                <c:pt idx="476">
                  <c:v>43829</c:v>
                </c:pt>
                <c:pt idx="477">
                  <c:v>43830</c:v>
                </c:pt>
                <c:pt idx="478">
                  <c:v>43832</c:v>
                </c:pt>
                <c:pt idx="479">
                  <c:v>43833</c:v>
                </c:pt>
                <c:pt idx="480">
                  <c:v>43836</c:v>
                </c:pt>
                <c:pt idx="481">
                  <c:v>43837</c:v>
                </c:pt>
                <c:pt idx="482">
                  <c:v>43838</c:v>
                </c:pt>
                <c:pt idx="483">
                  <c:v>43839</c:v>
                </c:pt>
                <c:pt idx="484">
                  <c:v>43840</c:v>
                </c:pt>
                <c:pt idx="485">
                  <c:v>43843</c:v>
                </c:pt>
                <c:pt idx="486">
                  <c:v>43844</c:v>
                </c:pt>
                <c:pt idx="487">
                  <c:v>43845</c:v>
                </c:pt>
                <c:pt idx="488">
                  <c:v>43846</c:v>
                </c:pt>
                <c:pt idx="489">
                  <c:v>43847</c:v>
                </c:pt>
                <c:pt idx="490">
                  <c:v>43851</c:v>
                </c:pt>
                <c:pt idx="491">
                  <c:v>43852</c:v>
                </c:pt>
                <c:pt idx="492">
                  <c:v>43853</c:v>
                </c:pt>
                <c:pt idx="493">
                  <c:v>43854</c:v>
                </c:pt>
                <c:pt idx="494">
                  <c:v>43857</c:v>
                </c:pt>
                <c:pt idx="495">
                  <c:v>43858</c:v>
                </c:pt>
                <c:pt idx="496">
                  <c:v>43859</c:v>
                </c:pt>
                <c:pt idx="497">
                  <c:v>43860</c:v>
                </c:pt>
                <c:pt idx="498">
                  <c:v>43861</c:v>
                </c:pt>
                <c:pt idx="499">
                  <c:v>43864</c:v>
                </c:pt>
                <c:pt idx="500">
                  <c:v>43864</c:v>
                </c:pt>
              </c:numCache>
            </c:numRef>
          </c:cat>
          <c:val>
            <c:numRef>
              <c:f>Data!$I$2:$I$502</c:f>
              <c:numCache>
                <c:formatCode>0.00</c:formatCode>
                <c:ptCount val="501"/>
                <c:pt idx="0">
                  <c:v>15496.300859990399</c:v>
                </c:pt>
                <c:pt idx="1">
                  <c:v>14999.238833712599</c:v>
                </c:pt>
                <c:pt idx="2">
                  <c:v>14769.9154241331</c:v>
                </c:pt>
                <c:pt idx="3">
                  <c:v>15052.534060240499</c:v>
                </c:pt>
                <c:pt idx="4">
                  <c:v>15030.9666</c:v>
                </c:pt>
                <c:pt idx="5">
                  <c:v>15211.716640316799</c:v>
                </c:pt>
                <c:pt idx="6">
                  <c:v>15309.250703279999</c:v>
                </c:pt>
                <c:pt idx="7">
                  <c:v>15444.165939628299</c:v>
                </c:pt>
                <c:pt idx="8">
                  <c:v>15361.366270969098</c:v>
                </c:pt>
                <c:pt idx="9">
                  <c:v>15346.185281960399</c:v>
                </c:pt>
                <c:pt idx="10">
                  <c:v>15374.258559457199</c:v>
                </c:pt>
                <c:pt idx="11">
                  <c:v>15473.6577533405</c:v>
                </c:pt>
                <c:pt idx="12">
                  <c:v>15497.2012322469</c:v>
                </c:pt>
                <c:pt idx="13">
                  <c:v>15364.8475499169</c:v>
                </c:pt>
                <c:pt idx="14">
                  <c:v>15279.9284145783</c:v>
                </c:pt>
                <c:pt idx="15">
                  <c:v>15042.401396577001</c:v>
                </c:pt>
                <c:pt idx="16">
                  <c:v>14599.060186209401</c:v>
                </c:pt>
                <c:pt idx="17">
                  <c:v>14912.8792023078</c:v>
                </c:pt>
                <c:pt idx="18">
                  <c:v>14907.328565980199</c:v>
                </c:pt>
                <c:pt idx="19">
                  <c:v>15132.8163230016</c:v>
                </c:pt>
                <c:pt idx="20">
                  <c:v>15386.3917107789</c:v>
                </c:pt>
                <c:pt idx="21">
                  <c:v>15312.3521490576</c:v>
                </c:pt>
                <c:pt idx="22">
                  <c:v>15284.553978758398</c:v>
                </c:pt>
                <c:pt idx="23">
                  <c:v>15036.755647899199</c:v>
                </c:pt>
                <c:pt idx="24">
                  <c:v>15080.5672903582</c:v>
                </c:pt>
                <c:pt idx="25">
                  <c:v>15185.038271099998</c:v>
                </c:pt>
                <c:pt idx="26">
                  <c:v>15202.014755706003</c:v>
                </c:pt>
                <c:pt idx="27">
                  <c:v>15003.721686021099</c:v>
                </c:pt>
                <c:pt idx="28">
                  <c:v>15054.326151409601</c:v>
                </c:pt>
                <c:pt idx="29">
                  <c:v>15125.484000460798</c:v>
                </c:pt>
                <c:pt idx="30">
                  <c:v>14904.878640080402</c:v>
                </c:pt>
                <c:pt idx="31">
                  <c:v>14690.289997562999</c:v>
                </c:pt>
                <c:pt idx="32">
                  <c:v>14571.410522729198</c:v>
                </c:pt>
                <c:pt idx="33">
                  <c:v>14760.033486174003</c:v>
                </c:pt>
                <c:pt idx="34">
                  <c:v>14732.4479498818</c:v>
                </c:pt>
                <c:pt idx="35">
                  <c:v>14969.7039553875</c:v>
                </c:pt>
                <c:pt idx="36">
                  <c:v>14839.829421097998</c:v>
                </c:pt>
                <c:pt idx="37">
                  <c:v>14794.314363745199</c:v>
                </c:pt>
                <c:pt idx="38">
                  <c:v>15190.757585834999</c:v>
                </c:pt>
                <c:pt idx="39">
                  <c:v>15033.5031110211</c:v>
                </c:pt>
                <c:pt idx="40">
                  <c:v>14965.465875</c:v>
                </c:pt>
                <c:pt idx="41">
                  <c:v>15169.361134986801</c:v>
                </c:pt>
                <c:pt idx="42">
                  <c:v>14967.9081426225</c:v>
                </c:pt>
                <c:pt idx="43">
                  <c:v>15028.369321742997</c:v>
                </c:pt>
                <c:pt idx="44">
                  <c:v>15083.921994009299</c:v>
                </c:pt>
                <c:pt idx="45">
                  <c:v>14971.301750479199</c:v>
                </c:pt>
                <c:pt idx="46">
                  <c:v>15096.3915904435</c:v>
                </c:pt>
                <c:pt idx="47">
                  <c:v>15041.005611178802</c:v>
                </c:pt>
                <c:pt idx="48">
                  <c:v>15073.363454446799</c:v>
                </c:pt>
                <c:pt idx="49">
                  <c:v>15000.946099999999</c:v>
                </c:pt>
                <c:pt idx="50">
                  <c:v>14991.317416275198</c:v>
                </c:pt>
                <c:pt idx="51">
                  <c:v>14884.0178091867</c:v>
                </c:pt>
                <c:pt idx="52">
                  <c:v>14732.84756873</c:v>
                </c:pt>
                <c:pt idx="53">
                  <c:v>14904.310055502099</c:v>
                </c:pt>
                <c:pt idx="54">
                  <c:v>15027.849354756499</c:v>
                </c:pt>
                <c:pt idx="55">
                  <c:v>15062.643393393599</c:v>
                </c:pt>
                <c:pt idx="56">
                  <c:v>15166.825575000001</c:v>
                </c:pt>
                <c:pt idx="57">
                  <c:v>14971.839431301798</c:v>
                </c:pt>
                <c:pt idx="58">
                  <c:v>15121.999698776401</c:v>
                </c:pt>
                <c:pt idx="59">
                  <c:v>15246.434435520001</c:v>
                </c:pt>
                <c:pt idx="60">
                  <c:v>15200.253566089201</c:v>
                </c:pt>
                <c:pt idx="61">
                  <c:v>15248.218479416999</c:v>
                </c:pt>
                <c:pt idx="62">
                  <c:v>15245.874045971901</c:v>
                </c:pt>
                <c:pt idx="63">
                  <c:v>15243.954174365002</c:v>
                </c:pt>
                <c:pt idx="64">
                  <c:v>15142.391982494801</c:v>
                </c:pt>
                <c:pt idx="65">
                  <c:v>15082.8595613531</c:v>
                </c:pt>
                <c:pt idx="66">
                  <c:v>14988.667478957401</c:v>
                </c:pt>
                <c:pt idx="67">
                  <c:v>15283.7669042208</c:v>
                </c:pt>
                <c:pt idx="68">
                  <c:v>15281.315500999501</c:v>
                </c:pt>
                <c:pt idx="69">
                  <c:v>15302.373915366998</c:v>
                </c:pt>
                <c:pt idx="70">
                  <c:v>15408.806308739999</c:v>
                </c:pt>
                <c:pt idx="71">
                  <c:v>15203.6655612304</c:v>
                </c:pt>
                <c:pt idx="72">
                  <c:v>15126.584219434801</c:v>
                </c:pt>
                <c:pt idx="73">
                  <c:v>15283.6709365758</c:v>
                </c:pt>
                <c:pt idx="74">
                  <c:v>15137.719682104802</c:v>
                </c:pt>
                <c:pt idx="75">
                  <c:v>14926.215108254397</c:v>
                </c:pt>
                <c:pt idx="76">
                  <c:v>15018.3609730968</c:v>
                </c:pt>
                <c:pt idx="77">
                  <c:v>14853.6019612032</c:v>
                </c:pt>
                <c:pt idx="78">
                  <c:v>14756.3353751007</c:v>
                </c:pt>
                <c:pt idx="79">
                  <c:v>14830.671974999999</c:v>
                </c:pt>
                <c:pt idx="80">
                  <c:v>14850.972646116199</c:v>
                </c:pt>
                <c:pt idx="81">
                  <c:v>14845.674359172301</c:v>
                </c:pt>
                <c:pt idx="82">
                  <c:v>14840.320094112001</c:v>
                </c:pt>
                <c:pt idx="83">
                  <c:v>14834.730873409999</c:v>
                </c:pt>
                <c:pt idx="84">
                  <c:v>14973.548950880398</c:v>
                </c:pt>
                <c:pt idx="85">
                  <c:v>15034.480381713502</c:v>
                </c:pt>
                <c:pt idx="86">
                  <c:v>15016.236732862202</c:v>
                </c:pt>
                <c:pt idx="87">
                  <c:v>15133.457208551401</c:v>
                </c:pt>
                <c:pt idx="88">
                  <c:v>15037.593464619</c:v>
                </c:pt>
                <c:pt idx="89">
                  <c:v>14979.973602854399</c:v>
                </c:pt>
                <c:pt idx="90">
                  <c:v>14759.692356173398</c:v>
                </c:pt>
                <c:pt idx="91">
                  <c:v>14792.4006137712</c:v>
                </c:pt>
                <c:pt idx="92">
                  <c:v>14572.621758693202</c:v>
                </c:pt>
                <c:pt idx="93">
                  <c:v>14693.112641135998</c:v>
                </c:pt>
                <c:pt idx="94">
                  <c:v>14407.8215775876</c:v>
                </c:pt>
                <c:pt idx="95">
                  <c:v>14374.125882715602</c:v>
                </c:pt>
                <c:pt idx="96">
                  <c:v>14500.973136353598</c:v>
                </c:pt>
                <c:pt idx="97">
                  <c:v>14216.9165725575</c:v>
                </c:pt>
                <c:pt idx="98">
                  <c:v>14356.179600000001</c:v>
                </c:pt>
                <c:pt idx="99">
                  <c:v>14290.511017919398</c:v>
                </c:pt>
                <c:pt idx="100">
                  <c:v>14464.5472697024</c:v>
                </c:pt>
                <c:pt idx="101">
                  <c:v>14362.333670431999</c:v>
                </c:pt>
                <c:pt idx="102">
                  <c:v>14517.1586084233</c:v>
                </c:pt>
                <c:pt idx="103">
                  <c:v>14549.290640184598</c:v>
                </c:pt>
                <c:pt idx="104">
                  <c:v>14705.201834350399</c:v>
                </c:pt>
                <c:pt idx="105">
                  <c:v>14740.914192921002</c:v>
                </c:pt>
                <c:pt idx="106">
                  <c:v>14505.691129320598</c:v>
                </c:pt>
                <c:pt idx="107">
                  <c:v>14656.752083716399</c:v>
                </c:pt>
                <c:pt idx="108">
                  <c:v>14603.680631150501</c:v>
                </c:pt>
                <c:pt idx="109">
                  <c:v>14641.124365333599</c:v>
                </c:pt>
                <c:pt idx="110">
                  <c:v>14825.3972316651</c:v>
                </c:pt>
                <c:pt idx="111">
                  <c:v>14933.597115013999</c:v>
                </c:pt>
                <c:pt idx="112">
                  <c:v>14794.751443481799</c:v>
                </c:pt>
                <c:pt idx="113">
                  <c:v>14553.6611216292</c:v>
                </c:pt>
                <c:pt idx="114">
                  <c:v>14524.9701372975</c:v>
                </c:pt>
                <c:pt idx="115">
                  <c:v>14662.589738264</c:v>
                </c:pt>
                <c:pt idx="116">
                  <c:v>14584.475292433201</c:v>
                </c:pt>
                <c:pt idx="117">
                  <c:v>14881.763958884199</c:v>
                </c:pt>
                <c:pt idx="118">
                  <c:v>14835.757891057599</c:v>
                </c:pt>
                <c:pt idx="119">
                  <c:v>14593.787682358501</c:v>
                </c:pt>
                <c:pt idx="120">
                  <c:v>14588.025599999999</c:v>
                </c:pt>
                <c:pt idx="121">
                  <c:v>14445.088183850503</c:v>
                </c:pt>
                <c:pt idx="122">
                  <c:v>14241.339271537801</c:v>
                </c:pt>
                <c:pt idx="123">
                  <c:v>14340.3341260122</c:v>
                </c:pt>
                <c:pt idx="124">
                  <c:v>14409.8325533918</c:v>
                </c:pt>
                <c:pt idx="125">
                  <c:v>14501.150327995001</c:v>
                </c:pt>
                <c:pt idx="126">
                  <c:v>14619.532533130799</c:v>
                </c:pt>
                <c:pt idx="127">
                  <c:v>14690.344286932801</c:v>
                </c:pt>
                <c:pt idx="128">
                  <c:v>14333.9721439033</c:v>
                </c:pt>
                <c:pt idx="129">
                  <c:v>14368.271396048402</c:v>
                </c:pt>
                <c:pt idx="130">
                  <c:v>14432.688522632599</c:v>
                </c:pt>
                <c:pt idx="131">
                  <c:v>14225.8562223136</c:v>
                </c:pt>
                <c:pt idx="132">
                  <c:v>14316.265091747799</c:v>
                </c:pt>
                <c:pt idx="133">
                  <c:v>14242.385292552002</c:v>
                </c:pt>
                <c:pt idx="134">
                  <c:v>14308.007163741502</c:v>
                </c:pt>
                <c:pt idx="135">
                  <c:v>14385.8238558144</c:v>
                </c:pt>
                <c:pt idx="136">
                  <c:v>14337.686545731998</c:v>
                </c:pt>
                <c:pt idx="137">
                  <c:v>14376.223398682801</c:v>
                </c:pt>
                <c:pt idx="138">
                  <c:v>14408.6289547875</c:v>
                </c:pt>
                <c:pt idx="139">
                  <c:v>14498.047355791001</c:v>
                </c:pt>
                <c:pt idx="140">
                  <c:v>14524.290657566798</c:v>
                </c:pt>
                <c:pt idx="141">
                  <c:v>14553.962086516802</c:v>
                </c:pt>
                <c:pt idx="142">
                  <c:v>14525.803696048402</c:v>
                </c:pt>
                <c:pt idx="143">
                  <c:v>14456.058449243999</c:v>
                </c:pt>
                <c:pt idx="144">
                  <c:v>14360.1096524436</c:v>
                </c:pt>
                <c:pt idx="145">
                  <c:v>14265.1882974363</c:v>
                </c:pt>
                <c:pt idx="146">
                  <c:v>14045.196544506502</c:v>
                </c:pt>
                <c:pt idx="147">
                  <c:v>13955.363325</c:v>
                </c:pt>
                <c:pt idx="148">
                  <c:v>14081.268224244199</c:v>
                </c:pt>
                <c:pt idx="149">
                  <c:v>14083.9493167</c:v>
                </c:pt>
                <c:pt idx="150">
                  <c:v>14073.445887596699</c:v>
                </c:pt>
                <c:pt idx="151">
                  <c:v>14159.610410524001</c:v>
                </c:pt>
                <c:pt idx="152">
                  <c:v>14179.737680640999</c:v>
                </c:pt>
                <c:pt idx="153">
                  <c:v>14124.844540870001</c:v>
                </c:pt>
                <c:pt idx="154">
                  <c:v>14048.770755178401</c:v>
                </c:pt>
                <c:pt idx="155">
                  <c:v>14071.287167722799</c:v>
                </c:pt>
                <c:pt idx="156">
                  <c:v>14103.192342680199</c:v>
                </c:pt>
                <c:pt idx="157">
                  <c:v>14195.1749081004</c:v>
                </c:pt>
                <c:pt idx="158">
                  <c:v>14310.4289213096</c:v>
                </c:pt>
                <c:pt idx="159">
                  <c:v>14233.085328701201</c:v>
                </c:pt>
                <c:pt idx="160">
                  <c:v>14217.247053228401</c:v>
                </c:pt>
                <c:pt idx="161">
                  <c:v>14238.818739340801</c:v>
                </c:pt>
                <c:pt idx="162">
                  <c:v>14330.773736225601</c:v>
                </c:pt>
                <c:pt idx="163">
                  <c:v>14197.634632711701</c:v>
                </c:pt>
                <c:pt idx="164">
                  <c:v>14262.6850925607</c:v>
                </c:pt>
                <c:pt idx="165">
                  <c:v>14232.704004347403</c:v>
                </c:pt>
                <c:pt idx="166">
                  <c:v>14176.2648844544</c:v>
                </c:pt>
                <c:pt idx="167">
                  <c:v>13937.1637799237</c:v>
                </c:pt>
                <c:pt idx="168">
                  <c:v>13696.224402838401</c:v>
                </c:pt>
                <c:pt idx="169">
                  <c:v>13786.9776277497</c:v>
                </c:pt>
                <c:pt idx="170">
                  <c:v>13431.895</c:v>
                </c:pt>
                <c:pt idx="171">
                  <c:v>13234.480066562101</c:v>
                </c:pt>
                <c:pt idx="172">
                  <c:v>13122.161957359</c:v>
                </c:pt>
                <c:pt idx="173">
                  <c:v>13196.008769247201</c:v>
                </c:pt>
                <c:pt idx="174">
                  <c:v>13431.155052602502</c:v>
                </c:pt>
                <c:pt idx="175">
                  <c:v>13345.762487001601</c:v>
                </c:pt>
                <c:pt idx="176">
                  <c:v>13145.640858762301</c:v>
                </c:pt>
                <c:pt idx="177">
                  <c:v>13072.003350249201</c:v>
                </c:pt>
                <c:pt idx="178">
                  <c:v>13145.8144600508</c:v>
                </c:pt>
                <c:pt idx="179">
                  <c:v>12830.130950674</c:v>
                </c:pt>
                <c:pt idx="180">
                  <c:v>12769.649696503</c:v>
                </c:pt>
                <c:pt idx="181">
                  <c:v>12903.685477520401</c:v>
                </c:pt>
                <c:pt idx="182">
                  <c:v>12831.430406035201</c:v>
                </c:pt>
                <c:pt idx="183">
                  <c:v>12881.640004971601</c:v>
                </c:pt>
                <c:pt idx="184">
                  <c:v>12788.612471184</c:v>
                </c:pt>
                <c:pt idx="185">
                  <c:v>12868.1457279606</c:v>
                </c:pt>
                <c:pt idx="186">
                  <c:v>12928.485185964699</c:v>
                </c:pt>
                <c:pt idx="187">
                  <c:v>13057.9273292624</c:v>
                </c:pt>
                <c:pt idx="188">
                  <c:v>13044.480563742802</c:v>
                </c:pt>
                <c:pt idx="189">
                  <c:v>13102.4833280196</c:v>
                </c:pt>
                <c:pt idx="190">
                  <c:v>13262.700692148601</c:v>
                </c:pt>
                <c:pt idx="191">
                  <c:v>13099.646803693202</c:v>
                </c:pt>
                <c:pt idx="192">
                  <c:v>13132.8663336996</c:v>
                </c:pt>
                <c:pt idx="193">
                  <c:v>12917.797354458002</c:v>
                </c:pt>
                <c:pt idx="194">
                  <c:v>13000.319394636399</c:v>
                </c:pt>
                <c:pt idx="195">
                  <c:v>12929.2555462817</c:v>
                </c:pt>
                <c:pt idx="196">
                  <c:v>12819.4287089302</c:v>
                </c:pt>
                <c:pt idx="197">
                  <c:v>12894.717000000001</c:v>
                </c:pt>
                <c:pt idx="198">
                  <c:v>12799.659926393701</c:v>
                </c:pt>
                <c:pt idx="199">
                  <c:v>12517.216527451599</c:v>
                </c:pt>
                <c:pt idx="200">
                  <c:v>12750.888691547998</c:v>
                </c:pt>
                <c:pt idx="201">
                  <c:v>12633.275623402802</c:v>
                </c:pt>
                <c:pt idx="202">
                  <c:v>12700.345830921002</c:v>
                </c:pt>
                <c:pt idx="203">
                  <c:v>12921.671049325998</c:v>
                </c:pt>
                <c:pt idx="204">
                  <c:v>12905.9567337024</c:v>
                </c:pt>
                <c:pt idx="205">
                  <c:v>12826.488443181599</c:v>
                </c:pt>
                <c:pt idx="206">
                  <c:v>12796.375829189401</c:v>
                </c:pt>
                <c:pt idx="207">
                  <c:v>12794.979249964401</c:v>
                </c:pt>
                <c:pt idx="208">
                  <c:v>13031.6417916726</c:v>
                </c:pt>
                <c:pt idx="209">
                  <c:v>12815.7131458778</c:v>
                </c:pt>
                <c:pt idx="210">
                  <c:v>12710.032617543202</c:v>
                </c:pt>
                <c:pt idx="211">
                  <c:v>12273.7061264557</c:v>
                </c:pt>
                <c:pt idx="212">
                  <c:v>12275.767433487599</c:v>
                </c:pt>
                <c:pt idx="213">
                  <c:v>12182.4524419797</c:v>
                </c:pt>
                <c:pt idx="214">
                  <c:v>12258.5176549186</c:v>
                </c:pt>
                <c:pt idx="215">
                  <c:v>12475.943988851999</c:v>
                </c:pt>
                <c:pt idx="216">
                  <c:v>12451.973282260999</c:v>
                </c:pt>
                <c:pt idx="217">
                  <c:v>12338.081302450499</c:v>
                </c:pt>
                <c:pt idx="218">
                  <c:v>12328.7831231775</c:v>
                </c:pt>
                <c:pt idx="219">
                  <c:v>12288.6518462768</c:v>
                </c:pt>
                <c:pt idx="220">
                  <c:v>12321.927300364501</c:v>
                </c:pt>
                <c:pt idx="221">
                  <c:v>12122.120193321602</c:v>
                </c:pt>
                <c:pt idx="222">
                  <c:v>12059.815616973301</c:v>
                </c:pt>
                <c:pt idx="223">
                  <c:v>11830.768529333598</c:v>
                </c:pt>
                <c:pt idx="224">
                  <c:v>12032.9907715556</c:v>
                </c:pt>
                <c:pt idx="225">
                  <c:v>12141.826537468</c:v>
                </c:pt>
                <c:pt idx="226">
                  <c:v>11915.617552448399</c:v>
                </c:pt>
                <c:pt idx="227">
                  <c:v>12425.91475622</c:v>
                </c:pt>
                <c:pt idx="228">
                  <c:v>12356.756662628999</c:v>
                </c:pt>
                <c:pt idx="229">
                  <c:v>12383.522413567802</c:v>
                </c:pt>
                <c:pt idx="230">
                  <c:v>12488.102406823202</c:v>
                </c:pt>
                <c:pt idx="231">
                  <c:v>12458.257535050801</c:v>
                </c:pt>
                <c:pt idx="232">
                  <c:v>12410.6156095439</c:v>
                </c:pt>
                <c:pt idx="233">
                  <c:v>12364.881667684</c:v>
                </c:pt>
                <c:pt idx="234">
                  <c:v>12376.3410213157</c:v>
                </c:pt>
                <c:pt idx="235">
                  <c:v>12426.633898011201</c:v>
                </c:pt>
                <c:pt idx="236">
                  <c:v>12404.644314923702</c:v>
                </c:pt>
                <c:pt idx="237">
                  <c:v>12753.025118385898</c:v>
                </c:pt>
                <c:pt idx="238">
                  <c:v>12583.906220349998</c:v>
                </c:pt>
                <c:pt idx="239">
                  <c:v>12649.3798674912</c:v>
                </c:pt>
                <c:pt idx="240">
                  <c:v>12650.3416485614</c:v>
                </c:pt>
                <c:pt idx="241">
                  <c:v>12725.1344372904</c:v>
                </c:pt>
                <c:pt idx="242">
                  <c:v>12951.494964771999</c:v>
                </c:pt>
                <c:pt idx="243">
                  <c:v>12827.957240951</c:v>
                </c:pt>
                <c:pt idx="244">
                  <c:v>12855.6573863802</c:v>
                </c:pt>
                <c:pt idx="245">
                  <c:v>12783.9920563548</c:v>
                </c:pt>
                <c:pt idx="246">
                  <c:v>12748.506653869001</c:v>
                </c:pt>
                <c:pt idx="247">
                  <c:v>12704.584135262801</c:v>
                </c:pt>
                <c:pt idx="248">
                  <c:v>12686.536046537802</c:v>
                </c:pt>
                <c:pt idx="249">
                  <c:v>12873.1010830956</c:v>
                </c:pt>
                <c:pt idx="250">
                  <c:v>12769.753964165198</c:v>
                </c:pt>
                <c:pt idx="251">
                  <c:v>12490.1525325292</c:v>
                </c:pt>
                <c:pt idx="252">
                  <c:v>12287.578655561801</c:v>
                </c:pt>
                <c:pt idx="253">
                  <c:v>12445.385064735599</c:v>
                </c:pt>
                <c:pt idx="254">
                  <c:v>12570.245272124401</c:v>
                </c:pt>
                <c:pt idx="255">
                  <c:v>12627.892067291599</c:v>
                </c:pt>
                <c:pt idx="256">
                  <c:v>12570.277009206498</c:v>
                </c:pt>
                <c:pt idx="257">
                  <c:v>12821.882838733502</c:v>
                </c:pt>
                <c:pt idx="258">
                  <c:v>12799.733980896001</c:v>
                </c:pt>
                <c:pt idx="259">
                  <c:v>12816.727648801299</c:v>
                </c:pt>
                <c:pt idx="260">
                  <c:v>12954.9180038174</c:v>
                </c:pt>
                <c:pt idx="261">
                  <c:v>13015.685543056199</c:v>
                </c:pt>
                <c:pt idx="262">
                  <c:v>13027.405121714999</c:v>
                </c:pt>
                <c:pt idx="263">
                  <c:v>13086.230185635201</c:v>
                </c:pt>
                <c:pt idx="264">
                  <c:v>13105.721168288399</c:v>
                </c:pt>
                <c:pt idx="265">
                  <c:v>13012.847512358401</c:v>
                </c:pt>
                <c:pt idx="266">
                  <c:v>13016.127494134402</c:v>
                </c:pt>
                <c:pt idx="267">
                  <c:v>13121.499727128001</c:v>
                </c:pt>
                <c:pt idx="268">
                  <c:v>12967.5496505016</c:v>
                </c:pt>
                <c:pt idx="269">
                  <c:v>13059.387874969199</c:v>
                </c:pt>
                <c:pt idx="270">
                  <c:v>13023.337225503697</c:v>
                </c:pt>
                <c:pt idx="271">
                  <c:v>13019.720899572001</c:v>
                </c:pt>
                <c:pt idx="272">
                  <c:v>12984.0241112208</c:v>
                </c:pt>
                <c:pt idx="273">
                  <c:v>13042.978581923098</c:v>
                </c:pt>
                <c:pt idx="274">
                  <c:v>13046.512768696201</c:v>
                </c:pt>
                <c:pt idx="275">
                  <c:v>13117.326911826</c:v>
                </c:pt>
                <c:pt idx="276">
                  <c:v>13154.095634090399</c:v>
                </c:pt>
                <c:pt idx="277">
                  <c:v>13348.564178189003</c:v>
                </c:pt>
                <c:pt idx="278">
                  <c:v>13238.922553648999</c:v>
                </c:pt>
                <c:pt idx="279">
                  <c:v>13313.830430186399</c:v>
                </c:pt>
                <c:pt idx="280">
                  <c:v>13133.2823036064</c:v>
                </c:pt>
                <c:pt idx="281">
                  <c:v>13022.5798560275</c:v>
                </c:pt>
                <c:pt idx="282">
                  <c:v>12794.918915179798</c:v>
                </c:pt>
                <c:pt idx="283">
                  <c:v>12735.480398858399</c:v>
                </c:pt>
                <c:pt idx="284">
                  <c:v>12814.9409823118</c:v>
                </c:pt>
                <c:pt idx="285">
                  <c:v>12801.8857877229</c:v>
                </c:pt>
                <c:pt idx="286">
                  <c:v>12792.682478626399</c:v>
                </c:pt>
                <c:pt idx="287">
                  <c:v>12954.116399832099</c:v>
                </c:pt>
                <c:pt idx="288">
                  <c:v>13108.361241571401</c:v>
                </c:pt>
                <c:pt idx="289">
                  <c:v>13184.172507742398</c:v>
                </c:pt>
                <c:pt idx="290">
                  <c:v>13460.654840265997</c:v>
                </c:pt>
                <c:pt idx="291">
                  <c:v>13500.8965984692</c:v>
                </c:pt>
                <c:pt idx="292">
                  <c:v>13527.7824</c:v>
                </c:pt>
                <c:pt idx="293">
                  <c:v>13488.733940852499</c:v>
                </c:pt>
                <c:pt idx="294">
                  <c:v>13387.5892825961</c:v>
                </c:pt>
                <c:pt idx="295">
                  <c:v>13453.678476279998</c:v>
                </c:pt>
                <c:pt idx="296">
                  <c:v>13468.8734200575</c:v>
                </c:pt>
                <c:pt idx="297">
                  <c:v>13558.7205544712</c:v>
                </c:pt>
                <c:pt idx="298">
                  <c:v>13496.3706905244</c:v>
                </c:pt>
                <c:pt idx="299">
                  <c:v>13606.724559937202</c:v>
                </c:pt>
                <c:pt idx="300">
                  <c:v>13683.141865406698</c:v>
                </c:pt>
                <c:pt idx="301">
                  <c:v>13707.409990231999</c:v>
                </c:pt>
                <c:pt idx="302">
                  <c:v>13637.699185183599</c:v>
                </c:pt>
                <c:pt idx="303">
                  <c:v>13704.547253627999</c:v>
                </c:pt>
                <c:pt idx="304">
                  <c:v>13697.5550839568</c:v>
                </c:pt>
                <c:pt idx="305">
                  <c:v>13770.833927121601</c:v>
                </c:pt>
                <c:pt idx="306">
                  <c:v>13813.5458844855</c:v>
                </c:pt>
                <c:pt idx="307">
                  <c:v>13820.4320553288</c:v>
                </c:pt>
                <c:pt idx="308">
                  <c:v>13793.537678850598</c:v>
                </c:pt>
                <c:pt idx="309">
                  <c:v>13897.314899999999</c:v>
                </c:pt>
                <c:pt idx="310">
                  <c:v>13764.9915329249</c:v>
                </c:pt>
                <c:pt idx="311">
                  <c:v>13525.729951729001</c:v>
                </c:pt>
                <c:pt idx="312">
                  <c:v>13629.341320871999</c:v>
                </c:pt>
                <c:pt idx="313">
                  <c:v>13438.330328460599</c:v>
                </c:pt>
                <c:pt idx="314">
                  <c:v>13540.777211578401</c:v>
                </c:pt>
                <c:pt idx="315">
                  <c:v>13333.9153939757</c:v>
                </c:pt>
                <c:pt idx="316">
                  <c:v>13436.610341098502</c:v>
                </c:pt>
                <c:pt idx="317">
                  <c:v>13551.518750560001</c:v>
                </c:pt>
                <c:pt idx="318">
                  <c:v>13748.221346665601</c:v>
                </c:pt>
                <c:pt idx="319">
                  <c:v>13658.657519880002</c:v>
                </c:pt>
                <c:pt idx="320">
                  <c:v>13447.712715555199</c:v>
                </c:pt>
                <c:pt idx="321">
                  <c:v>13548.469174413898</c:v>
                </c:pt>
                <c:pt idx="322">
                  <c:v>13574.229731027001</c:v>
                </c:pt>
                <c:pt idx="323">
                  <c:v>13362.794554408001</c:v>
                </c:pt>
                <c:pt idx="324">
                  <c:v>13458.3703636995</c:v>
                </c:pt>
                <c:pt idx="325">
                  <c:v>13514.8927786848</c:v>
                </c:pt>
                <c:pt idx="326">
                  <c:v>13425.795697321502</c:v>
                </c:pt>
                <c:pt idx="327">
                  <c:v>13180.217175237998</c:v>
                </c:pt>
                <c:pt idx="328">
                  <c:v>13252.966166853001</c:v>
                </c:pt>
                <c:pt idx="329">
                  <c:v>13101.2254737168</c:v>
                </c:pt>
                <c:pt idx="330">
                  <c:v>13272.807171035</c:v>
                </c:pt>
                <c:pt idx="331">
                  <c:v>13474.748864203199</c:v>
                </c:pt>
                <c:pt idx="332">
                  <c:v>13447.260661368</c:v>
                </c:pt>
                <c:pt idx="333">
                  <c:v>13472.383697260801</c:v>
                </c:pt>
                <c:pt idx="334">
                  <c:v>13652.2335593922</c:v>
                </c:pt>
                <c:pt idx="335">
                  <c:v>13750.651785583999</c:v>
                </c:pt>
                <c:pt idx="336">
                  <c:v>13722.218814628801</c:v>
                </c:pt>
                <c:pt idx="337">
                  <c:v>13735.206514903501</c:v>
                </c:pt>
                <c:pt idx="338">
                  <c:v>13642.320360969798</c:v>
                </c:pt>
                <c:pt idx="339">
                  <c:v>13545.787406810401</c:v>
                </c:pt>
                <c:pt idx="340">
                  <c:v>13832.523974999998</c:v>
                </c:pt>
                <c:pt idx="341">
                  <c:v>13776.937934568899</c:v>
                </c:pt>
                <c:pt idx="342">
                  <c:v>13876.3381136688</c:v>
                </c:pt>
                <c:pt idx="343">
                  <c:v>13936.705559906799</c:v>
                </c:pt>
                <c:pt idx="344">
                  <c:v>13952.504074787101</c:v>
                </c:pt>
                <c:pt idx="345">
                  <c:v>13935.530714028</c:v>
                </c:pt>
                <c:pt idx="346">
                  <c:v>13925.3782599436</c:v>
                </c:pt>
                <c:pt idx="347">
                  <c:v>13948.480111319101</c:v>
                </c:pt>
                <c:pt idx="348">
                  <c:v>14091.235978382501</c:v>
                </c:pt>
                <c:pt idx="349">
                  <c:v>14239.3132029476</c:v>
                </c:pt>
                <c:pt idx="350">
                  <c:v>14137.655883892201</c:v>
                </c:pt>
                <c:pt idx="351">
                  <c:v>14242.473600162601</c:v>
                </c:pt>
                <c:pt idx="352">
                  <c:v>14249.053621126201</c:v>
                </c:pt>
                <c:pt idx="353">
                  <c:v>14181.072707025902</c:v>
                </c:pt>
                <c:pt idx="354">
                  <c:v>14071.309255498798</c:v>
                </c:pt>
                <c:pt idx="355">
                  <c:v>13945.1032963465</c:v>
                </c:pt>
                <c:pt idx="356">
                  <c:v>13869.355443860401</c:v>
                </c:pt>
                <c:pt idx="357">
                  <c:v>13876.1015556484</c:v>
                </c:pt>
                <c:pt idx="358">
                  <c:v>13869.897012281499</c:v>
                </c:pt>
                <c:pt idx="359">
                  <c:v>13961.770738172399</c:v>
                </c:pt>
                <c:pt idx="360">
                  <c:v>13994.785718656598</c:v>
                </c:pt>
                <c:pt idx="361">
                  <c:v>13825.656214841902</c:v>
                </c:pt>
                <c:pt idx="362">
                  <c:v>13719.647261298001</c:v>
                </c:pt>
                <c:pt idx="363">
                  <c:v>13820.777263844901</c:v>
                </c:pt>
                <c:pt idx="364">
                  <c:v>13783.791478545598</c:v>
                </c:pt>
                <c:pt idx="365">
                  <c:v>14003.368876337401</c:v>
                </c:pt>
                <c:pt idx="366">
                  <c:v>13960.517379590401</c:v>
                </c:pt>
                <c:pt idx="367">
                  <c:v>13766.4341245824</c:v>
                </c:pt>
                <c:pt idx="368">
                  <c:v>13845.704955886798</c:v>
                </c:pt>
                <c:pt idx="369">
                  <c:v>13813.1933243148</c:v>
                </c:pt>
                <c:pt idx="370">
                  <c:v>13538.099240793001</c:v>
                </c:pt>
                <c:pt idx="371">
                  <c:v>13599.311971512298</c:v>
                </c:pt>
                <c:pt idx="372">
                  <c:v>13587.518468579899</c:v>
                </c:pt>
                <c:pt idx="373">
                  <c:v>13155.851240483002</c:v>
                </c:pt>
                <c:pt idx="374">
                  <c:v>12952.604350025998</c:v>
                </c:pt>
                <c:pt idx="375">
                  <c:v>12954.958360323899</c:v>
                </c:pt>
                <c:pt idx="376">
                  <c:v>13042.343362724498</c:v>
                </c:pt>
                <c:pt idx="377">
                  <c:v>13278.704784875999</c:v>
                </c:pt>
                <c:pt idx="378">
                  <c:v>13078.345701912001</c:v>
                </c:pt>
                <c:pt idx="379">
                  <c:v>13085.9131224352</c:v>
                </c:pt>
                <c:pt idx="380">
                  <c:v>13174.245624819599</c:v>
                </c:pt>
                <c:pt idx="381">
                  <c:v>12839.599926283199</c:v>
                </c:pt>
                <c:pt idx="382">
                  <c:v>12708.007958146998</c:v>
                </c:pt>
                <c:pt idx="383">
                  <c:v>12835.797933763402</c:v>
                </c:pt>
                <c:pt idx="384">
                  <c:v>13002.889292858301</c:v>
                </c:pt>
                <c:pt idx="385">
                  <c:v>12909.507094304001</c:v>
                </c:pt>
                <c:pt idx="386">
                  <c:v>13095.2616411855</c:v>
                </c:pt>
                <c:pt idx="387">
                  <c:v>13022.7685872354</c:v>
                </c:pt>
                <c:pt idx="388">
                  <c:v>12864.3916697514</c:v>
                </c:pt>
                <c:pt idx="389">
                  <c:v>12992.8856234655</c:v>
                </c:pt>
                <c:pt idx="390">
                  <c:v>13017.975675503798</c:v>
                </c:pt>
                <c:pt idx="391">
                  <c:v>12977.6007618321</c:v>
                </c:pt>
                <c:pt idx="392">
                  <c:v>13115.111134387398</c:v>
                </c:pt>
                <c:pt idx="393">
                  <c:v>13194.0986296923</c:v>
                </c:pt>
                <c:pt idx="394">
                  <c:v>13119.273849617499</c:v>
                </c:pt>
                <c:pt idx="395">
                  <c:v>13066.213806144</c:v>
                </c:pt>
                <c:pt idx="396">
                  <c:v>13186.658906767399</c:v>
                </c:pt>
                <c:pt idx="397">
                  <c:v>13375.838641119</c:v>
                </c:pt>
                <c:pt idx="398">
                  <c:v>13449.917053400799</c:v>
                </c:pt>
                <c:pt idx="399">
                  <c:v>13485.387868727001</c:v>
                </c:pt>
                <c:pt idx="400">
                  <c:v>13555.6976359089</c:v>
                </c:pt>
                <c:pt idx="401">
                  <c:v>13641.9418114894</c:v>
                </c:pt>
                <c:pt idx="402">
                  <c:v>13659.962175000001</c:v>
                </c:pt>
                <c:pt idx="403">
                  <c:v>13795.1818940472</c:v>
                </c:pt>
                <c:pt idx="404">
                  <c:v>13708.716786860999</c:v>
                </c:pt>
                <c:pt idx="405">
                  <c:v>13607.396865129602</c:v>
                </c:pt>
                <c:pt idx="406">
                  <c:v>13712.831545495601</c:v>
                </c:pt>
                <c:pt idx="407">
                  <c:v>13727.1398448705</c:v>
                </c:pt>
                <c:pt idx="408">
                  <c:v>13765.9295826406</c:v>
                </c:pt>
                <c:pt idx="409">
                  <c:v>13593.8423479092</c:v>
                </c:pt>
                <c:pt idx="410">
                  <c:v>13532.942569943598</c:v>
                </c:pt>
                <c:pt idx="411">
                  <c:v>13477.1723443008</c:v>
                </c:pt>
                <c:pt idx="412">
                  <c:v>13449.8070726855</c:v>
                </c:pt>
                <c:pt idx="413">
                  <c:v>13528.653607861001</c:v>
                </c:pt>
                <c:pt idx="414">
                  <c:v>13597.562413339801</c:v>
                </c:pt>
                <c:pt idx="415">
                  <c:v>13368.801168027801</c:v>
                </c:pt>
                <c:pt idx="416">
                  <c:v>13035.490775</c:v>
                </c:pt>
                <c:pt idx="417">
                  <c:v>13164.838007763001</c:v>
                </c:pt>
                <c:pt idx="418">
                  <c:v>13267.251138829601</c:v>
                </c:pt>
                <c:pt idx="419">
                  <c:v>13140.885774071001</c:v>
                </c:pt>
                <c:pt idx="420">
                  <c:v>13267.402963301998</c:v>
                </c:pt>
                <c:pt idx="421">
                  <c:v>13325.881313622498</c:v>
                </c:pt>
                <c:pt idx="422">
                  <c:v>13729.033974044298</c:v>
                </c:pt>
                <c:pt idx="423">
                  <c:v>13741.458806785</c:v>
                </c:pt>
                <c:pt idx="424">
                  <c:v>13943.288203056001</c:v>
                </c:pt>
                <c:pt idx="425">
                  <c:v>13968.79666308</c:v>
                </c:pt>
                <c:pt idx="426">
                  <c:v>13958.410065085</c:v>
                </c:pt>
                <c:pt idx="427">
                  <c:v>13989.184847045701</c:v>
                </c:pt>
                <c:pt idx="428">
                  <c:v>14182.1054566125</c:v>
                </c:pt>
                <c:pt idx="429">
                  <c:v>14236.785457966002</c:v>
                </c:pt>
                <c:pt idx="430">
                  <c:v>14263.583234235</c:v>
                </c:pt>
                <c:pt idx="431">
                  <c:v>14312.487555247102</c:v>
                </c:pt>
                <c:pt idx="432">
                  <c:v>14355.457722487799</c:v>
                </c:pt>
                <c:pt idx="433">
                  <c:v>14371.7689116905</c:v>
                </c:pt>
                <c:pt idx="434">
                  <c:v>14334.511165612599</c:v>
                </c:pt>
                <c:pt idx="435">
                  <c:v>14327.7737744962</c:v>
                </c:pt>
                <c:pt idx="436">
                  <c:v>14293.7170543251</c:v>
                </c:pt>
                <c:pt idx="437">
                  <c:v>14441.201692731001</c:v>
                </c:pt>
                <c:pt idx="438">
                  <c:v>14637.757108203901</c:v>
                </c:pt>
                <c:pt idx="439">
                  <c:v>14678.985400000001</c:v>
                </c:pt>
                <c:pt idx="440">
                  <c:v>14663.9452223648</c:v>
                </c:pt>
                <c:pt idx="441">
                  <c:v>14715.419014815299</c:v>
                </c:pt>
                <c:pt idx="442">
                  <c:v>14642.692588033</c:v>
                </c:pt>
                <c:pt idx="443">
                  <c:v>14582.879142273301</c:v>
                </c:pt>
                <c:pt idx="444">
                  <c:v>14639.7561131086</c:v>
                </c:pt>
                <c:pt idx="445">
                  <c:v>14598.0595833642</c:v>
                </c:pt>
                <c:pt idx="446">
                  <c:v>14512.7517694159</c:v>
                </c:pt>
                <c:pt idx="447">
                  <c:v>14567.249175000001</c:v>
                </c:pt>
                <c:pt idx="448">
                  <c:v>14558.086865061799</c:v>
                </c:pt>
                <c:pt idx="449">
                  <c:v>14611.981953308399</c:v>
                </c:pt>
                <c:pt idx="450">
                  <c:v>14573.955474124799</c:v>
                </c:pt>
                <c:pt idx="451">
                  <c:v>14553.944276020999</c:v>
                </c:pt>
                <c:pt idx="452">
                  <c:v>14572.415030480999</c:v>
                </c:pt>
                <c:pt idx="453">
                  <c:v>14650.57391567</c:v>
                </c:pt>
                <c:pt idx="454">
                  <c:v>14583.887470059597</c:v>
                </c:pt>
                <c:pt idx="455">
                  <c:v>14626.4070005504</c:v>
                </c:pt>
                <c:pt idx="456">
                  <c:v>14599.278361971601</c:v>
                </c:pt>
                <c:pt idx="457">
                  <c:v>14563.988785264901</c:v>
                </c:pt>
                <c:pt idx="458">
                  <c:v>14333.749863052799</c:v>
                </c:pt>
                <c:pt idx="459">
                  <c:v>14367.4537121379</c:v>
                </c:pt>
                <c:pt idx="460">
                  <c:v>14578.1487052422</c:v>
                </c:pt>
                <c:pt idx="461">
                  <c:v>14532.603142926</c:v>
                </c:pt>
                <c:pt idx="462">
                  <c:v>14646.503678767202</c:v>
                </c:pt>
                <c:pt idx="463">
                  <c:v>14573.438711424002</c:v>
                </c:pt>
                <c:pt idx="464">
                  <c:v>14564.702991796101</c:v>
                </c:pt>
                <c:pt idx="465">
                  <c:v>14655.986012863201</c:v>
                </c:pt>
                <c:pt idx="466">
                  <c:v>14701.141124611202</c:v>
                </c:pt>
                <c:pt idx="467">
                  <c:v>14775.6974243148</c:v>
                </c:pt>
                <c:pt idx="468">
                  <c:v>14848.98362277</c:v>
                </c:pt>
                <c:pt idx="469">
                  <c:v>14738.861122517601</c:v>
                </c:pt>
                <c:pt idx="470">
                  <c:v>14652.797884879201</c:v>
                </c:pt>
                <c:pt idx="471">
                  <c:v>14641.494028780202</c:v>
                </c:pt>
                <c:pt idx="472">
                  <c:v>14786.643214088201</c:v>
                </c:pt>
                <c:pt idx="473">
                  <c:v>14874.486458482701</c:v>
                </c:pt>
                <c:pt idx="474">
                  <c:v>14934.896172169598</c:v>
                </c:pt>
                <c:pt idx="475">
                  <c:v>14869.363660381799</c:v>
                </c:pt>
                <c:pt idx="476">
                  <c:v>14945.390496652</c:v>
                </c:pt>
                <c:pt idx="477">
                  <c:v>14759.169416992001</c:v>
                </c:pt>
                <c:pt idx="478">
                  <c:v>14689.102071846</c:v>
                </c:pt>
                <c:pt idx="479">
                  <c:v>14736.011389899802</c:v>
                </c:pt>
                <c:pt idx="480">
                  <c:v>14798.719633368</c:v>
                </c:pt>
                <c:pt idx="481">
                  <c:v>14987.613158442</c:v>
                </c:pt>
                <c:pt idx="482">
                  <c:v>14993.44024184</c:v>
                </c:pt>
                <c:pt idx="483">
                  <c:v>14982.302453627799</c:v>
                </c:pt>
                <c:pt idx="484">
                  <c:v>14975.7279814186</c:v>
                </c:pt>
                <c:pt idx="485">
                  <c:v>14975.6710525945</c:v>
                </c:pt>
                <c:pt idx="486">
                  <c:v>14952.327014619199</c:v>
                </c:pt>
                <c:pt idx="487">
                  <c:v>14999.125427258699</c:v>
                </c:pt>
                <c:pt idx="488">
                  <c:v>15014.935784526002</c:v>
                </c:pt>
                <c:pt idx="489">
                  <c:v>15036.171133776399</c:v>
                </c:pt>
                <c:pt idx="490">
                  <c:v>14991.669899999999</c:v>
                </c:pt>
                <c:pt idx="491">
                  <c:v>14800.898223770999</c:v>
                </c:pt>
                <c:pt idx="492">
                  <c:v>14975.077695864</c:v>
                </c:pt>
                <c:pt idx="493">
                  <c:v>14545.053638396499</c:v>
                </c:pt>
                <c:pt idx="494">
                  <c:v>14674.712639601999</c:v>
                </c:pt>
                <c:pt idx="495">
                  <c:v>14692.844999999999</c:v>
                </c:pt>
                <c:pt idx="496">
                  <c:v>14510.9877770393</c:v>
                </c:pt>
                <c:pt idx="497">
                  <c:v>14393.1098363249</c:v>
                </c:pt>
                <c:pt idx="498">
                  <c:v>14431.894172709002</c:v>
                </c:pt>
                <c:pt idx="499">
                  <c:v>14665.697566382802</c:v>
                </c:pt>
                <c:pt idx="500">
                  <c:v>14816.7282547454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E0-4FD3-BC83-37A1A9E5FE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2219128"/>
        <c:axId val="652223288"/>
      </c:lineChart>
      <c:dateAx>
        <c:axId val="6522191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23288"/>
        <c:crosses val="autoZero"/>
        <c:auto val="1"/>
        <c:lblOffset val="100"/>
        <c:baseTimeUnit val="days"/>
      </c:dateAx>
      <c:valAx>
        <c:axId val="652223288"/>
        <c:scaling>
          <c:orientation val="minMax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19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NIKKEi</a:t>
            </a:r>
            <a:r>
              <a:rPr lang="en-US" baseline="0"/>
              <a:t> 225</a:t>
            </a:r>
            <a:r>
              <a:rPr lang="en-US"/>
              <a:t> USD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Data!$B$2:$B$502</c:f>
              <c:numCache>
                <c:formatCode>m/d/yyyy</c:formatCode>
                <c:ptCount val="501"/>
                <c:pt idx="0">
                  <c:v>43138</c:v>
                </c:pt>
                <c:pt idx="1">
                  <c:v>43139</c:v>
                </c:pt>
                <c:pt idx="2">
                  <c:v>43140</c:v>
                </c:pt>
                <c:pt idx="3">
                  <c:v>43143</c:v>
                </c:pt>
                <c:pt idx="4">
                  <c:v>43144</c:v>
                </c:pt>
                <c:pt idx="5">
                  <c:v>43145</c:v>
                </c:pt>
                <c:pt idx="6">
                  <c:v>43146</c:v>
                </c:pt>
                <c:pt idx="7">
                  <c:v>43147</c:v>
                </c:pt>
                <c:pt idx="8">
                  <c:v>43151</c:v>
                </c:pt>
                <c:pt idx="9">
                  <c:v>43152</c:v>
                </c:pt>
                <c:pt idx="10">
                  <c:v>43153</c:v>
                </c:pt>
                <c:pt idx="11">
                  <c:v>43154</c:v>
                </c:pt>
                <c:pt idx="12">
                  <c:v>43157</c:v>
                </c:pt>
                <c:pt idx="13">
                  <c:v>43158</c:v>
                </c:pt>
                <c:pt idx="14">
                  <c:v>43159</c:v>
                </c:pt>
                <c:pt idx="15">
                  <c:v>43160</c:v>
                </c:pt>
                <c:pt idx="16">
                  <c:v>43161</c:v>
                </c:pt>
                <c:pt idx="17">
                  <c:v>43164</c:v>
                </c:pt>
                <c:pt idx="18">
                  <c:v>43165</c:v>
                </c:pt>
                <c:pt idx="19">
                  <c:v>43166</c:v>
                </c:pt>
                <c:pt idx="20">
                  <c:v>43167</c:v>
                </c:pt>
                <c:pt idx="21">
                  <c:v>43168</c:v>
                </c:pt>
                <c:pt idx="22">
                  <c:v>43171</c:v>
                </c:pt>
                <c:pt idx="23">
                  <c:v>43172</c:v>
                </c:pt>
                <c:pt idx="24">
                  <c:v>43173</c:v>
                </c:pt>
                <c:pt idx="25">
                  <c:v>43174</c:v>
                </c:pt>
                <c:pt idx="26">
                  <c:v>43175</c:v>
                </c:pt>
                <c:pt idx="27">
                  <c:v>43178</c:v>
                </c:pt>
                <c:pt idx="28">
                  <c:v>43179</c:v>
                </c:pt>
                <c:pt idx="29">
                  <c:v>43180</c:v>
                </c:pt>
                <c:pt idx="30">
                  <c:v>43181</c:v>
                </c:pt>
                <c:pt idx="31">
                  <c:v>43182</c:v>
                </c:pt>
                <c:pt idx="32">
                  <c:v>43185</c:v>
                </c:pt>
                <c:pt idx="33">
                  <c:v>43186</c:v>
                </c:pt>
                <c:pt idx="34">
                  <c:v>43187</c:v>
                </c:pt>
                <c:pt idx="35">
                  <c:v>43188</c:v>
                </c:pt>
                <c:pt idx="36">
                  <c:v>43192</c:v>
                </c:pt>
                <c:pt idx="37">
                  <c:v>43193</c:v>
                </c:pt>
                <c:pt idx="38">
                  <c:v>43194</c:v>
                </c:pt>
                <c:pt idx="39">
                  <c:v>43195</c:v>
                </c:pt>
                <c:pt idx="40">
                  <c:v>43196</c:v>
                </c:pt>
                <c:pt idx="41">
                  <c:v>43199</c:v>
                </c:pt>
                <c:pt idx="42">
                  <c:v>43200</c:v>
                </c:pt>
                <c:pt idx="43">
                  <c:v>43201</c:v>
                </c:pt>
                <c:pt idx="44">
                  <c:v>43202</c:v>
                </c:pt>
                <c:pt idx="45">
                  <c:v>43203</c:v>
                </c:pt>
                <c:pt idx="46">
                  <c:v>43206</c:v>
                </c:pt>
                <c:pt idx="47">
                  <c:v>43207</c:v>
                </c:pt>
                <c:pt idx="48">
                  <c:v>43208</c:v>
                </c:pt>
                <c:pt idx="49">
                  <c:v>43209</c:v>
                </c:pt>
                <c:pt idx="50">
                  <c:v>43210</c:v>
                </c:pt>
                <c:pt idx="51">
                  <c:v>43213</c:v>
                </c:pt>
                <c:pt idx="52">
                  <c:v>43214</c:v>
                </c:pt>
                <c:pt idx="53">
                  <c:v>43215</c:v>
                </c:pt>
                <c:pt idx="54">
                  <c:v>43216</c:v>
                </c:pt>
                <c:pt idx="55">
                  <c:v>43217</c:v>
                </c:pt>
                <c:pt idx="56">
                  <c:v>43220</c:v>
                </c:pt>
                <c:pt idx="57">
                  <c:v>43221</c:v>
                </c:pt>
                <c:pt idx="58">
                  <c:v>43222</c:v>
                </c:pt>
                <c:pt idx="59">
                  <c:v>43223</c:v>
                </c:pt>
                <c:pt idx="60">
                  <c:v>43224</c:v>
                </c:pt>
                <c:pt idx="61">
                  <c:v>43227</c:v>
                </c:pt>
                <c:pt idx="62">
                  <c:v>43228</c:v>
                </c:pt>
                <c:pt idx="63">
                  <c:v>43229</c:v>
                </c:pt>
                <c:pt idx="64">
                  <c:v>43230</c:v>
                </c:pt>
                <c:pt idx="65">
                  <c:v>43231</c:v>
                </c:pt>
                <c:pt idx="66">
                  <c:v>43234</c:v>
                </c:pt>
                <c:pt idx="67">
                  <c:v>43235</c:v>
                </c:pt>
                <c:pt idx="68">
                  <c:v>43236</c:v>
                </c:pt>
                <c:pt idx="69">
                  <c:v>43237</c:v>
                </c:pt>
                <c:pt idx="70">
                  <c:v>43238</c:v>
                </c:pt>
                <c:pt idx="71">
                  <c:v>43241</c:v>
                </c:pt>
                <c:pt idx="72">
                  <c:v>43242</c:v>
                </c:pt>
                <c:pt idx="73">
                  <c:v>43243</c:v>
                </c:pt>
                <c:pt idx="74">
                  <c:v>43244</c:v>
                </c:pt>
                <c:pt idx="75">
                  <c:v>43245</c:v>
                </c:pt>
                <c:pt idx="76">
                  <c:v>43249</c:v>
                </c:pt>
                <c:pt idx="77">
                  <c:v>43250</c:v>
                </c:pt>
                <c:pt idx="78">
                  <c:v>43251</c:v>
                </c:pt>
                <c:pt idx="79">
                  <c:v>43252</c:v>
                </c:pt>
                <c:pt idx="80">
                  <c:v>43255</c:v>
                </c:pt>
                <c:pt idx="81">
                  <c:v>43256</c:v>
                </c:pt>
                <c:pt idx="82">
                  <c:v>43257</c:v>
                </c:pt>
                <c:pt idx="83">
                  <c:v>43258</c:v>
                </c:pt>
                <c:pt idx="84">
                  <c:v>43259</c:v>
                </c:pt>
                <c:pt idx="85">
                  <c:v>43262</c:v>
                </c:pt>
                <c:pt idx="86">
                  <c:v>43263</c:v>
                </c:pt>
                <c:pt idx="87">
                  <c:v>43264</c:v>
                </c:pt>
                <c:pt idx="88">
                  <c:v>43265</c:v>
                </c:pt>
                <c:pt idx="89">
                  <c:v>43266</c:v>
                </c:pt>
                <c:pt idx="90">
                  <c:v>43269</c:v>
                </c:pt>
                <c:pt idx="91">
                  <c:v>43270</c:v>
                </c:pt>
                <c:pt idx="92">
                  <c:v>43271</c:v>
                </c:pt>
                <c:pt idx="93">
                  <c:v>43272</c:v>
                </c:pt>
                <c:pt idx="94">
                  <c:v>43273</c:v>
                </c:pt>
                <c:pt idx="95">
                  <c:v>43276</c:v>
                </c:pt>
                <c:pt idx="96">
                  <c:v>43277</c:v>
                </c:pt>
                <c:pt idx="97">
                  <c:v>43278</c:v>
                </c:pt>
                <c:pt idx="98">
                  <c:v>43279</c:v>
                </c:pt>
                <c:pt idx="99">
                  <c:v>43280</c:v>
                </c:pt>
                <c:pt idx="100">
                  <c:v>43283</c:v>
                </c:pt>
                <c:pt idx="101">
                  <c:v>43284</c:v>
                </c:pt>
                <c:pt idx="102">
                  <c:v>43286</c:v>
                </c:pt>
                <c:pt idx="103">
                  <c:v>43287</c:v>
                </c:pt>
                <c:pt idx="104">
                  <c:v>43290</c:v>
                </c:pt>
                <c:pt idx="105">
                  <c:v>43291</c:v>
                </c:pt>
                <c:pt idx="106">
                  <c:v>43292</c:v>
                </c:pt>
                <c:pt idx="107">
                  <c:v>43293</c:v>
                </c:pt>
                <c:pt idx="108">
                  <c:v>43294</c:v>
                </c:pt>
                <c:pt idx="109">
                  <c:v>43297</c:v>
                </c:pt>
                <c:pt idx="110">
                  <c:v>43298</c:v>
                </c:pt>
                <c:pt idx="111">
                  <c:v>43299</c:v>
                </c:pt>
                <c:pt idx="112">
                  <c:v>43300</c:v>
                </c:pt>
                <c:pt idx="113">
                  <c:v>43301</c:v>
                </c:pt>
                <c:pt idx="114">
                  <c:v>43304</c:v>
                </c:pt>
                <c:pt idx="115">
                  <c:v>43305</c:v>
                </c:pt>
                <c:pt idx="116">
                  <c:v>43306</c:v>
                </c:pt>
                <c:pt idx="117">
                  <c:v>43307</c:v>
                </c:pt>
                <c:pt idx="118">
                  <c:v>43308</c:v>
                </c:pt>
                <c:pt idx="119">
                  <c:v>43311</c:v>
                </c:pt>
                <c:pt idx="120">
                  <c:v>43312</c:v>
                </c:pt>
                <c:pt idx="121">
                  <c:v>43313</c:v>
                </c:pt>
                <c:pt idx="122">
                  <c:v>43314</c:v>
                </c:pt>
                <c:pt idx="123">
                  <c:v>43315</c:v>
                </c:pt>
                <c:pt idx="124">
                  <c:v>43318</c:v>
                </c:pt>
                <c:pt idx="125">
                  <c:v>43319</c:v>
                </c:pt>
                <c:pt idx="126">
                  <c:v>43320</c:v>
                </c:pt>
                <c:pt idx="127">
                  <c:v>43321</c:v>
                </c:pt>
                <c:pt idx="128">
                  <c:v>43322</c:v>
                </c:pt>
                <c:pt idx="129">
                  <c:v>43325</c:v>
                </c:pt>
                <c:pt idx="130">
                  <c:v>43326</c:v>
                </c:pt>
                <c:pt idx="131">
                  <c:v>43327</c:v>
                </c:pt>
                <c:pt idx="132">
                  <c:v>43328</c:v>
                </c:pt>
                <c:pt idx="133">
                  <c:v>43329</c:v>
                </c:pt>
                <c:pt idx="134">
                  <c:v>43332</c:v>
                </c:pt>
                <c:pt idx="135">
                  <c:v>43333</c:v>
                </c:pt>
                <c:pt idx="136">
                  <c:v>43334</c:v>
                </c:pt>
                <c:pt idx="137">
                  <c:v>43335</c:v>
                </c:pt>
                <c:pt idx="138">
                  <c:v>43336</c:v>
                </c:pt>
                <c:pt idx="139">
                  <c:v>43339</c:v>
                </c:pt>
                <c:pt idx="140">
                  <c:v>43340</c:v>
                </c:pt>
                <c:pt idx="141">
                  <c:v>43341</c:v>
                </c:pt>
                <c:pt idx="142">
                  <c:v>43342</c:v>
                </c:pt>
                <c:pt idx="143">
                  <c:v>43343</c:v>
                </c:pt>
                <c:pt idx="144">
                  <c:v>43347</c:v>
                </c:pt>
                <c:pt idx="145">
                  <c:v>43348</c:v>
                </c:pt>
                <c:pt idx="146">
                  <c:v>43349</c:v>
                </c:pt>
                <c:pt idx="147">
                  <c:v>43350</c:v>
                </c:pt>
                <c:pt idx="148">
                  <c:v>43353</c:v>
                </c:pt>
                <c:pt idx="149">
                  <c:v>43354</c:v>
                </c:pt>
                <c:pt idx="150">
                  <c:v>43355</c:v>
                </c:pt>
                <c:pt idx="151">
                  <c:v>43356</c:v>
                </c:pt>
                <c:pt idx="152">
                  <c:v>43357</c:v>
                </c:pt>
                <c:pt idx="153">
                  <c:v>43360</c:v>
                </c:pt>
                <c:pt idx="154">
                  <c:v>43361</c:v>
                </c:pt>
                <c:pt idx="155">
                  <c:v>43362</c:v>
                </c:pt>
                <c:pt idx="156">
                  <c:v>43363</c:v>
                </c:pt>
                <c:pt idx="157">
                  <c:v>43364</c:v>
                </c:pt>
                <c:pt idx="158">
                  <c:v>43367</c:v>
                </c:pt>
                <c:pt idx="159">
                  <c:v>43368</c:v>
                </c:pt>
                <c:pt idx="160">
                  <c:v>43369</c:v>
                </c:pt>
                <c:pt idx="161">
                  <c:v>43370</c:v>
                </c:pt>
                <c:pt idx="162">
                  <c:v>43371</c:v>
                </c:pt>
                <c:pt idx="163">
                  <c:v>43374</c:v>
                </c:pt>
                <c:pt idx="164">
                  <c:v>43375</c:v>
                </c:pt>
                <c:pt idx="165">
                  <c:v>43376</c:v>
                </c:pt>
                <c:pt idx="166">
                  <c:v>43377</c:v>
                </c:pt>
                <c:pt idx="167">
                  <c:v>43378</c:v>
                </c:pt>
                <c:pt idx="168">
                  <c:v>43381</c:v>
                </c:pt>
                <c:pt idx="169">
                  <c:v>43382</c:v>
                </c:pt>
                <c:pt idx="170">
                  <c:v>43383</c:v>
                </c:pt>
                <c:pt idx="171">
                  <c:v>43384</c:v>
                </c:pt>
                <c:pt idx="172">
                  <c:v>43385</c:v>
                </c:pt>
                <c:pt idx="173">
                  <c:v>43388</c:v>
                </c:pt>
                <c:pt idx="174">
                  <c:v>43389</c:v>
                </c:pt>
                <c:pt idx="175">
                  <c:v>43390</c:v>
                </c:pt>
                <c:pt idx="176">
                  <c:v>43391</c:v>
                </c:pt>
                <c:pt idx="177">
                  <c:v>43392</c:v>
                </c:pt>
                <c:pt idx="178">
                  <c:v>43395</c:v>
                </c:pt>
                <c:pt idx="179">
                  <c:v>43396</c:v>
                </c:pt>
                <c:pt idx="180">
                  <c:v>43397</c:v>
                </c:pt>
                <c:pt idx="181">
                  <c:v>43398</c:v>
                </c:pt>
                <c:pt idx="182">
                  <c:v>43399</c:v>
                </c:pt>
                <c:pt idx="183">
                  <c:v>43402</c:v>
                </c:pt>
                <c:pt idx="184">
                  <c:v>43403</c:v>
                </c:pt>
                <c:pt idx="185">
                  <c:v>43404</c:v>
                </c:pt>
                <c:pt idx="186">
                  <c:v>43405</c:v>
                </c:pt>
                <c:pt idx="187">
                  <c:v>43406</c:v>
                </c:pt>
                <c:pt idx="188">
                  <c:v>43409</c:v>
                </c:pt>
                <c:pt idx="189">
                  <c:v>43410</c:v>
                </c:pt>
                <c:pt idx="190">
                  <c:v>43411</c:v>
                </c:pt>
                <c:pt idx="191">
                  <c:v>43412</c:v>
                </c:pt>
                <c:pt idx="192">
                  <c:v>43413</c:v>
                </c:pt>
                <c:pt idx="193">
                  <c:v>43416</c:v>
                </c:pt>
                <c:pt idx="194">
                  <c:v>43417</c:v>
                </c:pt>
                <c:pt idx="195">
                  <c:v>43418</c:v>
                </c:pt>
                <c:pt idx="196">
                  <c:v>43419</c:v>
                </c:pt>
                <c:pt idx="197">
                  <c:v>43420</c:v>
                </c:pt>
                <c:pt idx="198">
                  <c:v>43423</c:v>
                </c:pt>
                <c:pt idx="199">
                  <c:v>43424</c:v>
                </c:pt>
                <c:pt idx="200">
                  <c:v>43425</c:v>
                </c:pt>
                <c:pt idx="201">
                  <c:v>43427</c:v>
                </c:pt>
                <c:pt idx="202">
                  <c:v>43430</c:v>
                </c:pt>
                <c:pt idx="203">
                  <c:v>43431</c:v>
                </c:pt>
                <c:pt idx="204">
                  <c:v>43432</c:v>
                </c:pt>
                <c:pt idx="205">
                  <c:v>43433</c:v>
                </c:pt>
                <c:pt idx="206">
                  <c:v>43434</c:v>
                </c:pt>
                <c:pt idx="207">
                  <c:v>43437</c:v>
                </c:pt>
                <c:pt idx="208">
                  <c:v>43438</c:v>
                </c:pt>
                <c:pt idx="209">
                  <c:v>43440</c:v>
                </c:pt>
                <c:pt idx="210">
                  <c:v>43441</c:v>
                </c:pt>
                <c:pt idx="211">
                  <c:v>43444</c:v>
                </c:pt>
                <c:pt idx="212">
                  <c:v>43445</c:v>
                </c:pt>
                <c:pt idx="213">
                  <c:v>43446</c:v>
                </c:pt>
                <c:pt idx="214">
                  <c:v>43447</c:v>
                </c:pt>
                <c:pt idx="215">
                  <c:v>43448</c:v>
                </c:pt>
                <c:pt idx="216">
                  <c:v>43451</c:v>
                </c:pt>
                <c:pt idx="217">
                  <c:v>43452</c:v>
                </c:pt>
                <c:pt idx="218">
                  <c:v>43453</c:v>
                </c:pt>
                <c:pt idx="219">
                  <c:v>43454</c:v>
                </c:pt>
                <c:pt idx="220">
                  <c:v>43455</c:v>
                </c:pt>
                <c:pt idx="221">
                  <c:v>43458</c:v>
                </c:pt>
                <c:pt idx="222">
                  <c:v>43460</c:v>
                </c:pt>
                <c:pt idx="223">
                  <c:v>43461</c:v>
                </c:pt>
                <c:pt idx="224">
                  <c:v>43462</c:v>
                </c:pt>
                <c:pt idx="225">
                  <c:v>43465</c:v>
                </c:pt>
                <c:pt idx="226">
                  <c:v>43467</c:v>
                </c:pt>
                <c:pt idx="227">
                  <c:v>43468</c:v>
                </c:pt>
                <c:pt idx="228">
                  <c:v>43469</c:v>
                </c:pt>
                <c:pt idx="229">
                  <c:v>43472</c:v>
                </c:pt>
                <c:pt idx="230">
                  <c:v>43473</c:v>
                </c:pt>
                <c:pt idx="231">
                  <c:v>43474</c:v>
                </c:pt>
                <c:pt idx="232">
                  <c:v>43475</c:v>
                </c:pt>
                <c:pt idx="233">
                  <c:v>43476</c:v>
                </c:pt>
                <c:pt idx="234">
                  <c:v>43479</c:v>
                </c:pt>
                <c:pt idx="235">
                  <c:v>43480</c:v>
                </c:pt>
                <c:pt idx="236">
                  <c:v>43481</c:v>
                </c:pt>
                <c:pt idx="237">
                  <c:v>43482</c:v>
                </c:pt>
                <c:pt idx="238">
                  <c:v>43483</c:v>
                </c:pt>
                <c:pt idx="239">
                  <c:v>43487</c:v>
                </c:pt>
                <c:pt idx="240">
                  <c:v>43488</c:v>
                </c:pt>
                <c:pt idx="241">
                  <c:v>43489</c:v>
                </c:pt>
                <c:pt idx="242">
                  <c:v>43490</c:v>
                </c:pt>
                <c:pt idx="243">
                  <c:v>43493</c:v>
                </c:pt>
                <c:pt idx="244">
                  <c:v>43494</c:v>
                </c:pt>
                <c:pt idx="245">
                  <c:v>43495</c:v>
                </c:pt>
                <c:pt idx="246">
                  <c:v>43496</c:v>
                </c:pt>
                <c:pt idx="247">
                  <c:v>43497</c:v>
                </c:pt>
                <c:pt idx="248">
                  <c:v>43500</c:v>
                </c:pt>
                <c:pt idx="249">
                  <c:v>43501</c:v>
                </c:pt>
                <c:pt idx="250">
                  <c:v>43502</c:v>
                </c:pt>
                <c:pt idx="251">
                  <c:v>43503</c:v>
                </c:pt>
                <c:pt idx="252">
                  <c:v>43504</c:v>
                </c:pt>
                <c:pt idx="253">
                  <c:v>43507</c:v>
                </c:pt>
                <c:pt idx="254">
                  <c:v>43508</c:v>
                </c:pt>
                <c:pt idx="255">
                  <c:v>43509</c:v>
                </c:pt>
                <c:pt idx="256">
                  <c:v>43510</c:v>
                </c:pt>
                <c:pt idx="257">
                  <c:v>43511</c:v>
                </c:pt>
                <c:pt idx="258">
                  <c:v>43515</c:v>
                </c:pt>
                <c:pt idx="259">
                  <c:v>43516</c:v>
                </c:pt>
                <c:pt idx="260">
                  <c:v>43517</c:v>
                </c:pt>
                <c:pt idx="261">
                  <c:v>43518</c:v>
                </c:pt>
                <c:pt idx="262">
                  <c:v>43521</c:v>
                </c:pt>
                <c:pt idx="263">
                  <c:v>43522</c:v>
                </c:pt>
                <c:pt idx="264">
                  <c:v>43523</c:v>
                </c:pt>
                <c:pt idx="265">
                  <c:v>43524</c:v>
                </c:pt>
                <c:pt idx="266">
                  <c:v>43525</c:v>
                </c:pt>
                <c:pt idx="267">
                  <c:v>43528</c:v>
                </c:pt>
                <c:pt idx="268">
                  <c:v>43529</c:v>
                </c:pt>
                <c:pt idx="269">
                  <c:v>43530</c:v>
                </c:pt>
                <c:pt idx="270">
                  <c:v>43531</c:v>
                </c:pt>
                <c:pt idx="271">
                  <c:v>43532</c:v>
                </c:pt>
                <c:pt idx="272">
                  <c:v>43535</c:v>
                </c:pt>
                <c:pt idx="273">
                  <c:v>43536</c:v>
                </c:pt>
                <c:pt idx="274">
                  <c:v>43537</c:v>
                </c:pt>
                <c:pt idx="275">
                  <c:v>43538</c:v>
                </c:pt>
                <c:pt idx="276">
                  <c:v>43539</c:v>
                </c:pt>
                <c:pt idx="277">
                  <c:v>43542</c:v>
                </c:pt>
                <c:pt idx="278">
                  <c:v>43543</c:v>
                </c:pt>
                <c:pt idx="279">
                  <c:v>43544</c:v>
                </c:pt>
                <c:pt idx="280">
                  <c:v>43545</c:v>
                </c:pt>
                <c:pt idx="281">
                  <c:v>43546</c:v>
                </c:pt>
                <c:pt idx="282">
                  <c:v>43549</c:v>
                </c:pt>
                <c:pt idx="283">
                  <c:v>43550</c:v>
                </c:pt>
                <c:pt idx="284">
                  <c:v>43551</c:v>
                </c:pt>
                <c:pt idx="285">
                  <c:v>43552</c:v>
                </c:pt>
                <c:pt idx="286">
                  <c:v>43553</c:v>
                </c:pt>
                <c:pt idx="287">
                  <c:v>43556</c:v>
                </c:pt>
                <c:pt idx="288">
                  <c:v>43557</c:v>
                </c:pt>
                <c:pt idx="289">
                  <c:v>43558</c:v>
                </c:pt>
                <c:pt idx="290">
                  <c:v>43559</c:v>
                </c:pt>
                <c:pt idx="291">
                  <c:v>43560</c:v>
                </c:pt>
                <c:pt idx="292">
                  <c:v>43563</c:v>
                </c:pt>
                <c:pt idx="293">
                  <c:v>43564</c:v>
                </c:pt>
                <c:pt idx="294">
                  <c:v>43565</c:v>
                </c:pt>
                <c:pt idx="295">
                  <c:v>43566</c:v>
                </c:pt>
                <c:pt idx="296">
                  <c:v>43567</c:v>
                </c:pt>
                <c:pt idx="297">
                  <c:v>43570</c:v>
                </c:pt>
                <c:pt idx="298">
                  <c:v>43571</c:v>
                </c:pt>
                <c:pt idx="299">
                  <c:v>43572</c:v>
                </c:pt>
                <c:pt idx="300">
                  <c:v>43573</c:v>
                </c:pt>
                <c:pt idx="301">
                  <c:v>43577</c:v>
                </c:pt>
                <c:pt idx="302">
                  <c:v>43578</c:v>
                </c:pt>
                <c:pt idx="303">
                  <c:v>43579</c:v>
                </c:pt>
                <c:pt idx="304">
                  <c:v>43580</c:v>
                </c:pt>
                <c:pt idx="305">
                  <c:v>43581</c:v>
                </c:pt>
                <c:pt idx="306">
                  <c:v>43584</c:v>
                </c:pt>
                <c:pt idx="307">
                  <c:v>43585</c:v>
                </c:pt>
                <c:pt idx="308">
                  <c:v>43586</c:v>
                </c:pt>
                <c:pt idx="309">
                  <c:v>43587</c:v>
                </c:pt>
                <c:pt idx="310">
                  <c:v>43588</c:v>
                </c:pt>
                <c:pt idx="311">
                  <c:v>43591</c:v>
                </c:pt>
                <c:pt idx="312">
                  <c:v>43592</c:v>
                </c:pt>
                <c:pt idx="313">
                  <c:v>43593</c:v>
                </c:pt>
                <c:pt idx="314">
                  <c:v>43594</c:v>
                </c:pt>
                <c:pt idx="315">
                  <c:v>43595</c:v>
                </c:pt>
                <c:pt idx="316">
                  <c:v>43598</c:v>
                </c:pt>
                <c:pt idx="317">
                  <c:v>43599</c:v>
                </c:pt>
                <c:pt idx="318">
                  <c:v>43600</c:v>
                </c:pt>
                <c:pt idx="319">
                  <c:v>43601</c:v>
                </c:pt>
                <c:pt idx="320">
                  <c:v>43602</c:v>
                </c:pt>
                <c:pt idx="321">
                  <c:v>43605</c:v>
                </c:pt>
                <c:pt idx="322">
                  <c:v>43606</c:v>
                </c:pt>
                <c:pt idx="323">
                  <c:v>43607</c:v>
                </c:pt>
                <c:pt idx="324">
                  <c:v>43608</c:v>
                </c:pt>
                <c:pt idx="325">
                  <c:v>43609</c:v>
                </c:pt>
                <c:pt idx="326">
                  <c:v>43613</c:v>
                </c:pt>
                <c:pt idx="327">
                  <c:v>43614</c:v>
                </c:pt>
                <c:pt idx="328">
                  <c:v>43615</c:v>
                </c:pt>
                <c:pt idx="329">
                  <c:v>43616</c:v>
                </c:pt>
                <c:pt idx="330">
                  <c:v>43619</c:v>
                </c:pt>
                <c:pt idx="331">
                  <c:v>43620</c:v>
                </c:pt>
                <c:pt idx="332">
                  <c:v>43621</c:v>
                </c:pt>
                <c:pt idx="333">
                  <c:v>43622</c:v>
                </c:pt>
                <c:pt idx="334">
                  <c:v>43623</c:v>
                </c:pt>
                <c:pt idx="335">
                  <c:v>43626</c:v>
                </c:pt>
                <c:pt idx="336">
                  <c:v>43627</c:v>
                </c:pt>
                <c:pt idx="337">
                  <c:v>43628</c:v>
                </c:pt>
                <c:pt idx="338">
                  <c:v>43629</c:v>
                </c:pt>
                <c:pt idx="339">
                  <c:v>43630</c:v>
                </c:pt>
                <c:pt idx="340">
                  <c:v>43633</c:v>
                </c:pt>
                <c:pt idx="341">
                  <c:v>43634</c:v>
                </c:pt>
                <c:pt idx="342">
                  <c:v>43635</c:v>
                </c:pt>
                <c:pt idx="343">
                  <c:v>43636</c:v>
                </c:pt>
                <c:pt idx="344">
                  <c:v>43637</c:v>
                </c:pt>
                <c:pt idx="345">
                  <c:v>43640</c:v>
                </c:pt>
                <c:pt idx="346">
                  <c:v>43641</c:v>
                </c:pt>
                <c:pt idx="347">
                  <c:v>43642</c:v>
                </c:pt>
                <c:pt idx="348">
                  <c:v>43643</c:v>
                </c:pt>
                <c:pt idx="349">
                  <c:v>43644</c:v>
                </c:pt>
                <c:pt idx="350">
                  <c:v>43647</c:v>
                </c:pt>
                <c:pt idx="351">
                  <c:v>43648</c:v>
                </c:pt>
                <c:pt idx="352">
                  <c:v>43649</c:v>
                </c:pt>
                <c:pt idx="353">
                  <c:v>43651</c:v>
                </c:pt>
                <c:pt idx="354">
                  <c:v>43654</c:v>
                </c:pt>
                <c:pt idx="355">
                  <c:v>43655</c:v>
                </c:pt>
                <c:pt idx="356">
                  <c:v>43656</c:v>
                </c:pt>
                <c:pt idx="357">
                  <c:v>43657</c:v>
                </c:pt>
                <c:pt idx="358">
                  <c:v>43658</c:v>
                </c:pt>
                <c:pt idx="359">
                  <c:v>43661</c:v>
                </c:pt>
                <c:pt idx="360">
                  <c:v>43662</c:v>
                </c:pt>
                <c:pt idx="361">
                  <c:v>43663</c:v>
                </c:pt>
                <c:pt idx="362">
                  <c:v>43664</c:v>
                </c:pt>
                <c:pt idx="363">
                  <c:v>43665</c:v>
                </c:pt>
                <c:pt idx="364">
                  <c:v>43668</c:v>
                </c:pt>
                <c:pt idx="365">
                  <c:v>43669</c:v>
                </c:pt>
                <c:pt idx="366">
                  <c:v>43670</c:v>
                </c:pt>
                <c:pt idx="367">
                  <c:v>43671</c:v>
                </c:pt>
                <c:pt idx="368">
                  <c:v>43672</c:v>
                </c:pt>
                <c:pt idx="369">
                  <c:v>43675</c:v>
                </c:pt>
                <c:pt idx="370">
                  <c:v>43676</c:v>
                </c:pt>
                <c:pt idx="371">
                  <c:v>43677</c:v>
                </c:pt>
                <c:pt idx="372">
                  <c:v>43678</c:v>
                </c:pt>
                <c:pt idx="373">
                  <c:v>43679</c:v>
                </c:pt>
                <c:pt idx="374">
                  <c:v>43682</c:v>
                </c:pt>
                <c:pt idx="375">
                  <c:v>43683</c:v>
                </c:pt>
                <c:pt idx="376">
                  <c:v>43684</c:v>
                </c:pt>
                <c:pt idx="377">
                  <c:v>43685</c:v>
                </c:pt>
                <c:pt idx="378">
                  <c:v>43686</c:v>
                </c:pt>
                <c:pt idx="379">
                  <c:v>43689</c:v>
                </c:pt>
                <c:pt idx="380">
                  <c:v>43690</c:v>
                </c:pt>
                <c:pt idx="381">
                  <c:v>43691</c:v>
                </c:pt>
                <c:pt idx="382">
                  <c:v>43692</c:v>
                </c:pt>
                <c:pt idx="383">
                  <c:v>43693</c:v>
                </c:pt>
                <c:pt idx="384">
                  <c:v>43696</c:v>
                </c:pt>
                <c:pt idx="385">
                  <c:v>43697</c:v>
                </c:pt>
                <c:pt idx="386">
                  <c:v>43698</c:v>
                </c:pt>
                <c:pt idx="387">
                  <c:v>43699</c:v>
                </c:pt>
                <c:pt idx="388">
                  <c:v>43700</c:v>
                </c:pt>
                <c:pt idx="389">
                  <c:v>43703</c:v>
                </c:pt>
                <c:pt idx="390">
                  <c:v>43704</c:v>
                </c:pt>
                <c:pt idx="391">
                  <c:v>43705</c:v>
                </c:pt>
                <c:pt idx="392">
                  <c:v>43706</c:v>
                </c:pt>
                <c:pt idx="393">
                  <c:v>43707</c:v>
                </c:pt>
                <c:pt idx="394">
                  <c:v>43711</c:v>
                </c:pt>
                <c:pt idx="395">
                  <c:v>43712</c:v>
                </c:pt>
                <c:pt idx="396">
                  <c:v>43713</c:v>
                </c:pt>
                <c:pt idx="397">
                  <c:v>43714</c:v>
                </c:pt>
                <c:pt idx="398">
                  <c:v>43717</c:v>
                </c:pt>
                <c:pt idx="399">
                  <c:v>43718</c:v>
                </c:pt>
                <c:pt idx="400">
                  <c:v>43719</c:v>
                </c:pt>
                <c:pt idx="401">
                  <c:v>43720</c:v>
                </c:pt>
                <c:pt idx="402">
                  <c:v>43721</c:v>
                </c:pt>
                <c:pt idx="403">
                  <c:v>43724</c:v>
                </c:pt>
                <c:pt idx="404">
                  <c:v>43725</c:v>
                </c:pt>
                <c:pt idx="405">
                  <c:v>43726</c:v>
                </c:pt>
                <c:pt idx="406">
                  <c:v>43727</c:v>
                </c:pt>
                <c:pt idx="407">
                  <c:v>43728</c:v>
                </c:pt>
                <c:pt idx="408">
                  <c:v>43731</c:v>
                </c:pt>
                <c:pt idx="409">
                  <c:v>43732</c:v>
                </c:pt>
                <c:pt idx="410">
                  <c:v>43733</c:v>
                </c:pt>
                <c:pt idx="411">
                  <c:v>43734</c:v>
                </c:pt>
                <c:pt idx="412">
                  <c:v>43735</c:v>
                </c:pt>
                <c:pt idx="413">
                  <c:v>43738</c:v>
                </c:pt>
                <c:pt idx="414">
                  <c:v>43739</c:v>
                </c:pt>
                <c:pt idx="415">
                  <c:v>43740</c:v>
                </c:pt>
                <c:pt idx="416">
                  <c:v>43741</c:v>
                </c:pt>
                <c:pt idx="417">
                  <c:v>43742</c:v>
                </c:pt>
                <c:pt idx="418">
                  <c:v>43745</c:v>
                </c:pt>
                <c:pt idx="419">
                  <c:v>43746</c:v>
                </c:pt>
                <c:pt idx="420">
                  <c:v>43747</c:v>
                </c:pt>
                <c:pt idx="421">
                  <c:v>43748</c:v>
                </c:pt>
                <c:pt idx="422">
                  <c:v>43749</c:v>
                </c:pt>
                <c:pt idx="423">
                  <c:v>43752</c:v>
                </c:pt>
                <c:pt idx="424">
                  <c:v>43753</c:v>
                </c:pt>
                <c:pt idx="425">
                  <c:v>43754</c:v>
                </c:pt>
                <c:pt idx="426">
                  <c:v>43755</c:v>
                </c:pt>
                <c:pt idx="427">
                  <c:v>43756</c:v>
                </c:pt>
                <c:pt idx="428">
                  <c:v>43759</c:v>
                </c:pt>
                <c:pt idx="429">
                  <c:v>43760</c:v>
                </c:pt>
                <c:pt idx="430">
                  <c:v>43761</c:v>
                </c:pt>
                <c:pt idx="431">
                  <c:v>43762</c:v>
                </c:pt>
                <c:pt idx="432">
                  <c:v>43763</c:v>
                </c:pt>
                <c:pt idx="433">
                  <c:v>43766</c:v>
                </c:pt>
                <c:pt idx="434">
                  <c:v>43767</c:v>
                </c:pt>
                <c:pt idx="435">
                  <c:v>43768</c:v>
                </c:pt>
                <c:pt idx="436">
                  <c:v>43769</c:v>
                </c:pt>
                <c:pt idx="437">
                  <c:v>43770</c:v>
                </c:pt>
                <c:pt idx="438">
                  <c:v>43773</c:v>
                </c:pt>
                <c:pt idx="439">
                  <c:v>43774</c:v>
                </c:pt>
                <c:pt idx="440">
                  <c:v>43775</c:v>
                </c:pt>
                <c:pt idx="441">
                  <c:v>43776</c:v>
                </c:pt>
                <c:pt idx="442">
                  <c:v>43777</c:v>
                </c:pt>
                <c:pt idx="443">
                  <c:v>43780</c:v>
                </c:pt>
                <c:pt idx="444">
                  <c:v>43781</c:v>
                </c:pt>
                <c:pt idx="445">
                  <c:v>43782</c:v>
                </c:pt>
                <c:pt idx="446">
                  <c:v>43783</c:v>
                </c:pt>
                <c:pt idx="447">
                  <c:v>43784</c:v>
                </c:pt>
                <c:pt idx="448">
                  <c:v>43787</c:v>
                </c:pt>
                <c:pt idx="449">
                  <c:v>43788</c:v>
                </c:pt>
                <c:pt idx="450">
                  <c:v>43789</c:v>
                </c:pt>
                <c:pt idx="451">
                  <c:v>43790</c:v>
                </c:pt>
                <c:pt idx="452">
                  <c:v>43791</c:v>
                </c:pt>
                <c:pt idx="453">
                  <c:v>43794</c:v>
                </c:pt>
                <c:pt idx="454">
                  <c:v>43795</c:v>
                </c:pt>
                <c:pt idx="455">
                  <c:v>43796</c:v>
                </c:pt>
                <c:pt idx="456">
                  <c:v>43798</c:v>
                </c:pt>
                <c:pt idx="457">
                  <c:v>43801</c:v>
                </c:pt>
                <c:pt idx="458">
                  <c:v>43802</c:v>
                </c:pt>
                <c:pt idx="459">
                  <c:v>43803</c:v>
                </c:pt>
                <c:pt idx="460">
                  <c:v>43804</c:v>
                </c:pt>
                <c:pt idx="461">
                  <c:v>43805</c:v>
                </c:pt>
                <c:pt idx="462">
                  <c:v>43808</c:v>
                </c:pt>
                <c:pt idx="463">
                  <c:v>43809</c:v>
                </c:pt>
                <c:pt idx="464">
                  <c:v>43810</c:v>
                </c:pt>
                <c:pt idx="465">
                  <c:v>43811</c:v>
                </c:pt>
                <c:pt idx="466">
                  <c:v>43812</c:v>
                </c:pt>
                <c:pt idx="467">
                  <c:v>43815</c:v>
                </c:pt>
                <c:pt idx="468">
                  <c:v>43816</c:v>
                </c:pt>
                <c:pt idx="469">
                  <c:v>43817</c:v>
                </c:pt>
                <c:pt idx="470">
                  <c:v>43818</c:v>
                </c:pt>
                <c:pt idx="471">
                  <c:v>43819</c:v>
                </c:pt>
                <c:pt idx="472">
                  <c:v>43822</c:v>
                </c:pt>
                <c:pt idx="473">
                  <c:v>43823</c:v>
                </c:pt>
                <c:pt idx="474">
                  <c:v>43825</c:v>
                </c:pt>
                <c:pt idx="475">
                  <c:v>43826</c:v>
                </c:pt>
                <c:pt idx="476">
                  <c:v>43829</c:v>
                </c:pt>
                <c:pt idx="477">
                  <c:v>43830</c:v>
                </c:pt>
                <c:pt idx="478">
                  <c:v>43832</c:v>
                </c:pt>
                <c:pt idx="479">
                  <c:v>43833</c:v>
                </c:pt>
                <c:pt idx="480">
                  <c:v>43836</c:v>
                </c:pt>
                <c:pt idx="481">
                  <c:v>43837</c:v>
                </c:pt>
                <c:pt idx="482">
                  <c:v>43838</c:v>
                </c:pt>
                <c:pt idx="483">
                  <c:v>43839</c:v>
                </c:pt>
                <c:pt idx="484">
                  <c:v>43840</c:v>
                </c:pt>
                <c:pt idx="485">
                  <c:v>43843</c:v>
                </c:pt>
                <c:pt idx="486">
                  <c:v>43844</c:v>
                </c:pt>
                <c:pt idx="487">
                  <c:v>43845</c:v>
                </c:pt>
                <c:pt idx="488">
                  <c:v>43846</c:v>
                </c:pt>
                <c:pt idx="489">
                  <c:v>43847</c:v>
                </c:pt>
                <c:pt idx="490">
                  <c:v>43851</c:v>
                </c:pt>
                <c:pt idx="491">
                  <c:v>43852</c:v>
                </c:pt>
                <c:pt idx="492">
                  <c:v>43853</c:v>
                </c:pt>
                <c:pt idx="493">
                  <c:v>43854</c:v>
                </c:pt>
                <c:pt idx="494">
                  <c:v>43857</c:v>
                </c:pt>
                <c:pt idx="495">
                  <c:v>43858</c:v>
                </c:pt>
                <c:pt idx="496">
                  <c:v>43859</c:v>
                </c:pt>
                <c:pt idx="497">
                  <c:v>43860</c:v>
                </c:pt>
                <c:pt idx="498">
                  <c:v>43861</c:v>
                </c:pt>
                <c:pt idx="499">
                  <c:v>43864</c:v>
                </c:pt>
                <c:pt idx="500">
                  <c:v>43864</c:v>
                </c:pt>
              </c:numCache>
            </c:numRef>
          </c:cat>
          <c:val>
            <c:numRef>
              <c:f>Data!$L$2:$L$502</c:f>
              <c:numCache>
                <c:formatCode>General</c:formatCode>
                <c:ptCount val="501"/>
                <c:pt idx="0">
                  <c:v>188.22060122608696</c:v>
                </c:pt>
                <c:pt idx="1">
                  <c:v>190.22296989051094</c:v>
                </c:pt>
                <c:pt idx="2">
                  <c:v>185.6613626899366</c:v>
                </c:pt>
                <c:pt idx="3">
                  <c:v>185.27527199549434</c:v>
                </c:pt>
                <c:pt idx="4">
                  <c:v>183.03333926079091</c:v>
                </c:pt>
                <c:pt idx="5">
                  <c:v>181.6588228595964</c:v>
                </c:pt>
                <c:pt idx="6">
                  <c:v>185.01103662299602</c:v>
                </c:pt>
                <c:pt idx="7">
                  <c:v>187.59932630851614</c:v>
                </c:pt>
                <c:pt idx="8">
                  <c:v>191.7182631178049</c:v>
                </c:pt>
                <c:pt idx="9">
                  <c:v>189.43407299982721</c:v>
                </c:pt>
                <c:pt idx="10">
                  <c:v>189.63240589504576</c:v>
                </c:pt>
                <c:pt idx="11">
                  <c:v>186.64296284561223</c:v>
                </c:pt>
                <c:pt idx="12">
                  <c:v>187.87247315712693</c:v>
                </c:pt>
                <c:pt idx="13">
                  <c:v>190.45418551409907</c:v>
                </c:pt>
                <c:pt idx="14">
                  <c:v>190.87689151747657</c:v>
                </c:pt>
                <c:pt idx="15">
                  <c:v>188.74649533014028</c:v>
                </c:pt>
                <c:pt idx="16">
                  <c:v>185.59992057240495</c:v>
                </c:pt>
                <c:pt idx="17">
                  <c:v>180.57664641943734</c:v>
                </c:pt>
                <c:pt idx="18">
                  <c:v>179.35637439481758</c:v>
                </c:pt>
                <c:pt idx="19">
                  <c:v>184.47682830318692</c:v>
                </c:pt>
                <c:pt idx="20">
                  <c:v>182.22344768069965</c:v>
                </c:pt>
                <c:pt idx="21">
                  <c:v>183.49566606268783</c:v>
                </c:pt>
                <c:pt idx="22">
                  <c:v>183.90610946547883</c:v>
                </c:pt>
                <c:pt idx="23">
                  <c:v>185.35781634958386</c:v>
                </c:pt>
                <c:pt idx="24">
                  <c:v>186.53391873142567</c:v>
                </c:pt>
                <c:pt idx="25">
                  <c:v>185.07086821619785</c:v>
                </c:pt>
                <c:pt idx="26">
                  <c:v>185.70776951707691</c:v>
                </c:pt>
                <c:pt idx="27">
                  <c:v>184.33973778382514</c:v>
                </c:pt>
                <c:pt idx="28">
                  <c:v>183.3154155231268</c:v>
                </c:pt>
                <c:pt idx="29">
                  <c:v>182.35369469509595</c:v>
                </c:pt>
                <c:pt idx="30">
                  <c:v>183.99109837729063</c:v>
                </c:pt>
                <c:pt idx="31">
                  <c:v>185.53007590651316</c:v>
                </c:pt>
                <c:pt idx="32">
                  <c:v>176.99252618250495</c:v>
                </c:pt>
                <c:pt idx="33">
                  <c:v>177.42737191558442</c:v>
                </c:pt>
                <c:pt idx="34">
                  <c:v>181.62494941637556</c:v>
                </c:pt>
                <c:pt idx="35">
                  <c:v>178.45829908358084</c:v>
                </c:pt>
                <c:pt idx="36">
                  <c:v>179.17757708527392</c:v>
                </c:pt>
                <c:pt idx="37">
                  <c:v>182.23308231546761</c:v>
                </c:pt>
                <c:pt idx="38">
                  <c:v>181.42828126219356</c:v>
                </c:pt>
                <c:pt idx="39">
                  <c:v>180.47371641803696</c:v>
                </c:pt>
                <c:pt idx="40">
                  <c:v>181.15006186591896</c:v>
                </c:pt>
                <c:pt idx="41">
                  <c:v>181.9095715774435</c:v>
                </c:pt>
                <c:pt idx="42">
                  <c:v>180.2550733890514</c:v>
                </c:pt>
                <c:pt idx="43">
                  <c:v>181.27150903921731</c:v>
                </c:pt>
                <c:pt idx="44">
                  <c:v>182.36398889632667</c:v>
                </c:pt>
                <c:pt idx="45">
                  <c:v>180.921828722783</c:v>
                </c:pt>
                <c:pt idx="46">
                  <c:v>181.63756223899372</c:v>
                </c:pt>
                <c:pt idx="47">
                  <c:v>183.47717130581299</c:v>
                </c:pt>
                <c:pt idx="48">
                  <c:v>183.3685698438025</c:v>
                </c:pt>
                <c:pt idx="49">
                  <c:v>184.66393241484235</c:v>
                </c:pt>
                <c:pt idx="50">
                  <c:v>186.56394054896018</c:v>
                </c:pt>
                <c:pt idx="51">
                  <c:v>185.9959742519487</c:v>
                </c:pt>
                <c:pt idx="52">
                  <c:v>185.50464747635391</c:v>
                </c:pt>
                <c:pt idx="53">
                  <c:v>185.41122356249477</c:v>
                </c:pt>
                <c:pt idx="54">
                  <c:v>187.84248854131536</c:v>
                </c:pt>
                <c:pt idx="55">
                  <c:v>188.88972292322083</c:v>
                </c:pt>
                <c:pt idx="56">
                  <c:v>189.98646046135511</c:v>
                </c:pt>
                <c:pt idx="57">
                  <c:v>191.78718857020911</c:v>
                </c:pt>
                <c:pt idx="58">
                  <c:v>192.25399007437807</c:v>
                </c:pt>
                <c:pt idx="59">
                  <c:v>192.19562203910854</c:v>
                </c:pt>
                <c:pt idx="60">
                  <c:v>189.86802380027038</c:v>
                </c:pt>
                <c:pt idx="61">
                  <c:v>191.31519562792676</c:v>
                </c:pt>
                <c:pt idx="62">
                  <c:v>190.52883443012212</c:v>
                </c:pt>
                <c:pt idx="63">
                  <c:v>189.93287814692704</c:v>
                </c:pt>
                <c:pt idx="64">
                  <c:v>191.61223676683409</c:v>
                </c:pt>
                <c:pt idx="65">
                  <c:v>189.72890406400813</c:v>
                </c:pt>
                <c:pt idx="66">
                  <c:v>191.09130797587702</c:v>
                </c:pt>
                <c:pt idx="67">
                  <c:v>192.70516908552074</c:v>
                </c:pt>
                <c:pt idx="68">
                  <c:v>193.581606628852</c:v>
                </c:pt>
                <c:pt idx="69">
                  <c:v>193.89887432868798</c:v>
                </c:pt>
                <c:pt idx="70">
                  <c:v>192.22567667117954</c:v>
                </c:pt>
                <c:pt idx="71">
                  <c:v>193.70966192536045</c:v>
                </c:pt>
                <c:pt idx="72">
                  <c:v>196.62458733493398</c:v>
                </c:pt>
                <c:pt idx="73">
                  <c:v>198.53589798895217</c:v>
                </c:pt>
                <c:pt idx="74">
                  <c:v>197.78051377379617</c:v>
                </c:pt>
                <c:pt idx="75">
                  <c:v>195.19735232278046</c:v>
                </c:pt>
                <c:pt idx="76">
                  <c:v>193.15607580922864</c:v>
                </c:pt>
                <c:pt idx="77">
                  <c:v>194.12701308257672</c:v>
                </c:pt>
                <c:pt idx="78">
                  <c:v>195.19918246071023</c:v>
                </c:pt>
                <c:pt idx="79">
                  <c:v>193.69686986052153</c:v>
                </c:pt>
                <c:pt idx="80">
                  <c:v>191.31566192544966</c:v>
                </c:pt>
                <c:pt idx="81">
                  <c:v>193.22733083550912</c:v>
                </c:pt>
                <c:pt idx="82">
                  <c:v>192.52648149531089</c:v>
                </c:pt>
                <c:pt idx="83">
                  <c:v>194.61372805437699</c:v>
                </c:pt>
                <c:pt idx="84">
                  <c:v>192.54689102169829</c:v>
                </c:pt>
                <c:pt idx="85">
                  <c:v>193.25017482917661</c:v>
                </c:pt>
                <c:pt idx="86">
                  <c:v>194.63806725225993</c:v>
                </c:pt>
                <c:pt idx="87">
                  <c:v>192.93122502762901</c:v>
                </c:pt>
                <c:pt idx="88">
                  <c:v>193.74714581988104</c:v>
                </c:pt>
                <c:pt idx="89">
                  <c:v>193.68734853538774</c:v>
                </c:pt>
                <c:pt idx="90">
                  <c:v>194.43261817643074</c:v>
                </c:pt>
                <c:pt idx="91">
                  <c:v>192.14643717255365</c:v>
                </c:pt>
                <c:pt idx="92">
                  <c:v>192.92317433516251</c:v>
                </c:pt>
                <c:pt idx="93">
                  <c:v>190.89580067334398</c:v>
                </c:pt>
                <c:pt idx="94">
                  <c:v>187.70309604010447</c:v>
                </c:pt>
                <c:pt idx="95">
                  <c:v>189.57328700621952</c:v>
                </c:pt>
                <c:pt idx="96">
                  <c:v>190.44175111614638</c:v>
                </c:pt>
                <c:pt idx="97">
                  <c:v>188.83621333445151</c:v>
                </c:pt>
                <c:pt idx="98">
                  <c:v>188.12658237325249</c:v>
                </c:pt>
                <c:pt idx="99">
                  <c:v>187.11892797319933</c:v>
                </c:pt>
                <c:pt idx="100">
                  <c:v>186.17211009780158</c:v>
                </c:pt>
                <c:pt idx="101">
                  <c:v>184.89323889580737</c:v>
                </c:pt>
                <c:pt idx="102">
                  <c:v>185.33036781055256</c:v>
                </c:pt>
                <c:pt idx="103">
                  <c:v>180.65205969852576</c:v>
                </c:pt>
                <c:pt idx="104">
                  <c:v>180.74785582842446</c:v>
                </c:pt>
                <c:pt idx="105">
                  <c:v>179.02101280191246</c:v>
                </c:pt>
                <c:pt idx="106">
                  <c:v>177.51680865051904</c:v>
                </c:pt>
                <c:pt idx="107">
                  <c:v>179.20826307780885</c:v>
                </c:pt>
                <c:pt idx="108">
                  <c:v>181.67885720876586</c:v>
                </c:pt>
                <c:pt idx="109">
                  <c:v>183.47570362869897</c:v>
                </c:pt>
                <c:pt idx="110">
                  <c:v>181.33287257544438</c:v>
                </c:pt>
                <c:pt idx="111">
                  <c:v>182.63199389250144</c:v>
                </c:pt>
                <c:pt idx="112">
                  <c:v>185.36091878434911</c:v>
                </c:pt>
                <c:pt idx="113">
                  <c:v>185.94050529910311</c:v>
                </c:pt>
                <c:pt idx="114">
                  <c:v>187.65902749069863</c:v>
                </c:pt>
                <c:pt idx="115">
                  <c:v>189.16339795020747</c:v>
                </c:pt>
                <c:pt idx="116">
                  <c:v>187.92042007594517</c:v>
                </c:pt>
                <c:pt idx="117">
                  <c:v>188.69299907723001</c:v>
                </c:pt>
                <c:pt idx="118">
                  <c:v>185.92885799435498</c:v>
                </c:pt>
                <c:pt idx="119">
                  <c:v>186.56125036466102</c:v>
                </c:pt>
                <c:pt idx="120">
                  <c:v>186.61701600924243</c:v>
                </c:pt>
                <c:pt idx="121">
                  <c:v>185.59465193919473</c:v>
                </c:pt>
                <c:pt idx="122">
                  <c:v>187.24443528441881</c:v>
                </c:pt>
                <c:pt idx="123">
                  <c:v>186.66037294254014</c:v>
                </c:pt>
                <c:pt idx="124">
                  <c:v>188.76565703883495</c:v>
                </c:pt>
                <c:pt idx="125">
                  <c:v>190.6520762635152</c:v>
                </c:pt>
                <c:pt idx="126">
                  <c:v>187.43259759387229</c:v>
                </c:pt>
                <c:pt idx="127">
                  <c:v>186.173896090586</c:v>
                </c:pt>
                <c:pt idx="128">
                  <c:v>185.33695909914363</c:v>
                </c:pt>
                <c:pt idx="129">
                  <c:v>187.17162400066073</c:v>
                </c:pt>
                <c:pt idx="130">
                  <c:v>187.85723035506885</c:v>
                </c:pt>
                <c:pt idx="131">
                  <c:v>190.33429314410847</c:v>
                </c:pt>
                <c:pt idx="132">
                  <c:v>188.21710203427028</c:v>
                </c:pt>
                <c:pt idx="133">
                  <c:v>185.79930030601835</c:v>
                </c:pt>
                <c:pt idx="134">
                  <c:v>191.04495024782088</c:v>
                </c:pt>
                <c:pt idx="135">
                  <c:v>191.39919578484611</c:v>
                </c:pt>
                <c:pt idx="136">
                  <c:v>190.89926075698924</c:v>
                </c:pt>
                <c:pt idx="137">
                  <c:v>191.06366557137954</c:v>
                </c:pt>
                <c:pt idx="138">
                  <c:v>189.18527356400205</c:v>
                </c:pt>
                <c:pt idx="139">
                  <c:v>188.14335706181203</c:v>
                </c:pt>
                <c:pt idx="140">
                  <c:v>190.22244624872405</c:v>
                </c:pt>
                <c:pt idx="141">
                  <c:v>191.57822117455976</c:v>
                </c:pt>
                <c:pt idx="142">
                  <c:v>194.27341869520373</c:v>
                </c:pt>
                <c:pt idx="143">
                  <c:v>194.40348418315142</c:v>
                </c:pt>
                <c:pt idx="144">
                  <c:v>195.38772441760875</c:v>
                </c:pt>
                <c:pt idx="145">
                  <c:v>194.3041134705332</c:v>
                </c:pt>
                <c:pt idx="146">
                  <c:v>194.91604875138498</c:v>
                </c:pt>
                <c:pt idx="147">
                  <c:v>194.16737764096465</c:v>
                </c:pt>
                <c:pt idx="148">
                  <c:v>192.71306848001359</c:v>
                </c:pt>
                <c:pt idx="149">
                  <c:v>192.55875448375326</c:v>
                </c:pt>
                <c:pt idx="150">
                  <c:v>191.4765545493089</c:v>
                </c:pt>
                <c:pt idx="151">
                  <c:v>193.09582219646231</c:v>
                </c:pt>
                <c:pt idx="152">
                  <c:v>189.20322770992365</c:v>
                </c:pt>
                <c:pt idx="153">
                  <c:v>189.50609727257324</c:v>
                </c:pt>
                <c:pt idx="154">
                  <c:v>192.36708074180953</c:v>
                </c:pt>
                <c:pt idx="155">
                  <c:v>190.30652782454959</c:v>
                </c:pt>
                <c:pt idx="156">
                  <c:v>192.39015606980271</c:v>
                </c:pt>
                <c:pt idx="157">
                  <c:v>194.80953118515396</c:v>
                </c:pt>
                <c:pt idx="158">
                  <c:v>195.31075321212631</c:v>
                </c:pt>
                <c:pt idx="159">
                  <c:v>196.26698284588954</c:v>
                </c:pt>
                <c:pt idx="160">
                  <c:v>199.0123541908365</c:v>
                </c:pt>
                <c:pt idx="161">
                  <c:v>198.44869813914502</c:v>
                </c:pt>
                <c:pt idx="162">
                  <c:v>199.23153065687339</c:v>
                </c:pt>
                <c:pt idx="163">
                  <c:v>200.42839546407311</c:v>
                </c:pt>
                <c:pt idx="164">
                  <c:v>202.4546280422833</c:v>
                </c:pt>
                <c:pt idx="165">
                  <c:v>203.2112037118458</c:v>
                </c:pt>
                <c:pt idx="166">
                  <c:v>200.15762666330221</c:v>
                </c:pt>
                <c:pt idx="167">
                  <c:v>203.15033321822622</c:v>
                </c:pt>
                <c:pt idx="168">
                  <c:v>204.76108239168988</c:v>
                </c:pt>
                <c:pt idx="169">
                  <c:v>204.84992522788656</c:v>
                </c:pt>
                <c:pt idx="170">
                  <c:v>201.95126005528101</c:v>
                </c:pt>
                <c:pt idx="171">
                  <c:v>200.69997606730286</c:v>
                </c:pt>
                <c:pt idx="172">
                  <c:v>198.01615771376237</c:v>
                </c:pt>
                <c:pt idx="173">
                  <c:v>197.1014904813548</c:v>
                </c:pt>
                <c:pt idx="174">
                  <c:v>196.05204765683737</c:v>
                </c:pt>
                <c:pt idx="175">
                  <c:v>195.18424863406128</c:v>
                </c:pt>
                <c:pt idx="176">
                  <c:v>188.1004111157369</c:v>
                </c:pt>
                <c:pt idx="177">
                  <c:v>188.55649847125292</c:v>
                </c:pt>
                <c:pt idx="178">
                  <c:v>185.17752374657024</c:v>
                </c:pt>
                <c:pt idx="179">
                  <c:v>186.83602812163394</c:v>
                </c:pt>
                <c:pt idx="180">
                  <c:v>188.34929612435062</c:v>
                </c:pt>
                <c:pt idx="181">
                  <c:v>186.9330926161208</c:v>
                </c:pt>
                <c:pt idx="182">
                  <c:v>185.29671116776316</c:v>
                </c:pt>
                <c:pt idx="183">
                  <c:v>186.25284395486739</c:v>
                </c:pt>
                <c:pt idx="184">
                  <c:v>181.24818261693019</c:v>
                </c:pt>
                <c:pt idx="185">
                  <c:v>181.92522183974305</c:v>
                </c:pt>
                <c:pt idx="186">
                  <c:v>174.84980655212101</c:v>
                </c:pt>
                <c:pt idx="187">
                  <c:v>174.0151109659931</c:v>
                </c:pt>
                <c:pt idx="188">
                  <c:v>174.04378522876894</c:v>
                </c:pt>
                <c:pt idx="189">
                  <c:v>176.15375636647238</c:v>
                </c:pt>
                <c:pt idx="190">
                  <c:v>179.63173758911742</c:v>
                </c:pt>
                <c:pt idx="191">
                  <c:v>178.13265208213551</c:v>
                </c:pt>
                <c:pt idx="192">
                  <c:v>182.84965191944102</c:v>
                </c:pt>
                <c:pt idx="193">
                  <c:v>180.90863472945065</c:v>
                </c:pt>
                <c:pt idx="194">
                  <c:v>182.36105393165911</c:v>
                </c:pt>
                <c:pt idx="195">
                  <c:v>181.68641642810135</c:v>
                </c:pt>
                <c:pt idx="196">
                  <c:v>184.72783966154606</c:v>
                </c:pt>
                <c:pt idx="197">
                  <c:v>182.73858409986858</c:v>
                </c:pt>
                <c:pt idx="198">
                  <c:v>182.04758325022482</c:v>
                </c:pt>
                <c:pt idx="199">
                  <c:v>177.43670298568176</c:v>
                </c:pt>
                <c:pt idx="200">
                  <c:v>176.865936439443</c:v>
                </c:pt>
                <c:pt idx="201">
                  <c:v>176.31909381368268</c:v>
                </c:pt>
                <c:pt idx="202">
                  <c:v>175.72005060787808</c:v>
                </c:pt>
                <c:pt idx="203">
                  <c:v>176.47521355438738</c:v>
                </c:pt>
                <c:pt idx="204">
                  <c:v>174.53597882096071</c:v>
                </c:pt>
                <c:pt idx="205">
                  <c:v>173.32209737287451</c:v>
                </c:pt>
                <c:pt idx="206">
                  <c:v>174.9357586956522</c:v>
                </c:pt>
                <c:pt idx="207">
                  <c:v>176.53160606466813</c:v>
                </c:pt>
                <c:pt idx="208">
                  <c:v>178.08621815806663</c:v>
                </c:pt>
                <c:pt idx="209">
                  <c:v>178.51834098560624</c:v>
                </c:pt>
                <c:pt idx="210">
                  <c:v>179.55646936280465</c:v>
                </c:pt>
                <c:pt idx="211">
                  <c:v>182.01782036628239</c:v>
                </c:pt>
                <c:pt idx="212">
                  <c:v>182.71119551213931</c:v>
                </c:pt>
                <c:pt idx="213">
                  <c:v>183.80361314118221</c:v>
                </c:pt>
                <c:pt idx="214">
                  <c:v>178.86404854707794</c:v>
                </c:pt>
                <c:pt idx="215">
                  <c:v>177.75792780796365</c:v>
                </c:pt>
                <c:pt idx="216">
                  <c:v>176.12728654161205</c:v>
                </c:pt>
                <c:pt idx="217">
                  <c:v>177.92744326986212</c:v>
                </c:pt>
                <c:pt idx="218">
                  <c:v>173.27698840437694</c:v>
                </c:pt>
                <c:pt idx="219">
                  <c:v>173.00408647742148</c:v>
                </c:pt>
                <c:pt idx="220">
                  <c:v>176.75298641793486</c:v>
                </c:pt>
                <c:pt idx="221">
                  <c:v>179.0707498399409</c:v>
                </c:pt>
                <c:pt idx="222">
                  <c:v>175.18916546184738</c:v>
                </c:pt>
                <c:pt idx="223">
                  <c:v>177.44951203795381</c:v>
                </c:pt>
                <c:pt idx="224">
                  <c:v>174.00452590852905</c:v>
                </c:pt>
                <c:pt idx="225">
                  <c:v>173.94264811868061</c:v>
                </c:pt>
                <c:pt idx="226">
                  <c:v>169.58486551351351</c:v>
                </c:pt>
                <c:pt idx="227">
                  <c:v>169.02346369122452</c:v>
                </c:pt>
                <c:pt idx="228">
                  <c:v>165.49633706649831</c:v>
                </c:pt>
                <c:pt idx="229">
                  <c:v>161.70640075975015</c:v>
                </c:pt>
                <c:pt idx="230">
                  <c:v>162.31679303770892</c:v>
                </c:pt>
                <c:pt idx="231">
                  <c:v>169.35992527203712</c:v>
                </c:pt>
                <c:pt idx="232">
                  <c:v>168.20547551054713</c:v>
                </c:pt>
                <c:pt idx="233">
                  <c:v>167.17382136098675</c:v>
                </c:pt>
                <c:pt idx="234">
                  <c:v>166.06078894736842</c:v>
                </c:pt>
                <c:pt idx="235">
                  <c:v>169.24806336993242</c:v>
                </c:pt>
                <c:pt idx="236">
                  <c:v>168.87361303075895</c:v>
                </c:pt>
                <c:pt idx="237">
                  <c:v>172.14782190291589</c:v>
                </c:pt>
                <c:pt idx="238">
                  <c:v>171.19885193581254</c:v>
                </c:pt>
                <c:pt idx="239">
                  <c:v>172.00050028723493</c:v>
                </c:pt>
                <c:pt idx="240">
                  <c:v>174.30076369880436</c:v>
                </c:pt>
                <c:pt idx="241">
                  <c:v>174.35181236673773</c:v>
                </c:pt>
                <c:pt idx="242">
                  <c:v>178.60692927427121</c:v>
                </c:pt>
                <c:pt idx="243">
                  <c:v>181.63183611355248</c:v>
                </c:pt>
                <c:pt idx="244">
                  <c:v>180.43481736480013</c:v>
                </c:pt>
                <c:pt idx="245">
                  <c:v>180.36479058947</c:v>
                </c:pt>
                <c:pt idx="246">
                  <c:v>179.02912894896983</c:v>
                </c:pt>
                <c:pt idx="247">
                  <c:v>176.98607190537635</c:v>
                </c:pt>
                <c:pt idx="248">
                  <c:v>179.22146964886551</c:v>
                </c:pt>
                <c:pt idx="249">
                  <c:v>179.63462374945627</c:v>
                </c:pt>
                <c:pt idx="250">
                  <c:v>179.55200821096534</c:v>
                </c:pt>
                <c:pt idx="251">
                  <c:v>177.51760848877376</c:v>
                </c:pt>
                <c:pt idx="252">
                  <c:v>179.205402294686</c:v>
                </c:pt>
                <c:pt idx="253">
                  <c:v>178.90181260757313</c:v>
                </c:pt>
                <c:pt idx="254">
                  <c:v>181.04698336367579</c:v>
                </c:pt>
                <c:pt idx="255">
                  <c:v>180.86289994793924</c:v>
                </c:pt>
                <c:pt idx="256">
                  <c:v>183.99348212428382</c:v>
                </c:pt>
                <c:pt idx="257">
                  <c:v>183.16955862829906</c:v>
                </c:pt>
                <c:pt idx="258">
                  <c:v>178.20481964943033</c:v>
                </c:pt>
                <c:pt idx="259">
                  <c:v>182.69886985989493</c:v>
                </c:pt>
                <c:pt idx="260">
                  <c:v>183.21185745602634</c:v>
                </c:pt>
                <c:pt idx="261">
                  <c:v>183.71174883114628</c:v>
                </c:pt>
                <c:pt idx="262">
                  <c:v>180.47345530610482</c:v>
                </c:pt>
                <c:pt idx="263">
                  <c:v>183.03818361572203</c:v>
                </c:pt>
                <c:pt idx="264">
                  <c:v>185.96813959842862</c:v>
                </c:pt>
                <c:pt idx="265">
                  <c:v>185.69872830777231</c:v>
                </c:pt>
                <c:pt idx="266">
                  <c:v>187.6900180919902</c:v>
                </c:pt>
                <c:pt idx="267">
                  <c:v>185.18158829732064</c:v>
                </c:pt>
                <c:pt idx="268">
                  <c:v>186.11766636984524</c:v>
                </c:pt>
                <c:pt idx="269">
                  <c:v>186.48400821596246</c:v>
                </c:pt>
                <c:pt idx="270">
                  <c:v>186.37826185370915</c:v>
                </c:pt>
                <c:pt idx="271">
                  <c:v>184.51389263157895</c:v>
                </c:pt>
                <c:pt idx="272">
                  <c:v>185.03374263811563</c:v>
                </c:pt>
                <c:pt idx="273">
                  <c:v>187.37797581143741</c:v>
                </c:pt>
                <c:pt idx="274">
                  <c:v>186.17205910025709</c:v>
                </c:pt>
                <c:pt idx="275">
                  <c:v>184.60390244465341</c:v>
                </c:pt>
                <c:pt idx="276">
                  <c:v>183.2593932866416</c:v>
                </c:pt>
                <c:pt idx="277">
                  <c:v>178.81919158870556</c:v>
                </c:pt>
                <c:pt idx="278">
                  <c:v>179.89517026313547</c:v>
                </c:pt>
                <c:pt idx="279">
                  <c:v>183.07244553890686</c:v>
                </c:pt>
                <c:pt idx="280">
                  <c:v>182.63910297675218</c:v>
                </c:pt>
                <c:pt idx="281">
                  <c:v>182.43931720089134</c:v>
                </c:pt>
                <c:pt idx="282">
                  <c:v>185.44868685916833</c:v>
                </c:pt>
                <c:pt idx="283">
                  <c:v>187.78928136419</c:v>
                </c:pt>
                <c:pt idx="284">
                  <c:v>189.08337374189023</c:v>
                </c:pt>
                <c:pt idx="285">
                  <c:v>188.44440500566844</c:v>
                </c:pt>
                <c:pt idx="286">
                  <c:v>189.58046847826085</c:v>
                </c:pt>
                <c:pt idx="287">
                  <c:v>183.60708424507658</c:v>
                </c:pt>
                <c:pt idx="288">
                  <c:v>187.72133705650458</c:v>
                </c:pt>
                <c:pt idx="289">
                  <c:v>186.38823425457713</c:v>
                </c:pt>
                <c:pt idx="290">
                  <c:v>183.34867299511853</c:v>
                </c:pt>
                <c:pt idx="291">
                  <c:v>183.93451771185704</c:v>
                </c:pt>
                <c:pt idx="292">
                  <c:v>187.23040822597494</c:v>
                </c:pt>
                <c:pt idx="293">
                  <c:v>187.39378308644126</c:v>
                </c:pt>
                <c:pt idx="294">
                  <c:v>189.63503002620087</c:v>
                </c:pt>
                <c:pt idx="295">
                  <c:v>190.05291942087305</c:v>
                </c:pt>
                <c:pt idx="296">
                  <c:v>192.560706401766</c:v>
                </c:pt>
                <c:pt idx="297">
                  <c:v>192.99086902270307</c:v>
                </c:pt>
                <c:pt idx="298">
                  <c:v>197.04102886579301</c:v>
                </c:pt>
                <c:pt idx="299">
                  <c:v>198.27729304260379</c:v>
                </c:pt>
                <c:pt idx="300">
                  <c:v>196.96435506667876</c:v>
                </c:pt>
                <c:pt idx="301">
                  <c:v>196.32460096050269</c:v>
                </c:pt>
                <c:pt idx="302">
                  <c:v>199.8477361849815</c:v>
                </c:pt>
                <c:pt idx="303">
                  <c:v>200.90100493626255</c:v>
                </c:pt>
                <c:pt idx="304">
                  <c:v>202.19613998003265</c:v>
                </c:pt>
                <c:pt idx="305">
                  <c:v>200.52758842592593</c:v>
                </c:pt>
                <c:pt idx="306">
                  <c:v>204.76443965135584</c:v>
                </c:pt>
                <c:pt idx="307">
                  <c:v>205.22723435248474</c:v>
                </c:pt>
                <c:pt idx="308">
                  <c:v>205.02662092659116</c:v>
                </c:pt>
                <c:pt idx="309">
                  <c:v>201.89159694434341</c:v>
                </c:pt>
                <c:pt idx="310">
                  <c:v>203.40640173247013</c:v>
                </c:pt>
                <c:pt idx="311">
                  <c:v>200.74612616341992</c:v>
                </c:pt>
                <c:pt idx="312">
                  <c:v>198.45859240517788</c:v>
                </c:pt>
                <c:pt idx="313">
                  <c:v>197.06796062762268</c:v>
                </c:pt>
                <c:pt idx="314">
                  <c:v>192.93365959614169</c:v>
                </c:pt>
                <c:pt idx="315">
                  <c:v>191.6749274604885</c:v>
                </c:pt>
                <c:pt idx="316">
                  <c:v>189.7669857347542</c:v>
                </c:pt>
                <c:pt idx="317">
                  <c:v>188.58858176528511</c:v>
                </c:pt>
                <c:pt idx="318">
                  <c:v>189.84464247827256</c:v>
                </c:pt>
                <c:pt idx="319">
                  <c:v>187.6601966233072</c:v>
                </c:pt>
                <c:pt idx="320">
                  <c:v>189.49607494203673</c:v>
                </c:pt>
                <c:pt idx="321">
                  <c:v>187.91223067219477</c:v>
                </c:pt>
                <c:pt idx="322">
                  <c:v>187.85278363652418</c:v>
                </c:pt>
                <c:pt idx="323">
                  <c:v>187.99902076671671</c:v>
                </c:pt>
                <c:pt idx="324">
                  <c:v>186.56735137161505</c:v>
                </c:pt>
                <c:pt idx="325">
                  <c:v>187.02701889115224</c:v>
                </c:pt>
                <c:pt idx="326">
                  <c:v>185.94259197682584</c:v>
                </c:pt>
                <c:pt idx="327">
                  <c:v>186.23108466187807</c:v>
                </c:pt>
                <c:pt idx="328">
                  <c:v>185.65693574648634</c:v>
                </c:pt>
                <c:pt idx="329">
                  <c:v>193.50022449413288</c:v>
                </c:pt>
                <c:pt idx="330">
                  <c:v>189.54079908915264</c:v>
                </c:pt>
                <c:pt idx="331">
                  <c:v>186.04394183757179</c:v>
                </c:pt>
                <c:pt idx="332">
                  <c:v>186.31129325360598</c:v>
                </c:pt>
                <c:pt idx="333">
                  <c:v>189.77073080928022</c:v>
                </c:pt>
                <c:pt idx="334">
                  <c:v>190.552550568703</c:v>
                </c:pt>
                <c:pt idx="335">
                  <c:v>195.51311494102228</c:v>
                </c:pt>
                <c:pt idx="336">
                  <c:v>197.8137394421565</c:v>
                </c:pt>
                <c:pt idx="337">
                  <c:v>197.93035841500981</c:v>
                </c:pt>
                <c:pt idx="338">
                  <c:v>197.34492110768656</c:v>
                </c:pt>
                <c:pt idx="339">
                  <c:v>196.89196779629285</c:v>
                </c:pt>
                <c:pt idx="340">
                  <c:v>199.72468197294995</c:v>
                </c:pt>
                <c:pt idx="341">
                  <c:v>198.03131152151494</c:v>
                </c:pt>
                <c:pt idx="342">
                  <c:v>195.45862943150047</c:v>
                </c:pt>
                <c:pt idx="343">
                  <c:v>199.77403446951959</c:v>
                </c:pt>
                <c:pt idx="344">
                  <c:v>200.73755494762437</c:v>
                </c:pt>
                <c:pt idx="345">
                  <c:v>198.03111900326039</c:v>
                </c:pt>
                <c:pt idx="346">
                  <c:v>200.20683064334088</c:v>
                </c:pt>
                <c:pt idx="347">
                  <c:v>199.47115808941177</c:v>
                </c:pt>
                <c:pt idx="348">
                  <c:v>197.47696051695073</c:v>
                </c:pt>
                <c:pt idx="349">
                  <c:v>199.57136103628881</c:v>
                </c:pt>
                <c:pt idx="350">
                  <c:v>199.32471352819937</c:v>
                </c:pt>
                <c:pt idx="351">
                  <c:v>203.80764118364283</c:v>
                </c:pt>
                <c:pt idx="352">
                  <c:v>202.45946515588648</c:v>
                </c:pt>
                <c:pt idx="353">
                  <c:v>201.41636559620218</c:v>
                </c:pt>
                <c:pt idx="354">
                  <c:v>200.50304156504063</c:v>
                </c:pt>
                <c:pt idx="355">
                  <c:v>201.03892815937877</c:v>
                </c:pt>
                <c:pt idx="356">
                  <c:v>200.09616808214088</c:v>
                </c:pt>
                <c:pt idx="357">
                  <c:v>200.53143380137621</c:v>
                </c:pt>
                <c:pt idx="358">
                  <c:v>199.32870933074145</c:v>
                </c:pt>
                <c:pt idx="359">
                  <c:v>201.3164291414752</c:v>
                </c:pt>
                <c:pt idx="360">
                  <c:v>202.74775982610322</c:v>
                </c:pt>
                <c:pt idx="361">
                  <c:v>199.23443426773983</c:v>
                </c:pt>
                <c:pt idx="362">
                  <c:v>199.43501800278679</c:v>
                </c:pt>
                <c:pt idx="363">
                  <c:v>197.58017493428466</c:v>
                </c:pt>
                <c:pt idx="364">
                  <c:v>202.95915887302638</c:v>
                </c:pt>
                <c:pt idx="365">
                  <c:v>205.732844024976</c:v>
                </c:pt>
                <c:pt idx="366">
                  <c:v>209.11965237450431</c:v>
                </c:pt>
                <c:pt idx="367">
                  <c:v>211.20313564549079</c:v>
                </c:pt>
                <c:pt idx="368">
                  <c:v>209.27809523855331</c:v>
                </c:pt>
                <c:pt idx="369">
                  <c:v>210.08973121544281</c:v>
                </c:pt>
                <c:pt idx="370">
                  <c:v>209.91261197319869</c:v>
                </c:pt>
                <c:pt idx="371">
                  <c:v>213.21263550383031</c:v>
                </c:pt>
                <c:pt idx="372">
                  <c:v>209.19060358670296</c:v>
                </c:pt>
                <c:pt idx="373">
                  <c:v>210.36123275390625</c:v>
                </c:pt>
                <c:pt idx="374">
                  <c:v>209.63475649666967</c:v>
                </c:pt>
                <c:pt idx="375">
                  <c:v>206.76867640953998</c:v>
                </c:pt>
                <c:pt idx="376">
                  <c:v>212.41678409864824</c:v>
                </c:pt>
                <c:pt idx="377">
                  <c:v>208.84121077972316</c:v>
                </c:pt>
                <c:pt idx="378">
                  <c:v>207.2808214292904</c:v>
                </c:pt>
                <c:pt idx="379">
                  <c:v>206.68285684452439</c:v>
                </c:pt>
                <c:pt idx="380">
                  <c:v>206.34963636638759</c:v>
                </c:pt>
                <c:pt idx="381">
                  <c:v>206.79946795154186</c:v>
                </c:pt>
                <c:pt idx="382">
                  <c:v>204.62946641596469</c:v>
                </c:pt>
                <c:pt idx="383">
                  <c:v>205.17293556069134</c:v>
                </c:pt>
                <c:pt idx="384">
                  <c:v>201.87669503239744</c:v>
                </c:pt>
                <c:pt idx="385">
                  <c:v>201.35573768624013</c:v>
                </c:pt>
                <c:pt idx="386">
                  <c:v>201.60917486066296</c:v>
                </c:pt>
                <c:pt idx="387">
                  <c:v>203.09156016540317</c:v>
                </c:pt>
                <c:pt idx="388">
                  <c:v>201.99853853506292</c:v>
                </c:pt>
                <c:pt idx="389">
                  <c:v>197.5145161142523</c:v>
                </c:pt>
                <c:pt idx="390">
                  <c:v>199.98123059927656</c:v>
                </c:pt>
                <c:pt idx="391">
                  <c:v>202.78661176354098</c:v>
                </c:pt>
                <c:pt idx="392">
                  <c:v>202.38308296735906</c:v>
                </c:pt>
                <c:pt idx="393">
                  <c:v>205.5636332505957</c:v>
                </c:pt>
                <c:pt idx="394">
                  <c:v>203.45524867291564</c:v>
                </c:pt>
                <c:pt idx="395">
                  <c:v>203.58464274010464</c:v>
                </c:pt>
                <c:pt idx="396">
                  <c:v>201.71085889420729</c:v>
                </c:pt>
                <c:pt idx="397">
                  <c:v>201.85659058969941</c:v>
                </c:pt>
                <c:pt idx="398">
                  <c:v>205.56162428973141</c:v>
                </c:pt>
                <c:pt idx="399">
                  <c:v>206.59385523791067</c:v>
                </c:pt>
                <c:pt idx="400">
                  <c:v>206.44759321559545</c:v>
                </c:pt>
                <c:pt idx="401">
                  <c:v>207.63083797346664</c:v>
                </c:pt>
                <c:pt idx="402">
                  <c:v>208.96580596369924</c:v>
                </c:pt>
                <c:pt idx="403">
                  <c:v>210.43438666858074</c:v>
                </c:pt>
                <c:pt idx="404">
                  <c:v>210.51880502344272</c:v>
                </c:pt>
                <c:pt idx="405">
                  <c:v>208.51415626661606</c:v>
                </c:pt>
                <c:pt idx="406">
                  <c:v>209.26950084488323</c:v>
                </c:pt>
                <c:pt idx="407">
                  <c:v>213.07749318664347</c:v>
                </c:pt>
                <c:pt idx="408">
                  <c:v>214.07381424004646</c:v>
                </c:pt>
                <c:pt idx="409">
                  <c:v>212.40619649850487</c:v>
                </c:pt>
                <c:pt idx="410">
                  <c:v>211.08894431785544</c:v>
                </c:pt>
                <c:pt idx="411">
                  <c:v>207.85578938818162</c:v>
                </c:pt>
                <c:pt idx="412">
                  <c:v>207.57408495372576</c:v>
                </c:pt>
                <c:pt idx="413">
                  <c:v>210.27325359338971</c:v>
                </c:pt>
                <c:pt idx="414">
                  <c:v>208.44763950038285</c:v>
                </c:pt>
                <c:pt idx="415">
                  <c:v>205.52523337827427</c:v>
                </c:pt>
                <c:pt idx="416">
                  <c:v>207.32254496949741</c:v>
                </c:pt>
                <c:pt idx="417">
                  <c:v>205.63011063011064</c:v>
                </c:pt>
                <c:pt idx="418">
                  <c:v>208.83988872013157</c:v>
                </c:pt>
                <c:pt idx="419">
                  <c:v>206.11316867435161</c:v>
                </c:pt>
                <c:pt idx="420">
                  <c:v>205.74683025298327</c:v>
                </c:pt>
                <c:pt idx="421">
                  <c:v>206.80076976567688</c:v>
                </c:pt>
                <c:pt idx="422">
                  <c:v>210.3553181585678</c:v>
                </c:pt>
                <c:pt idx="423">
                  <c:v>214.94901886178863</c:v>
                </c:pt>
                <c:pt idx="424">
                  <c:v>213.29906303439103</c:v>
                </c:pt>
                <c:pt idx="425">
                  <c:v>214.15480994001715</c:v>
                </c:pt>
                <c:pt idx="426">
                  <c:v>212.50495138064272</c:v>
                </c:pt>
                <c:pt idx="427">
                  <c:v>214.82511259969618</c:v>
                </c:pt>
                <c:pt idx="428">
                  <c:v>214.4866560667484</c:v>
                </c:pt>
                <c:pt idx="429">
                  <c:v>212.70464172963898</c:v>
                </c:pt>
                <c:pt idx="430">
                  <c:v>214.17317159314416</c:v>
                </c:pt>
                <c:pt idx="431">
                  <c:v>212.66436044617237</c:v>
                </c:pt>
                <c:pt idx="432">
                  <c:v>211.47120108313274</c:v>
                </c:pt>
                <c:pt idx="433">
                  <c:v>211.7384472016993</c:v>
                </c:pt>
                <c:pt idx="434">
                  <c:v>211.30728251340855</c:v>
                </c:pt>
                <c:pt idx="435">
                  <c:v>215.49573896200184</c:v>
                </c:pt>
                <c:pt idx="436">
                  <c:v>215.81607994999072</c:v>
                </c:pt>
                <c:pt idx="437">
                  <c:v>217.24853629760685</c:v>
                </c:pt>
                <c:pt idx="438">
                  <c:v>216.75193792624165</c:v>
                </c:pt>
                <c:pt idx="439">
                  <c:v>216.61721143812088</c:v>
                </c:pt>
                <c:pt idx="440">
                  <c:v>217.43560844966257</c:v>
                </c:pt>
                <c:pt idx="441">
                  <c:v>217.55638717231085</c:v>
                </c:pt>
                <c:pt idx="442">
                  <c:v>218.0285545600151</c:v>
                </c:pt>
                <c:pt idx="443">
                  <c:v>219.82190654655221</c:v>
                </c:pt>
                <c:pt idx="444">
                  <c:v>220.89198911423449</c:v>
                </c:pt>
                <c:pt idx="445">
                  <c:v>219.51418707944586</c:v>
                </c:pt>
                <c:pt idx="446">
                  <c:v>216.99072284401947</c:v>
                </c:pt>
                <c:pt idx="447">
                  <c:v>214.27250816592263</c:v>
                </c:pt>
                <c:pt idx="448">
                  <c:v>215.58512134129282</c:v>
                </c:pt>
                <c:pt idx="449">
                  <c:v>216.09942413181477</c:v>
                </c:pt>
                <c:pt idx="450">
                  <c:v>215.53541096454299</c:v>
                </c:pt>
                <c:pt idx="451">
                  <c:v>217.96379535081101</c:v>
                </c:pt>
                <c:pt idx="452">
                  <c:v>218.81456596524191</c:v>
                </c:pt>
                <c:pt idx="453">
                  <c:v>223.94673098591548</c:v>
                </c:pt>
                <c:pt idx="454">
                  <c:v>223.62150110676464</c:v>
                </c:pt>
                <c:pt idx="455">
                  <c:v>221.65647784300728</c:v>
                </c:pt>
                <c:pt idx="456">
                  <c:v>218.25082128736065</c:v>
                </c:pt>
                <c:pt idx="457">
                  <c:v>220.12816914585088</c:v>
                </c:pt>
                <c:pt idx="458">
                  <c:v>216.82101963275528</c:v>
                </c:pt>
                <c:pt idx="459">
                  <c:v>214.95150486853106</c:v>
                </c:pt>
                <c:pt idx="460">
                  <c:v>215.94151848007411</c:v>
                </c:pt>
                <c:pt idx="461">
                  <c:v>217.00799471287863</c:v>
                </c:pt>
                <c:pt idx="462">
                  <c:v>216.56991606433127</c:v>
                </c:pt>
                <c:pt idx="463">
                  <c:v>216.36034614602588</c:v>
                </c:pt>
                <c:pt idx="464">
                  <c:v>216.45099819561398</c:v>
                </c:pt>
                <c:pt idx="465">
                  <c:v>217.84442059890264</c:v>
                </c:pt>
                <c:pt idx="466">
                  <c:v>222.47730699203555</c:v>
                </c:pt>
                <c:pt idx="467">
                  <c:v>221.67838601573348</c:v>
                </c:pt>
                <c:pt idx="468">
                  <c:v>220.50686403701667</c:v>
                </c:pt>
                <c:pt idx="469">
                  <c:v>218.39975990510084</c:v>
                </c:pt>
                <c:pt idx="470">
                  <c:v>216.59874395534578</c:v>
                </c:pt>
                <c:pt idx="471">
                  <c:v>216.71183675159236</c:v>
                </c:pt>
                <c:pt idx="472">
                  <c:v>217.0883931012485</c:v>
                </c:pt>
                <c:pt idx="473">
                  <c:v>219.35364578424154</c:v>
                </c:pt>
                <c:pt idx="474">
                  <c:v>217.03658643000549</c:v>
                </c:pt>
                <c:pt idx="475">
                  <c:v>216.6131274060661</c:v>
                </c:pt>
                <c:pt idx="476">
                  <c:v>216.17593817901513</c:v>
                </c:pt>
                <c:pt idx="477">
                  <c:v>215.56970239657372</c:v>
                </c:pt>
                <c:pt idx="478">
                  <c:v>211.14521724294812</c:v>
                </c:pt>
                <c:pt idx="479">
                  <c:v>217.769450424903</c:v>
                </c:pt>
                <c:pt idx="480">
                  <c:v>211.08668940234693</c:v>
                </c:pt>
                <c:pt idx="481">
                  <c:v>213.69550667789511</c:v>
                </c:pt>
                <c:pt idx="482">
                  <c:v>216.34802826027521</c:v>
                </c:pt>
                <c:pt idx="483">
                  <c:v>217.99259951558361</c:v>
                </c:pt>
                <c:pt idx="484">
                  <c:v>221.38932843715446</c:v>
                </c:pt>
                <c:pt idx="485">
                  <c:v>219.74072104005879</c:v>
                </c:pt>
                <c:pt idx="486">
                  <c:v>220.72425397952597</c:v>
                </c:pt>
                <c:pt idx="487">
                  <c:v>222.41890800259043</c:v>
                </c:pt>
                <c:pt idx="488">
                  <c:v>226.24245905119773</c:v>
                </c:pt>
                <c:pt idx="489">
                  <c:v>221.02955031027139</c:v>
                </c:pt>
                <c:pt idx="490">
                  <c:v>223.63064962776849</c:v>
                </c:pt>
                <c:pt idx="491">
                  <c:v>221.22944824284119</c:v>
                </c:pt>
                <c:pt idx="492">
                  <c:v>223.68737972211792</c:v>
                </c:pt>
                <c:pt idx="493">
                  <c:v>217.57395624941745</c:v>
                </c:pt>
                <c:pt idx="494">
                  <c:v>221.33388252454952</c:v>
                </c:pt>
                <c:pt idx="495">
                  <c:v>223.19236650119331</c:v>
                </c:pt>
                <c:pt idx="496">
                  <c:v>219.08609839816936</c:v>
                </c:pt>
                <c:pt idx="497">
                  <c:v>217.27696337078652</c:v>
                </c:pt>
                <c:pt idx="498">
                  <c:v>215.13335318411686</c:v>
                </c:pt>
                <c:pt idx="499">
                  <c:v>217.71753130246154</c:v>
                </c:pt>
                <c:pt idx="500">
                  <c:v>219.12761273256908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E-480A-A543-7907E0D5AA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0833928"/>
        <c:axId val="830834568"/>
      </c:lineChart>
      <c:dateAx>
        <c:axId val="83083392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834568"/>
        <c:crosses val="autoZero"/>
        <c:auto val="1"/>
        <c:lblOffset val="100"/>
        <c:baseTimeUnit val="days"/>
      </c:dateAx>
      <c:valAx>
        <c:axId val="83083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833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Data!$F$1</c:f>
              <c:strCache>
                <c:ptCount val="1"/>
                <c:pt idx="0">
                  <c:v>USD Hang Seng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Data!$B$2:$B$543</c:f>
              <c:numCache>
                <c:formatCode>m/d/yyyy</c:formatCode>
                <c:ptCount val="542"/>
                <c:pt idx="0">
                  <c:v>43138</c:v>
                </c:pt>
                <c:pt idx="1">
                  <c:v>43139</c:v>
                </c:pt>
                <c:pt idx="2">
                  <c:v>43140</c:v>
                </c:pt>
                <c:pt idx="3">
                  <c:v>43143</c:v>
                </c:pt>
                <c:pt idx="4">
                  <c:v>43144</c:v>
                </c:pt>
                <c:pt idx="5">
                  <c:v>43145</c:v>
                </c:pt>
                <c:pt idx="6">
                  <c:v>43146</c:v>
                </c:pt>
                <c:pt idx="7">
                  <c:v>43147</c:v>
                </c:pt>
                <c:pt idx="8">
                  <c:v>43151</c:v>
                </c:pt>
                <c:pt idx="9">
                  <c:v>43152</c:v>
                </c:pt>
                <c:pt idx="10">
                  <c:v>43153</c:v>
                </c:pt>
                <c:pt idx="11">
                  <c:v>43154</c:v>
                </c:pt>
                <c:pt idx="12">
                  <c:v>43157</c:v>
                </c:pt>
                <c:pt idx="13">
                  <c:v>43158</c:v>
                </c:pt>
                <c:pt idx="14">
                  <c:v>43159</c:v>
                </c:pt>
                <c:pt idx="15">
                  <c:v>43160</c:v>
                </c:pt>
                <c:pt idx="16">
                  <c:v>43161</c:v>
                </c:pt>
                <c:pt idx="17">
                  <c:v>43164</c:v>
                </c:pt>
                <c:pt idx="18">
                  <c:v>43165</c:v>
                </c:pt>
                <c:pt idx="19">
                  <c:v>43166</c:v>
                </c:pt>
                <c:pt idx="20">
                  <c:v>43167</c:v>
                </c:pt>
                <c:pt idx="21">
                  <c:v>43168</c:v>
                </c:pt>
                <c:pt idx="22">
                  <c:v>43171</c:v>
                </c:pt>
                <c:pt idx="23">
                  <c:v>43172</c:v>
                </c:pt>
                <c:pt idx="24">
                  <c:v>43173</c:v>
                </c:pt>
                <c:pt idx="25">
                  <c:v>43174</c:v>
                </c:pt>
                <c:pt idx="26">
                  <c:v>43175</c:v>
                </c:pt>
                <c:pt idx="27">
                  <c:v>43178</c:v>
                </c:pt>
                <c:pt idx="28">
                  <c:v>43179</c:v>
                </c:pt>
                <c:pt idx="29">
                  <c:v>43180</c:v>
                </c:pt>
                <c:pt idx="30">
                  <c:v>43181</c:v>
                </c:pt>
                <c:pt idx="31">
                  <c:v>43182</c:v>
                </c:pt>
                <c:pt idx="32">
                  <c:v>43185</c:v>
                </c:pt>
                <c:pt idx="33">
                  <c:v>43186</c:v>
                </c:pt>
                <c:pt idx="34">
                  <c:v>43187</c:v>
                </c:pt>
                <c:pt idx="35">
                  <c:v>43188</c:v>
                </c:pt>
                <c:pt idx="36">
                  <c:v>43192</c:v>
                </c:pt>
                <c:pt idx="37">
                  <c:v>43193</c:v>
                </c:pt>
                <c:pt idx="38">
                  <c:v>43194</c:v>
                </c:pt>
                <c:pt idx="39">
                  <c:v>43195</c:v>
                </c:pt>
                <c:pt idx="40">
                  <c:v>43196</c:v>
                </c:pt>
                <c:pt idx="41">
                  <c:v>43199</c:v>
                </c:pt>
                <c:pt idx="42">
                  <c:v>43200</c:v>
                </c:pt>
                <c:pt idx="43">
                  <c:v>43201</c:v>
                </c:pt>
                <c:pt idx="44">
                  <c:v>43202</c:v>
                </c:pt>
                <c:pt idx="45">
                  <c:v>43203</c:v>
                </c:pt>
                <c:pt idx="46">
                  <c:v>43206</c:v>
                </c:pt>
                <c:pt idx="47">
                  <c:v>43207</c:v>
                </c:pt>
                <c:pt idx="48">
                  <c:v>43208</c:v>
                </c:pt>
                <c:pt idx="49">
                  <c:v>43209</c:v>
                </c:pt>
                <c:pt idx="50">
                  <c:v>43210</c:v>
                </c:pt>
                <c:pt idx="51">
                  <c:v>43213</c:v>
                </c:pt>
                <c:pt idx="52">
                  <c:v>43214</c:v>
                </c:pt>
                <c:pt idx="53">
                  <c:v>43215</c:v>
                </c:pt>
                <c:pt idx="54">
                  <c:v>43216</c:v>
                </c:pt>
                <c:pt idx="55">
                  <c:v>43217</c:v>
                </c:pt>
                <c:pt idx="56">
                  <c:v>43220</c:v>
                </c:pt>
                <c:pt idx="57">
                  <c:v>43221</c:v>
                </c:pt>
                <c:pt idx="58">
                  <c:v>43222</c:v>
                </c:pt>
                <c:pt idx="59">
                  <c:v>43223</c:v>
                </c:pt>
                <c:pt idx="60">
                  <c:v>43224</c:v>
                </c:pt>
                <c:pt idx="61">
                  <c:v>43227</c:v>
                </c:pt>
                <c:pt idx="62">
                  <c:v>43228</c:v>
                </c:pt>
                <c:pt idx="63">
                  <c:v>43229</c:v>
                </c:pt>
                <c:pt idx="64">
                  <c:v>43230</c:v>
                </c:pt>
                <c:pt idx="65">
                  <c:v>43231</c:v>
                </c:pt>
                <c:pt idx="66">
                  <c:v>43234</c:v>
                </c:pt>
                <c:pt idx="67">
                  <c:v>43235</c:v>
                </c:pt>
                <c:pt idx="68">
                  <c:v>43236</c:v>
                </c:pt>
                <c:pt idx="69">
                  <c:v>43237</c:v>
                </c:pt>
                <c:pt idx="70">
                  <c:v>43238</c:v>
                </c:pt>
                <c:pt idx="71">
                  <c:v>43241</c:v>
                </c:pt>
                <c:pt idx="72">
                  <c:v>43242</c:v>
                </c:pt>
                <c:pt idx="73">
                  <c:v>43243</c:v>
                </c:pt>
                <c:pt idx="74">
                  <c:v>43244</c:v>
                </c:pt>
                <c:pt idx="75">
                  <c:v>43245</c:v>
                </c:pt>
                <c:pt idx="76">
                  <c:v>43249</c:v>
                </c:pt>
                <c:pt idx="77">
                  <c:v>43250</c:v>
                </c:pt>
                <c:pt idx="78">
                  <c:v>43251</c:v>
                </c:pt>
                <c:pt idx="79">
                  <c:v>43252</c:v>
                </c:pt>
                <c:pt idx="80">
                  <c:v>43255</c:v>
                </c:pt>
                <c:pt idx="81">
                  <c:v>43256</c:v>
                </c:pt>
                <c:pt idx="82">
                  <c:v>43257</c:v>
                </c:pt>
                <c:pt idx="83">
                  <c:v>43258</c:v>
                </c:pt>
                <c:pt idx="84">
                  <c:v>43259</c:v>
                </c:pt>
                <c:pt idx="85">
                  <c:v>43262</c:v>
                </c:pt>
                <c:pt idx="86">
                  <c:v>43263</c:v>
                </c:pt>
                <c:pt idx="87">
                  <c:v>43264</c:v>
                </c:pt>
                <c:pt idx="88">
                  <c:v>43265</c:v>
                </c:pt>
                <c:pt idx="89">
                  <c:v>43266</c:v>
                </c:pt>
                <c:pt idx="90">
                  <c:v>43269</c:v>
                </c:pt>
                <c:pt idx="91">
                  <c:v>43270</c:v>
                </c:pt>
                <c:pt idx="92">
                  <c:v>43271</c:v>
                </c:pt>
                <c:pt idx="93">
                  <c:v>43272</c:v>
                </c:pt>
                <c:pt idx="94">
                  <c:v>43273</c:v>
                </c:pt>
                <c:pt idx="95">
                  <c:v>43276</c:v>
                </c:pt>
                <c:pt idx="96">
                  <c:v>43277</c:v>
                </c:pt>
                <c:pt idx="97">
                  <c:v>43278</c:v>
                </c:pt>
                <c:pt idx="98">
                  <c:v>43279</c:v>
                </c:pt>
                <c:pt idx="99">
                  <c:v>43280</c:v>
                </c:pt>
                <c:pt idx="100">
                  <c:v>43283</c:v>
                </c:pt>
                <c:pt idx="101">
                  <c:v>43284</c:v>
                </c:pt>
                <c:pt idx="102">
                  <c:v>43286</c:v>
                </c:pt>
                <c:pt idx="103">
                  <c:v>43287</c:v>
                </c:pt>
                <c:pt idx="104">
                  <c:v>43290</c:v>
                </c:pt>
                <c:pt idx="105">
                  <c:v>43291</c:v>
                </c:pt>
                <c:pt idx="106">
                  <c:v>43292</c:v>
                </c:pt>
                <c:pt idx="107">
                  <c:v>43293</c:v>
                </c:pt>
                <c:pt idx="108">
                  <c:v>43294</c:v>
                </c:pt>
                <c:pt idx="109">
                  <c:v>43297</c:v>
                </c:pt>
                <c:pt idx="110">
                  <c:v>43298</c:v>
                </c:pt>
                <c:pt idx="111">
                  <c:v>43299</c:v>
                </c:pt>
                <c:pt idx="112">
                  <c:v>43300</c:v>
                </c:pt>
                <c:pt idx="113">
                  <c:v>43301</c:v>
                </c:pt>
                <c:pt idx="114">
                  <c:v>43304</c:v>
                </c:pt>
                <c:pt idx="115">
                  <c:v>43305</c:v>
                </c:pt>
                <c:pt idx="116">
                  <c:v>43306</c:v>
                </c:pt>
                <c:pt idx="117">
                  <c:v>43307</c:v>
                </c:pt>
                <c:pt idx="118">
                  <c:v>43308</c:v>
                </c:pt>
                <c:pt idx="119">
                  <c:v>43311</c:v>
                </c:pt>
                <c:pt idx="120">
                  <c:v>43312</c:v>
                </c:pt>
                <c:pt idx="121">
                  <c:v>43313</c:v>
                </c:pt>
                <c:pt idx="122">
                  <c:v>43314</c:v>
                </c:pt>
                <c:pt idx="123">
                  <c:v>43315</c:v>
                </c:pt>
                <c:pt idx="124">
                  <c:v>43318</c:v>
                </c:pt>
                <c:pt idx="125">
                  <c:v>43319</c:v>
                </c:pt>
                <c:pt idx="126">
                  <c:v>43320</c:v>
                </c:pt>
                <c:pt idx="127">
                  <c:v>43321</c:v>
                </c:pt>
                <c:pt idx="128">
                  <c:v>43322</c:v>
                </c:pt>
                <c:pt idx="129">
                  <c:v>43325</c:v>
                </c:pt>
                <c:pt idx="130">
                  <c:v>43326</c:v>
                </c:pt>
                <c:pt idx="131">
                  <c:v>43327</c:v>
                </c:pt>
                <c:pt idx="132">
                  <c:v>43328</c:v>
                </c:pt>
                <c:pt idx="133">
                  <c:v>43329</c:v>
                </c:pt>
                <c:pt idx="134">
                  <c:v>43332</c:v>
                </c:pt>
                <c:pt idx="135">
                  <c:v>43333</c:v>
                </c:pt>
                <c:pt idx="136">
                  <c:v>43334</c:v>
                </c:pt>
                <c:pt idx="137">
                  <c:v>43335</c:v>
                </c:pt>
                <c:pt idx="138">
                  <c:v>43336</c:v>
                </c:pt>
                <c:pt idx="139">
                  <c:v>43339</c:v>
                </c:pt>
                <c:pt idx="140">
                  <c:v>43340</c:v>
                </c:pt>
                <c:pt idx="141">
                  <c:v>43341</c:v>
                </c:pt>
                <c:pt idx="142">
                  <c:v>43342</c:v>
                </c:pt>
                <c:pt idx="143">
                  <c:v>43343</c:v>
                </c:pt>
                <c:pt idx="144">
                  <c:v>43347</c:v>
                </c:pt>
                <c:pt idx="145">
                  <c:v>43348</c:v>
                </c:pt>
                <c:pt idx="146">
                  <c:v>43349</c:v>
                </c:pt>
                <c:pt idx="147">
                  <c:v>43350</c:v>
                </c:pt>
                <c:pt idx="148">
                  <c:v>43353</c:v>
                </c:pt>
                <c:pt idx="149">
                  <c:v>43354</c:v>
                </c:pt>
                <c:pt idx="150">
                  <c:v>43355</c:v>
                </c:pt>
                <c:pt idx="151">
                  <c:v>43356</c:v>
                </c:pt>
                <c:pt idx="152">
                  <c:v>43357</c:v>
                </c:pt>
                <c:pt idx="153">
                  <c:v>43360</c:v>
                </c:pt>
                <c:pt idx="154">
                  <c:v>43361</c:v>
                </c:pt>
                <c:pt idx="155">
                  <c:v>43362</c:v>
                </c:pt>
                <c:pt idx="156">
                  <c:v>43363</c:v>
                </c:pt>
                <c:pt idx="157">
                  <c:v>43364</c:v>
                </c:pt>
                <c:pt idx="158">
                  <c:v>43367</c:v>
                </c:pt>
                <c:pt idx="159">
                  <c:v>43368</c:v>
                </c:pt>
                <c:pt idx="160">
                  <c:v>43369</c:v>
                </c:pt>
                <c:pt idx="161">
                  <c:v>43370</c:v>
                </c:pt>
                <c:pt idx="162">
                  <c:v>43371</c:v>
                </c:pt>
                <c:pt idx="163">
                  <c:v>43374</c:v>
                </c:pt>
                <c:pt idx="164">
                  <c:v>43375</c:v>
                </c:pt>
                <c:pt idx="165">
                  <c:v>43376</c:v>
                </c:pt>
                <c:pt idx="166">
                  <c:v>43377</c:v>
                </c:pt>
                <c:pt idx="167">
                  <c:v>43378</c:v>
                </c:pt>
                <c:pt idx="168">
                  <c:v>43381</c:v>
                </c:pt>
                <c:pt idx="169">
                  <c:v>43382</c:v>
                </c:pt>
                <c:pt idx="170">
                  <c:v>43383</c:v>
                </c:pt>
                <c:pt idx="171">
                  <c:v>43384</c:v>
                </c:pt>
                <c:pt idx="172">
                  <c:v>43385</c:v>
                </c:pt>
                <c:pt idx="173">
                  <c:v>43388</c:v>
                </c:pt>
                <c:pt idx="174">
                  <c:v>43389</c:v>
                </c:pt>
                <c:pt idx="175">
                  <c:v>43390</c:v>
                </c:pt>
                <c:pt idx="176">
                  <c:v>43391</c:v>
                </c:pt>
                <c:pt idx="177">
                  <c:v>43392</c:v>
                </c:pt>
                <c:pt idx="178">
                  <c:v>43395</c:v>
                </c:pt>
                <c:pt idx="179">
                  <c:v>43396</c:v>
                </c:pt>
                <c:pt idx="180">
                  <c:v>43397</c:v>
                </c:pt>
                <c:pt idx="181">
                  <c:v>43398</c:v>
                </c:pt>
                <c:pt idx="182">
                  <c:v>43399</c:v>
                </c:pt>
                <c:pt idx="183">
                  <c:v>43402</c:v>
                </c:pt>
                <c:pt idx="184">
                  <c:v>43403</c:v>
                </c:pt>
                <c:pt idx="185">
                  <c:v>43404</c:v>
                </c:pt>
                <c:pt idx="186">
                  <c:v>43405</c:v>
                </c:pt>
                <c:pt idx="187">
                  <c:v>43406</c:v>
                </c:pt>
                <c:pt idx="188">
                  <c:v>43409</c:v>
                </c:pt>
                <c:pt idx="189">
                  <c:v>43410</c:v>
                </c:pt>
                <c:pt idx="190">
                  <c:v>43411</c:v>
                </c:pt>
                <c:pt idx="191">
                  <c:v>43412</c:v>
                </c:pt>
                <c:pt idx="192">
                  <c:v>43413</c:v>
                </c:pt>
                <c:pt idx="193">
                  <c:v>43416</c:v>
                </c:pt>
                <c:pt idx="194">
                  <c:v>43417</c:v>
                </c:pt>
                <c:pt idx="195">
                  <c:v>43418</c:v>
                </c:pt>
                <c:pt idx="196">
                  <c:v>43419</c:v>
                </c:pt>
                <c:pt idx="197">
                  <c:v>43420</c:v>
                </c:pt>
                <c:pt idx="198">
                  <c:v>43423</c:v>
                </c:pt>
                <c:pt idx="199">
                  <c:v>43424</c:v>
                </c:pt>
                <c:pt idx="200">
                  <c:v>43425</c:v>
                </c:pt>
                <c:pt idx="201">
                  <c:v>43427</c:v>
                </c:pt>
                <c:pt idx="202">
                  <c:v>43430</c:v>
                </c:pt>
                <c:pt idx="203">
                  <c:v>43431</c:v>
                </c:pt>
                <c:pt idx="204">
                  <c:v>43432</c:v>
                </c:pt>
                <c:pt idx="205">
                  <c:v>43433</c:v>
                </c:pt>
                <c:pt idx="206">
                  <c:v>43434</c:v>
                </c:pt>
                <c:pt idx="207">
                  <c:v>43437</c:v>
                </c:pt>
                <c:pt idx="208">
                  <c:v>43438</c:v>
                </c:pt>
                <c:pt idx="209">
                  <c:v>43440</c:v>
                </c:pt>
                <c:pt idx="210">
                  <c:v>43441</c:v>
                </c:pt>
                <c:pt idx="211">
                  <c:v>43444</c:v>
                </c:pt>
                <c:pt idx="212">
                  <c:v>43445</c:v>
                </c:pt>
                <c:pt idx="213">
                  <c:v>43446</c:v>
                </c:pt>
                <c:pt idx="214">
                  <c:v>43447</c:v>
                </c:pt>
                <c:pt idx="215">
                  <c:v>43448</c:v>
                </c:pt>
                <c:pt idx="216">
                  <c:v>43451</c:v>
                </c:pt>
                <c:pt idx="217">
                  <c:v>43452</c:v>
                </c:pt>
                <c:pt idx="218">
                  <c:v>43453</c:v>
                </c:pt>
                <c:pt idx="219">
                  <c:v>43454</c:v>
                </c:pt>
                <c:pt idx="220">
                  <c:v>43455</c:v>
                </c:pt>
                <c:pt idx="221">
                  <c:v>43458</c:v>
                </c:pt>
                <c:pt idx="222">
                  <c:v>43460</c:v>
                </c:pt>
                <c:pt idx="223">
                  <c:v>43461</c:v>
                </c:pt>
                <c:pt idx="224">
                  <c:v>43462</c:v>
                </c:pt>
                <c:pt idx="225">
                  <c:v>43465</c:v>
                </c:pt>
                <c:pt idx="226">
                  <c:v>43467</c:v>
                </c:pt>
                <c:pt idx="227">
                  <c:v>43468</c:v>
                </c:pt>
                <c:pt idx="228">
                  <c:v>43469</c:v>
                </c:pt>
                <c:pt idx="229">
                  <c:v>43472</c:v>
                </c:pt>
                <c:pt idx="230">
                  <c:v>43473</c:v>
                </c:pt>
                <c:pt idx="231">
                  <c:v>43474</c:v>
                </c:pt>
                <c:pt idx="232">
                  <c:v>43475</c:v>
                </c:pt>
                <c:pt idx="233">
                  <c:v>43476</c:v>
                </c:pt>
                <c:pt idx="234">
                  <c:v>43479</c:v>
                </c:pt>
                <c:pt idx="235">
                  <c:v>43480</c:v>
                </c:pt>
                <c:pt idx="236">
                  <c:v>43481</c:v>
                </c:pt>
                <c:pt idx="237">
                  <c:v>43482</c:v>
                </c:pt>
                <c:pt idx="238">
                  <c:v>43483</c:v>
                </c:pt>
                <c:pt idx="239">
                  <c:v>43487</c:v>
                </c:pt>
                <c:pt idx="240">
                  <c:v>43488</c:v>
                </c:pt>
                <c:pt idx="241">
                  <c:v>43489</c:v>
                </c:pt>
                <c:pt idx="242">
                  <c:v>43490</c:v>
                </c:pt>
                <c:pt idx="243">
                  <c:v>43493</c:v>
                </c:pt>
                <c:pt idx="244">
                  <c:v>43494</c:v>
                </c:pt>
                <c:pt idx="245">
                  <c:v>43495</c:v>
                </c:pt>
                <c:pt idx="246">
                  <c:v>43496</c:v>
                </c:pt>
                <c:pt idx="247">
                  <c:v>43497</c:v>
                </c:pt>
                <c:pt idx="248">
                  <c:v>43500</c:v>
                </c:pt>
                <c:pt idx="249">
                  <c:v>43501</c:v>
                </c:pt>
                <c:pt idx="250">
                  <c:v>43502</c:v>
                </c:pt>
                <c:pt idx="251">
                  <c:v>43503</c:v>
                </c:pt>
                <c:pt idx="252">
                  <c:v>43504</c:v>
                </c:pt>
                <c:pt idx="253">
                  <c:v>43507</c:v>
                </c:pt>
                <c:pt idx="254">
                  <c:v>43508</c:v>
                </c:pt>
                <c:pt idx="255">
                  <c:v>43509</c:v>
                </c:pt>
                <c:pt idx="256">
                  <c:v>43510</c:v>
                </c:pt>
                <c:pt idx="257">
                  <c:v>43511</c:v>
                </c:pt>
                <c:pt idx="258">
                  <c:v>43515</c:v>
                </c:pt>
                <c:pt idx="259">
                  <c:v>43516</c:v>
                </c:pt>
                <c:pt idx="260">
                  <c:v>43517</c:v>
                </c:pt>
                <c:pt idx="261">
                  <c:v>43518</c:v>
                </c:pt>
                <c:pt idx="262">
                  <c:v>43521</c:v>
                </c:pt>
                <c:pt idx="263">
                  <c:v>43522</c:v>
                </c:pt>
                <c:pt idx="264">
                  <c:v>43523</c:v>
                </c:pt>
                <c:pt idx="265">
                  <c:v>43524</c:v>
                </c:pt>
                <c:pt idx="266">
                  <c:v>43525</c:v>
                </c:pt>
                <c:pt idx="267">
                  <c:v>43528</c:v>
                </c:pt>
                <c:pt idx="268">
                  <c:v>43529</c:v>
                </c:pt>
                <c:pt idx="269">
                  <c:v>43530</c:v>
                </c:pt>
                <c:pt idx="270">
                  <c:v>43531</c:v>
                </c:pt>
                <c:pt idx="271">
                  <c:v>43532</c:v>
                </c:pt>
                <c:pt idx="272">
                  <c:v>43535</c:v>
                </c:pt>
                <c:pt idx="273">
                  <c:v>43536</c:v>
                </c:pt>
                <c:pt idx="274">
                  <c:v>43537</c:v>
                </c:pt>
                <c:pt idx="275">
                  <c:v>43538</c:v>
                </c:pt>
                <c:pt idx="276">
                  <c:v>43539</c:v>
                </c:pt>
                <c:pt idx="277">
                  <c:v>43542</c:v>
                </c:pt>
                <c:pt idx="278">
                  <c:v>43543</c:v>
                </c:pt>
                <c:pt idx="279">
                  <c:v>43544</c:v>
                </c:pt>
                <c:pt idx="280">
                  <c:v>43545</c:v>
                </c:pt>
                <c:pt idx="281">
                  <c:v>43546</c:v>
                </c:pt>
                <c:pt idx="282">
                  <c:v>43549</c:v>
                </c:pt>
                <c:pt idx="283">
                  <c:v>43550</c:v>
                </c:pt>
                <c:pt idx="284">
                  <c:v>43551</c:v>
                </c:pt>
                <c:pt idx="285">
                  <c:v>43552</c:v>
                </c:pt>
                <c:pt idx="286">
                  <c:v>43553</c:v>
                </c:pt>
                <c:pt idx="287">
                  <c:v>43556</c:v>
                </c:pt>
                <c:pt idx="288">
                  <c:v>43557</c:v>
                </c:pt>
                <c:pt idx="289">
                  <c:v>43558</c:v>
                </c:pt>
                <c:pt idx="290">
                  <c:v>43559</c:v>
                </c:pt>
                <c:pt idx="291">
                  <c:v>43560</c:v>
                </c:pt>
                <c:pt idx="292">
                  <c:v>43563</c:v>
                </c:pt>
                <c:pt idx="293">
                  <c:v>43564</c:v>
                </c:pt>
                <c:pt idx="294">
                  <c:v>43565</c:v>
                </c:pt>
                <c:pt idx="295">
                  <c:v>43566</c:v>
                </c:pt>
                <c:pt idx="296">
                  <c:v>43567</c:v>
                </c:pt>
                <c:pt idx="297">
                  <c:v>43570</c:v>
                </c:pt>
                <c:pt idx="298">
                  <c:v>43571</c:v>
                </c:pt>
                <c:pt idx="299">
                  <c:v>43572</c:v>
                </c:pt>
                <c:pt idx="300">
                  <c:v>43573</c:v>
                </c:pt>
                <c:pt idx="301">
                  <c:v>43577</c:v>
                </c:pt>
                <c:pt idx="302">
                  <c:v>43578</c:v>
                </c:pt>
                <c:pt idx="303">
                  <c:v>43579</c:v>
                </c:pt>
                <c:pt idx="304">
                  <c:v>43580</c:v>
                </c:pt>
                <c:pt idx="305">
                  <c:v>43581</c:v>
                </c:pt>
                <c:pt idx="306">
                  <c:v>43584</c:v>
                </c:pt>
                <c:pt idx="307">
                  <c:v>43585</c:v>
                </c:pt>
                <c:pt idx="308">
                  <c:v>43586</c:v>
                </c:pt>
                <c:pt idx="309">
                  <c:v>43587</c:v>
                </c:pt>
                <c:pt idx="310">
                  <c:v>43588</c:v>
                </c:pt>
                <c:pt idx="311">
                  <c:v>43591</c:v>
                </c:pt>
                <c:pt idx="312">
                  <c:v>43592</c:v>
                </c:pt>
                <c:pt idx="313">
                  <c:v>43593</c:v>
                </c:pt>
                <c:pt idx="314">
                  <c:v>43594</c:v>
                </c:pt>
                <c:pt idx="315">
                  <c:v>43595</c:v>
                </c:pt>
                <c:pt idx="316">
                  <c:v>43598</c:v>
                </c:pt>
                <c:pt idx="317">
                  <c:v>43599</c:v>
                </c:pt>
                <c:pt idx="318">
                  <c:v>43600</c:v>
                </c:pt>
                <c:pt idx="319">
                  <c:v>43601</c:v>
                </c:pt>
                <c:pt idx="320">
                  <c:v>43602</c:v>
                </c:pt>
                <c:pt idx="321">
                  <c:v>43605</c:v>
                </c:pt>
                <c:pt idx="322">
                  <c:v>43606</c:v>
                </c:pt>
                <c:pt idx="323">
                  <c:v>43607</c:v>
                </c:pt>
                <c:pt idx="324">
                  <c:v>43608</c:v>
                </c:pt>
                <c:pt idx="325">
                  <c:v>43609</c:v>
                </c:pt>
                <c:pt idx="326">
                  <c:v>43613</c:v>
                </c:pt>
                <c:pt idx="327">
                  <c:v>43614</c:v>
                </c:pt>
                <c:pt idx="328">
                  <c:v>43615</c:v>
                </c:pt>
                <c:pt idx="329">
                  <c:v>43616</c:v>
                </c:pt>
                <c:pt idx="330">
                  <c:v>43619</c:v>
                </c:pt>
                <c:pt idx="331">
                  <c:v>43620</c:v>
                </c:pt>
                <c:pt idx="332">
                  <c:v>43621</c:v>
                </c:pt>
                <c:pt idx="333">
                  <c:v>43622</c:v>
                </c:pt>
                <c:pt idx="334">
                  <c:v>43623</c:v>
                </c:pt>
                <c:pt idx="335">
                  <c:v>43626</c:v>
                </c:pt>
                <c:pt idx="336">
                  <c:v>43627</c:v>
                </c:pt>
                <c:pt idx="337">
                  <c:v>43628</c:v>
                </c:pt>
                <c:pt idx="338">
                  <c:v>43629</c:v>
                </c:pt>
                <c:pt idx="339">
                  <c:v>43630</c:v>
                </c:pt>
                <c:pt idx="340">
                  <c:v>43633</c:v>
                </c:pt>
                <c:pt idx="341">
                  <c:v>43634</c:v>
                </c:pt>
                <c:pt idx="342">
                  <c:v>43635</c:v>
                </c:pt>
                <c:pt idx="343">
                  <c:v>43636</c:v>
                </c:pt>
                <c:pt idx="344">
                  <c:v>43637</c:v>
                </c:pt>
                <c:pt idx="345">
                  <c:v>43640</c:v>
                </c:pt>
                <c:pt idx="346">
                  <c:v>43641</c:v>
                </c:pt>
                <c:pt idx="347">
                  <c:v>43642</c:v>
                </c:pt>
                <c:pt idx="348">
                  <c:v>43643</c:v>
                </c:pt>
                <c:pt idx="349">
                  <c:v>43644</c:v>
                </c:pt>
                <c:pt idx="350">
                  <c:v>43647</c:v>
                </c:pt>
                <c:pt idx="351">
                  <c:v>43648</c:v>
                </c:pt>
                <c:pt idx="352">
                  <c:v>43649</c:v>
                </c:pt>
                <c:pt idx="353">
                  <c:v>43651</c:v>
                </c:pt>
                <c:pt idx="354">
                  <c:v>43654</c:v>
                </c:pt>
                <c:pt idx="355">
                  <c:v>43655</c:v>
                </c:pt>
                <c:pt idx="356">
                  <c:v>43656</c:v>
                </c:pt>
                <c:pt idx="357">
                  <c:v>43657</c:v>
                </c:pt>
                <c:pt idx="358">
                  <c:v>43658</c:v>
                </c:pt>
                <c:pt idx="359">
                  <c:v>43661</c:v>
                </c:pt>
                <c:pt idx="360">
                  <c:v>43662</c:v>
                </c:pt>
                <c:pt idx="361">
                  <c:v>43663</c:v>
                </c:pt>
                <c:pt idx="362">
                  <c:v>43664</c:v>
                </c:pt>
                <c:pt idx="363">
                  <c:v>43665</c:v>
                </c:pt>
                <c:pt idx="364">
                  <c:v>43668</c:v>
                </c:pt>
                <c:pt idx="365">
                  <c:v>43669</c:v>
                </c:pt>
                <c:pt idx="366">
                  <c:v>43670</c:v>
                </c:pt>
                <c:pt idx="367">
                  <c:v>43671</c:v>
                </c:pt>
                <c:pt idx="368">
                  <c:v>43672</c:v>
                </c:pt>
                <c:pt idx="369">
                  <c:v>43675</c:v>
                </c:pt>
                <c:pt idx="370">
                  <c:v>43676</c:v>
                </c:pt>
                <c:pt idx="371">
                  <c:v>43677</c:v>
                </c:pt>
                <c:pt idx="372">
                  <c:v>43678</c:v>
                </c:pt>
                <c:pt idx="373">
                  <c:v>43679</c:v>
                </c:pt>
                <c:pt idx="374">
                  <c:v>43682</c:v>
                </c:pt>
                <c:pt idx="375">
                  <c:v>43683</c:v>
                </c:pt>
                <c:pt idx="376">
                  <c:v>43684</c:v>
                </c:pt>
                <c:pt idx="377">
                  <c:v>43685</c:v>
                </c:pt>
                <c:pt idx="378">
                  <c:v>43686</c:v>
                </c:pt>
                <c:pt idx="379">
                  <c:v>43689</c:v>
                </c:pt>
                <c:pt idx="380">
                  <c:v>43690</c:v>
                </c:pt>
                <c:pt idx="381">
                  <c:v>43691</c:v>
                </c:pt>
                <c:pt idx="382">
                  <c:v>43692</c:v>
                </c:pt>
                <c:pt idx="383">
                  <c:v>43693</c:v>
                </c:pt>
                <c:pt idx="384">
                  <c:v>43696</c:v>
                </c:pt>
                <c:pt idx="385">
                  <c:v>43697</c:v>
                </c:pt>
                <c:pt idx="386">
                  <c:v>43698</c:v>
                </c:pt>
                <c:pt idx="387">
                  <c:v>43699</c:v>
                </c:pt>
                <c:pt idx="388">
                  <c:v>43700</c:v>
                </c:pt>
                <c:pt idx="389">
                  <c:v>43703</c:v>
                </c:pt>
                <c:pt idx="390">
                  <c:v>43704</c:v>
                </c:pt>
                <c:pt idx="391">
                  <c:v>43705</c:v>
                </c:pt>
                <c:pt idx="392">
                  <c:v>43706</c:v>
                </c:pt>
                <c:pt idx="393">
                  <c:v>43707</c:v>
                </c:pt>
                <c:pt idx="394">
                  <c:v>43711</c:v>
                </c:pt>
                <c:pt idx="395">
                  <c:v>43712</c:v>
                </c:pt>
                <c:pt idx="396">
                  <c:v>43713</c:v>
                </c:pt>
                <c:pt idx="397">
                  <c:v>43714</c:v>
                </c:pt>
                <c:pt idx="398">
                  <c:v>43717</c:v>
                </c:pt>
                <c:pt idx="399">
                  <c:v>43718</c:v>
                </c:pt>
                <c:pt idx="400">
                  <c:v>43719</c:v>
                </c:pt>
                <c:pt idx="401">
                  <c:v>43720</c:v>
                </c:pt>
                <c:pt idx="402">
                  <c:v>43721</c:v>
                </c:pt>
                <c:pt idx="403">
                  <c:v>43724</c:v>
                </c:pt>
                <c:pt idx="404">
                  <c:v>43725</c:v>
                </c:pt>
                <c:pt idx="405">
                  <c:v>43726</c:v>
                </c:pt>
                <c:pt idx="406">
                  <c:v>43727</c:v>
                </c:pt>
                <c:pt idx="407">
                  <c:v>43728</c:v>
                </c:pt>
                <c:pt idx="408">
                  <c:v>43731</c:v>
                </c:pt>
                <c:pt idx="409">
                  <c:v>43732</c:v>
                </c:pt>
                <c:pt idx="410">
                  <c:v>43733</c:v>
                </c:pt>
                <c:pt idx="411">
                  <c:v>43734</c:v>
                </c:pt>
                <c:pt idx="412">
                  <c:v>43735</c:v>
                </c:pt>
                <c:pt idx="413">
                  <c:v>43738</c:v>
                </c:pt>
                <c:pt idx="414">
                  <c:v>43739</c:v>
                </c:pt>
                <c:pt idx="415">
                  <c:v>43740</c:v>
                </c:pt>
                <c:pt idx="416">
                  <c:v>43741</c:v>
                </c:pt>
                <c:pt idx="417">
                  <c:v>43742</c:v>
                </c:pt>
                <c:pt idx="418">
                  <c:v>43745</c:v>
                </c:pt>
                <c:pt idx="419">
                  <c:v>43746</c:v>
                </c:pt>
                <c:pt idx="420">
                  <c:v>43747</c:v>
                </c:pt>
                <c:pt idx="421">
                  <c:v>43748</c:v>
                </c:pt>
                <c:pt idx="422">
                  <c:v>43749</c:v>
                </c:pt>
                <c:pt idx="423">
                  <c:v>43752</c:v>
                </c:pt>
                <c:pt idx="424">
                  <c:v>43753</c:v>
                </c:pt>
                <c:pt idx="425">
                  <c:v>43754</c:v>
                </c:pt>
                <c:pt idx="426">
                  <c:v>43755</c:v>
                </c:pt>
                <c:pt idx="427">
                  <c:v>43756</c:v>
                </c:pt>
                <c:pt idx="428">
                  <c:v>43759</c:v>
                </c:pt>
                <c:pt idx="429">
                  <c:v>43760</c:v>
                </c:pt>
                <c:pt idx="430">
                  <c:v>43761</c:v>
                </c:pt>
                <c:pt idx="431">
                  <c:v>43762</c:v>
                </c:pt>
                <c:pt idx="432">
                  <c:v>43763</c:v>
                </c:pt>
                <c:pt idx="433">
                  <c:v>43766</c:v>
                </c:pt>
                <c:pt idx="434">
                  <c:v>43767</c:v>
                </c:pt>
                <c:pt idx="435">
                  <c:v>43768</c:v>
                </c:pt>
                <c:pt idx="436">
                  <c:v>43769</c:v>
                </c:pt>
                <c:pt idx="437">
                  <c:v>43770</c:v>
                </c:pt>
                <c:pt idx="438">
                  <c:v>43773</c:v>
                </c:pt>
                <c:pt idx="439">
                  <c:v>43774</c:v>
                </c:pt>
                <c:pt idx="440">
                  <c:v>43775</c:v>
                </c:pt>
                <c:pt idx="441">
                  <c:v>43776</c:v>
                </c:pt>
                <c:pt idx="442">
                  <c:v>43777</c:v>
                </c:pt>
                <c:pt idx="443">
                  <c:v>43780</c:v>
                </c:pt>
                <c:pt idx="444">
                  <c:v>43781</c:v>
                </c:pt>
                <c:pt idx="445">
                  <c:v>43782</c:v>
                </c:pt>
                <c:pt idx="446">
                  <c:v>43783</c:v>
                </c:pt>
                <c:pt idx="447">
                  <c:v>43784</c:v>
                </c:pt>
                <c:pt idx="448">
                  <c:v>43787</c:v>
                </c:pt>
                <c:pt idx="449">
                  <c:v>43788</c:v>
                </c:pt>
                <c:pt idx="450">
                  <c:v>43789</c:v>
                </c:pt>
                <c:pt idx="451">
                  <c:v>43790</c:v>
                </c:pt>
                <c:pt idx="452">
                  <c:v>43791</c:v>
                </c:pt>
                <c:pt idx="453">
                  <c:v>43794</c:v>
                </c:pt>
                <c:pt idx="454">
                  <c:v>43795</c:v>
                </c:pt>
                <c:pt idx="455">
                  <c:v>43796</c:v>
                </c:pt>
                <c:pt idx="456">
                  <c:v>43798</c:v>
                </c:pt>
                <c:pt idx="457">
                  <c:v>43801</c:v>
                </c:pt>
                <c:pt idx="458">
                  <c:v>43802</c:v>
                </c:pt>
                <c:pt idx="459">
                  <c:v>43803</c:v>
                </c:pt>
                <c:pt idx="460">
                  <c:v>43804</c:v>
                </c:pt>
                <c:pt idx="461">
                  <c:v>43805</c:v>
                </c:pt>
                <c:pt idx="462">
                  <c:v>43808</c:v>
                </c:pt>
                <c:pt idx="463">
                  <c:v>43809</c:v>
                </c:pt>
                <c:pt idx="464">
                  <c:v>43810</c:v>
                </c:pt>
                <c:pt idx="465">
                  <c:v>43811</c:v>
                </c:pt>
                <c:pt idx="466">
                  <c:v>43812</c:v>
                </c:pt>
                <c:pt idx="467">
                  <c:v>43815</c:v>
                </c:pt>
                <c:pt idx="468">
                  <c:v>43816</c:v>
                </c:pt>
                <c:pt idx="469">
                  <c:v>43817</c:v>
                </c:pt>
                <c:pt idx="470">
                  <c:v>43818</c:v>
                </c:pt>
                <c:pt idx="471">
                  <c:v>43819</c:v>
                </c:pt>
                <c:pt idx="472">
                  <c:v>43822</c:v>
                </c:pt>
                <c:pt idx="473">
                  <c:v>43823</c:v>
                </c:pt>
                <c:pt idx="474">
                  <c:v>43825</c:v>
                </c:pt>
                <c:pt idx="475">
                  <c:v>43826</c:v>
                </c:pt>
                <c:pt idx="476">
                  <c:v>43829</c:v>
                </c:pt>
                <c:pt idx="477">
                  <c:v>43830</c:v>
                </c:pt>
                <c:pt idx="478">
                  <c:v>43832</c:v>
                </c:pt>
                <c:pt idx="479">
                  <c:v>43833</c:v>
                </c:pt>
                <c:pt idx="480">
                  <c:v>43836</c:v>
                </c:pt>
                <c:pt idx="481">
                  <c:v>43837</c:v>
                </c:pt>
                <c:pt idx="482">
                  <c:v>43838</c:v>
                </c:pt>
                <c:pt idx="483">
                  <c:v>43839</c:v>
                </c:pt>
                <c:pt idx="484">
                  <c:v>43840</c:v>
                </c:pt>
                <c:pt idx="485">
                  <c:v>43843</c:v>
                </c:pt>
                <c:pt idx="486">
                  <c:v>43844</c:v>
                </c:pt>
                <c:pt idx="487">
                  <c:v>43845</c:v>
                </c:pt>
                <c:pt idx="488">
                  <c:v>43846</c:v>
                </c:pt>
                <c:pt idx="489">
                  <c:v>43847</c:v>
                </c:pt>
                <c:pt idx="490">
                  <c:v>43851</c:v>
                </c:pt>
                <c:pt idx="491">
                  <c:v>43852</c:v>
                </c:pt>
                <c:pt idx="492">
                  <c:v>43853</c:v>
                </c:pt>
                <c:pt idx="493">
                  <c:v>43854</c:v>
                </c:pt>
                <c:pt idx="494">
                  <c:v>43857</c:v>
                </c:pt>
                <c:pt idx="495">
                  <c:v>43858</c:v>
                </c:pt>
                <c:pt idx="496">
                  <c:v>43859</c:v>
                </c:pt>
                <c:pt idx="497">
                  <c:v>43860</c:v>
                </c:pt>
                <c:pt idx="498">
                  <c:v>43861</c:v>
                </c:pt>
                <c:pt idx="499">
                  <c:v>43864</c:v>
                </c:pt>
                <c:pt idx="500">
                  <c:v>43864</c:v>
                </c:pt>
              </c:numCache>
            </c:numRef>
          </c:cat>
          <c:val>
            <c:numRef>
              <c:f>Data!$F$2:$F$543</c:f>
              <c:numCache>
                <c:formatCode>0.00</c:formatCode>
                <c:ptCount val="542"/>
                <c:pt idx="0">
                  <c:v>3877.6469589514063</c:v>
                </c:pt>
                <c:pt idx="1">
                  <c:v>3894.0242367007672</c:v>
                </c:pt>
                <c:pt idx="2">
                  <c:v>3773.3273557544758</c:v>
                </c:pt>
                <c:pt idx="3">
                  <c:v>3767.2162223785167</c:v>
                </c:pt>
                <c:pt idx="4">
                  <c:v>3815.7965852941174</c:v>
                </c:pt>
                <c:pt idx="5">
                  <c:v>3902.2505893861894</c:v>
                </c:pt>
                <c:pt idx="6">
                  <c:v>3978.9552030690534</c:v>
                </c:pt>
                <c:pt idx="7">
                  <c:v>3948.0346367007674</c:v>
                </c:pt>
                <c:pt idx="8">
                  <c:v>4019.4233535805624</c:v>
                </c:pt>
                <c:pt idx="9">
                  <c:v>3959.805586700767</c:v>
                </c:pt>
                <c:pt idx="10">
                  <c:v>3998.3593250639387</c:v>
                </c:pt>
                <c:pt idx="11">
                  <c:v>4027.9539141943733</c:v>
                </c:pt>
                <c:pt idx="12">
                  <c:v>3998.5498920716113</c:v>
                </c:pt>
                <c:pt idx="13">
                  <c:v>3944.3376858056263</c:v>
                </c:pt>
                <c:pt idx="14">
                  <c:v>3957.0953134910483</c:v>
                </c:pt>
                <c:pt idx="15">
                  <c:v>3969.8529411764703</c:v>
                </c:pt>
                <c:pt idx="16">
                  <c:v>3910.9270101023012</c:v>
                </c:pt>
                <c:pt idx="17">
                  <c:v>3821.7890824808183</c:v>
                </c:pt>
                <c:pt idx="18">
                  <c:v>3901.6279372122758</c:v>
                </c:pt>
                <c:pt idx="19">
                  <c:v>3861.4987112531967</c:v>
                </c:pt>
                <c:pt idx="20">
                  <c:v>3920.0152852941178</c:v>
                </c:pt>
                <c:pt idx="21">
                  <c:v>3963.7098386189259</c:v>
                </c:pt>
                <c:pt idx="22">
                  <c:v>4040.1956621483373</c:v>
                </c:pt>
                <c:pt idx="23">
                  <c:v>4041.1060382352939</c:v>
                </c:pt>
                <c:pt idx="24">
                  <c:v>4019.8222207161125</c:v>
                </c:pt>
                <c:pt idx="25">
                  <c:v>4033.3886968030688</c:v>
                </c:pt>
                <c:pt idx="26">
                  <c:v>4028.3850003836314</c:v>
                </c:pt>
                <c:pt idx="27">
                  <c:v>4029.8925531969307</c:v>
                </c:pt>
                <c:pt idx="28">
                  <c:v>4034.5178629156007</c:v>
                </c:pt>
                <c:pt idx="29">
                  <c:v>4017.2019860613814</c:v>
                </c:pt>
                <c:pt idx="30">
                  <c:v>3973.2801510230179</c:v>
                </c:pt>
                <c:pt idx="31">
                  <c:v>3875.8681666240409</c:v>
                </c:pt>
                <c:pt idx="32">
                  <c:v>3906.4922673913043</c:v>
                </c:pt>
                <c:pt idx="33">
                  <c:v>3937.4463015345268</c:v>
                </c:pt>
                <c:pt idx="34">
                  <c:v>3839.1981198209719</c:v>
                </c:pt>
                <c:pt idx="35">
                  <c:v>3848.2584218670077</c:v>
                </c:pt>
                <c:pt idx="36">
                  <c:v>3859.3477760869564</c:v>
                </c:pt>
                <c:pt idx="37">
                  <c:v>3774.7684722506392</c:v>
                </c:pt>
                <c:pt idx="38">
                  <c:v>3816.4884210997438</c:v>
                </c:pt>
                <c:pt idx="39">
                  <c:v>3865.6752017902809</c:v>
                </c:pt>
                <c:pt idx="40">
                  <c:v>3929.5064237851661</c:v>
                </c:pt>
                <c:pt idx="41">
                  <c:v>3951.113930690537</c:v>
                </c:pt>
                <c:pt idx="42">
                  <c:v>3942.6188359335038</c:v>
                </c:pt>
                <c:pt idx="43">
                  <c:v>3939.6906469309461</c:v>
                </c:pt>
                <c:pt idx="44">
                  <c:v>3876.673893094629</c:v>
                </c:pt>
                <c:pt idx="45">
                  <c:v>3844.3414322250637</c:v>
                </c:pt>
                <c:pt idx="46">
                  <c:v>3872.6662404092071</c:v>
                </c:pt>
                <c:pt idx="47">
                  <c:v>3926.9104159846543</c:v>
                </c:pt>
                <c:pt idx="48">
                  <c:v>3889.8120304347822</c:v>
                </c:pt>
                <c:pt idx="49">
                  <c:v>3868.8491548593347</c:v>
                </c:pt>
                <c:pt idx="50">
                  <c:v>3917.6777792838875</c:v>
                </c:pt>
                <c:pt idx="51">
                  <c:v>3878.280101150895</c:v>
                </c:pt>
                <c:pt idx="52">
                  <c:v>3858.2576976342712</c:v>
                </c:pt>
                <c:pt idx="53">
                  <c:v>3838.2352941176468</c:v>
                </c:pt>
                <c:pt idx="54">
                  <c:v>3837.2991928388747</c:v>
                </c:pt>
                <c:pt idx="55">
                  <c:v>3872.2084299232738</c:v>
                </c:pt>
                <c:pt idx="56">
                  <c:v>3939.6993886189252</c:v>
                </c:pt>
                <c:pt idx="57">
                  <c:v>3934.2922044757033</c:v>
                </c:pt>
                <c:pt idx="58">
                  <c:v>3928.885020332481</c:v>
                </c:pt>
                <c:pt idx="59">
                  <c:v>3876.3899157289002</c:v>
                </c:pt>
                <c:pt idx="60">
                  <c:v>3826.9181585677748</c:v>
                </c:pt>
                <c:pt idx="61">
                  <c:v>3835.5830902813295</c:v>
                </c:pt>
                <c:pt idx="62">
                  <c:v>3887.8274356777492</c:v>
                </c:pt>
                <c:pt idx="63">
                  <c:v>3904.8773177749358</c:v>
                </c:pt>
                <c:pt idx="64">
                  <c:v>3939.7980438618924</c:v>
                </c:pt>
                <c:pt idx="65">
                  <c:v>3979.8031390025576</c:v>
                </c:pt>
                <c:pt idx="66">
                  <c:v>4033.3861992327361</c:v>
                </c:pt>
                <c:pt idx="67">
                  <c:v>3983.6354599744245</c:v>
                </c:pt>
                <c:pt idx="68">
                  <c:v>3978.2863451406647</c:v>
                </c:pt>
                <c:pt idx="69">
                  <c:v>3956.7967251918158</c:v>
                </c:pt>
                <c:pt idx="70">
                  <c:v>3970.3209918158568</c:v>
                </c:pt>
                <c:pt idx="71">
                  <c:v>3994.1623540920714</c:v>
                </c:pt>
                <c:pt idx="72">
                  <c:v>3921.4374200767261</c:v>
                </c:pt>
                <c:pt idx="73">
                  <c:v>3933.5562859335041</c:v>
                </c:pt>
                <c:pt idx="74">
                  <c:v>3911.5139466751916</c:v>
                </c:pt>
                <c:pt idx="75">
                  <c:v>3937.6291260869561</c:v>
                </c:pt>
                <c:pt idx="76">
                  <c:v>3898.2838974424549</c:v>
                </c:pt>
                <c:pt idx="77">
                  <c:v>3843.5791640664961</c:v>
                </c:pt>
                <c:pt idx="78">
                  <c:v>3896.235364066496</c:v>
                </c:pt>
                <c:pt idx="79">
                  <c:v>3899.3491248081841</c:v>
                </c:pt>
                <c:pt idx="80">
                  <c:v>3963.9361213554985</c:v>
                </c:pt>
                <c:pt idx="81">
                  <c:v>3976.1444014066492</c:v>
                </c:pt>
                <c:pt idx="82">
                  <c:v>3997.3273157289004</c:v>
                </c:pt>
                <c:pt idx="83">
                  <c:v>4029.7481916879797</c:v>
                </c:pt>
                <c:pt idx="84">
                  <c:v>3958.8505035805624</c:v>
                </c:pt>
                <c:pt idx="85">
                  <c:v>3972.3400535805622</c:v>
                </c:pt>
                <c:pt idx="86">
                  <c:v>3977.3734714833759</c:v>
                </c:pt>
                <c:pt idx="87">
                  <c:v>3929.0473645780048</c:v>
                </c:pt>
                <c:pt idx="88">
                  <c:v>3892.6048493606136</c:v>
                </c:pt>
                <c:pt idx="89">
                  <c:v>3875.8938918158569</c:v>
                </c:pt>
                <c:pt idx="90">
                  <c:v>3768.3056765984652</c:v>
                </c:pt>
                <c:pt idx="91">
                  <c:v>3797.4641843989771</c:v>
                </c:pt>
                <c:pt idx="92">
                  <c:v>3746.2980538363172</c:v>
                </c:pt>
                <c:pt idx="93">
                  <c:v>3751.7518182864446</c:v>
                </c:pt>
                <c:pt idx="94">
                  <c:v>3703.5026374680306</c:v>
                </c:pt>
                <c:pt idx="95">
                  <c:v>3693.2737072890022</c:v>
                </c:pt>
                <c:pt idx="96">
                  <c:v>3626.1201746803067</c:v>
                </c:pt>
                <c:pt idx="97">
                  <c:v>3644.1586078005116</c:v>
                </c:pt>
                <c:pt idx="98">
                  <c:v>3702.6994085677748</c:v>
                </c:pt>
                <c:pt idx="99">
                  <c:v>3650.328684526854</c:v>
                </c:pt>
                <c:pt idx="100">
                  <c:v>3611.4667419437342</c:v>
                </c:pt>
                <c:pt idx="101">
                  <c:v>3603.847806138107</c:v>
                </c:pt>
                <c:pt idx="102">
                  <c:v>3620.9231638107412</c:v>
                </c:pt>
                <c:pt idx="103">
                  <c:v>3668.6061381074169</c:v>
                </c:pt>
                <c:pt idx="104">
                  <c:v>3667.8069053708437</c:v>
                </c:pt>
                <c:pt idx="105">
                  <c:v>3620.4206461636827</c:v>
                </c:pt>
                <c:pt idx="106">
                  <c:v>3642.0498820971866</c:v>
                </c:pt>
                <c:pt idx="107">
                  <c:v>3647.7544057544756</c:v>
                </c:pt>
                <c:pt idx="108">
                  <c:v>3649.5729099744244</c:v>
                </c:pt>
                <c:pt idx="109">
                  <c:v>3603.795356521739</c:v>
                </c:pt>
                <c:pt idx="110">
                  <c:v>3595.5779951406648</c:v>
                </c:pt>
                <c:pt idx="111">
                  <c:v>3581.9513267263424</c:v>
                </c:pt>
                <c:pt idx="112">
                  <c:v>3609.2686021739128</c:v>
                </c:pt>
                <c:pt idx="113">
                  <c:v>3613.3144681585677</c:v>
                </c:pt>
                <c:pt idx="114">
                  <c:v>3665.2903213554987</c:v>
                </c:pt>
                <c:pt idx="115">
                  <c:v>3698.3248581841431</c:v>
                </c:pt>
                <c:pt idx="116">
                  <c:v>3680.4527653452683</c:v>
                </c:pt>
                <c:pt idx="117">
                  <c:v>3683.4116748081842</c:v>
                </c:pt>
                <c:pt idx="118">
                  <c:v>3674.3134090792837</c:v>
                </c:pt>
                <c:pt idx="119">
                  <c:v>3655.1163383631711</c:v>
                </c:pt>
                <c:pt idx="120">
                  <c:v>3624.1355797953966</c:v>
                </c:pt>
                <c:pt idx="121">
                  <c:v>3544.061451023018</c:v>
                </c:pt>
                <c:pt idx="122">
                  <c:v>3539.1713955242967</c:v>
                </c:pt>
                <c:pt idx="123">
                  <c:v>3557.4885609974426</c:v>
                </c:pt>
                <c:pt idx="124">
                  <c:v>3612.3888566496162</c:v>
                </c:pt>
                <c:pt idx="125">
                  <c:v>3626.4885709718669</c:v>
                </c:pt>
                <c:pt idx="126">
                  <c:v>3658.2226062659847</c:v>
                </c:pt>
                <c:pt idx="127">
                  <c:v>3627.4449029411762</c:v>
                </c:pt>
                <c:pt idx="128">
                  <c:v>3572.4514466751916</c:v>
                </c:pt>
                <c:pt idx="129">
                  <c:v>3548.9679907928389</c:v>
                </c:pt>
                <c:pt idx="130">
                  <c:v>3494.065197442455</c:v>
                </c:pt>
                <c:pt idx="131">
                  <c:v>3465.4808883631713</c:v>
                </c:pt>
                <c:pt idx="132">
                  <c:v>3479.9757232736574</c:v>
                </c:pt>
                <c:pt idx="133">
                  <c:v>3529.1585078005114</c:v>
                </c:pt>
                <c:pt idx="134">
                  <c:v>3548.9500080562657</c:v>
                </c:pt>
                <c:pt idx="135">
                  <c:v>3571.3018002557542</c:v>
                </c:pt>
                <c:pt idx="136">
                  <c:v>3553.7673833759591</c:v>
                </c:pt>
                <c:pt idx="137">
                  <c:v>3538.6021919437339</c:v>
                </c:pt>
                <c:pt idx="138">
                  <c:v>3615.2518581841432</c:v>
                </c:pt>
                <c:pt idx="139">
                  <c:v>3625.5267443734015</c:v>
                </c:pt>
                <c:pt idx="140">
                  <c:v>3633.8157868286444</c:v>
                </c:pt>
                <c:pt idx="141">
                  <c:v>3601.5410205882354</c:v>
                </c:pt>
                <c:pt idx="142">
                  <c:v>3566.3108415601023</c:v>
                </c:pt>
                <c:pt idx="143">
                  <c:v>3543.8029492327364</c:v>
                </c:pt>
                <c:pt idx="144">
                  <c:v>3577.1534327365725</c:v>
                </c:pt>
                <c:pt idx="145">
                  <c:v>3483.8682364450128</c:v>
                </c:pt>
                <c:pt idx="146">
                  <c:v>3449.4655131713553</c:v>
                </c:pt>
                <c:pt idx="147">
                  <c:v>3449.2929287723782</c:v>
                </c:pt>
                <c:pt idx="148">
                  <c:v>3403.2506294117647</c:v>
                </c:pt>
                <c:pt idx="149">
                  <c:v>3378.8428108695653</c:v>
                </c:pt>
                <c:pt idx="150">
                  <c:v>3368.9308264705883</c:v>
                </c:pt>
                <c:pt idx="151">
                  <c:v>3454.5383930946291</c:v>
                </c:pt>
                <c:pt idx="152">
                  <c:v>3489.3107616368288</c:v>
                </c:pt>
                <c:pt idx="153">
                  <c:v>3444.0984154731459</c:v>
                </c:pt>
                <c:pt idx="154">
                  <c:v>3463.5115289002561</c:v>
                </c:pt>
                <c:pt idx="155">
                  <c:v>3504.7786625319691</c:v>
                </c:pt>
                <c:pt idx="156">
                  <c:v>3513.7685322250641</c:v>
                </c:pt>
                <c:pt idx="157">
                  <c:v>3574.6266084398976</c:v>
                </c:pt>
                <c:pt idx="158">
                  <c:v>3516.5461157289001</c:v>
                </c:pt>
                <c:pt idx="159">
                  <c:v>3557.1443914322249</c:v>
                </c:pt>
                <c:pt idx="160">
                  <c:v>3544.2033148337596</c:v>
                </c:pt>
                <c:pt idx="161">
                  <c:v>3553.5191216112535</c:v>
                </c:pt>
                <c:pt idx="162">
                  <c:v>3468.8466571611252</c:v>
                </c:pt>
                <c:pt idx="163">
                  <c:v>3464.3554687979536</c:v>
                </c:pt>
                <c:pt idx="164">
                  <c:v>3404.5868466751917</c:v>
                </c:pt>
                <c:pt idx="165">
                  <c:v>3398.0268942455241</c:v>
                </c:pt>
                <c:pt idx="166">
                  <c:v>3350.7123162404091</c:v>
                </c:pt>
                <c:pt idx="167">
                  <c:v>3346.9194572890028</c:v>
                </c:pt>
                <c:pt idx="168">
                  <c:v>3349.4974824808182</c:v>
                </c:pt>
                <c:pt idx="169">
                  <c:v>3230.9934962915599</c:v>
                </c:pt>
                <c:pt idx="170">
                  <c:v>3299.4233035805628</c:v>
                </c:pt>
                <c:pt idx="171">
                  <c:v>3253.84405971867</c:v>
                </c:pt>
                <c:pt idx="172">
                  <c:v>3256.0434483375957</c:v>
                </c:pt>
                <c:pt idx="173">
                  <c:v>3255.0576446291561</c:v>
                </c:pt>
                <c:pt idx="174">
                  <c:v>3268.7212776214833</c:v>
                </c:pt>
                <c:pt idx="175">
                  <c:v>3344.3926331202042</c:v>
                </c:pt>
                <c:pt idx="176">
                  <c:v>3241.2469029411764</c:v>
                </c:pt>
                <c:pt idx="177">
                  <c:v>3228.8720328644499</c:v>
                </c:pt>
                <c:pt idx="178">
                  <c:v>3196.222626342711</c:v>
                </c:pt>
                <c:pt idx="179">
                  <c:v>3160.8223604859336</c:v>
                </c:pt>
                <c:pt idx="180">
                  <c:v>3172.8950208439896</c:v>
                </c:pt>
                <c:pt idx="181">
                  <c:v>3143.9295776214835</c:v>
                </c:pt>
                <c:pt idx="182">
                  <c:v>3194.3336896419437</c:v>
                </c:pt>
                <c:pt idx="183">
                  <c:v>3250.1278772378514</c:v>
                </c:pt>
                <c:pt idx="184">
                  <c:v>3387.0012287723785</c:v>
                </c:pt>
                <c:pt idx="185">
                  <c:v>3316.4182384910487</c:v>
                </c:pt>
                <c:pt idx="186">
                  <c:v>3340.2763347826085</c:v>
                </c:pt>
                <c:pt idx="187">
                  <c:v>3343.6943034526853</c:v>
                </c:pt>
                <c:pt idx="188">
                  <c:v>3353.928478644501</c:v>
                </c:pt>
                <c:pt idx="189">
                  <c:v>3273.9028033248082</c:v>
                </c:pt>
                <c:pt idx="190">
                  <c:v>3277.9002158567773</c:v>
                </c:pt>
                <c:pt idx="191">
                  <c:v>3298.32086202046</c:v>
                </c:pt>
                <c:pt idx="192">
                  <c:v>3280.6176071611253</c:v>
                </c:pt>
                <c:pt idx="193">
                  <c:v>3338.022997953964</c:v>
                </c:pt>
                <c:pt idx="194">
                  <c:v>3348.27740370844</c:v>
                </c:pt>
                <c:pt idx="195">
                  <c:v>3372.3785166240409</c:v>
                </c:pt>
                <c:pt idx="196">
                  <c:v>3304.3912843989765</c:v>
                </c:pt>
                <c:pt idx="197">
                  <c:v>3321.1599364450126</c:v>
                </c:pt>
                <c:pt idx="198">
                  <c:v>3327.2903012787724</c:v>
                </c:pt>
                <c:pt idx="199">
                  <c:v>3315.5600624040922</c:v>
                </c:pt>
                <c:pt idx="200">
                  <c:v>3372.9130035805624</c:v>
                </c:pt>
                <c:pt idx="201">
                  <c:v>3367.2584319693092</c:v>
                </c:pt>
                <c:pt idx="202">
                  <c:v>3412.0921415601024</c:v>
                </c:pt>
                <c:pt idx="203">
                  <c:v>3382.4845648337596</c:v>
                </c:pt>
                <c:pt idx="204">
                  <c:v>3389.6099744245521</c:v>
                </c:pt>
                <c:pt idx="205">
                  <c:v>3475.9640745524293</c:v>
                </c:pt>
                <c:pt idx="206">
                  <c:v>3485.9896998721224</c:v>
                </c:pt>
                <c:pt idx="207">
                  <c:v>3429.6265585677747</c:v>
                </c:pt>
                <c:pt idx="208">
                  <c:v>3344.8057364450128</c:v>
                </c:pt>
                <c:pt idx="209">
                  <c:v>3332.9616069053704</c:v>
                </c:pt>
                <c:pt idx="210">
                  <c:v>3293.1433323529413</c:v>
                </c:pt>
                <c:pt idx="211">
                  <c:v>3295.6099644501278</c:v>
                </c:pt>
                <c:pt idx="212">
                  <c:v>3348.6842631713553</c:v>
                </c:pt>
                <c:pt idx="213">
                  <c:v>3391.8605638107415</c:v>
                </c:pt>
                <c:pt idx="214">
                  <c:v>3336.9295476982097</c:v>
                </c:pt>
                <c:pt idx="215">
                  <c:v>3336.0588835038361</c:v>
                </c:pt>
                <c:pt idx="216">
                  <c:v>3301.054987212276</c:v>
                </c:pt>
                <c:pt idx="217">
                  <c:v>3307.5947090792838</c:v>
                </c:pt>
                <c:pt idx="218">
                  <c:v>3276.6661505115089</c:v>
                </c:pt>
                <c:pt idx="219">
                  <c:v>3293.2762048593349</c:v>
                </c:pt>
                <c:pt idx="220">
                  <c:v>3280.2277313299232</c:v>
                </c:pt>
                <c:pt idx="221">
                  <c:v>3258.1689078005115</c:v>
                </c:pt>
                <c:pt idx="222">
                  <c:v>3261.4065497442452</c:v>
                </c:pt>
                <c:pt idx="223">
                  <c:v>3305.0766264705881</c:v>
                </c:pt>
                <c:pt idx="224">
                  <c:v>3213.5996942455245</c:v>
                </c:pt>
                <c:pt idx="225">
                  <c:v>3205.1610453964195</c:v>
                </c:pt>
                <c:pt idx="226">
                  <c:v>3276.9858436061381</c:v>
                </c:pt>
                <c:pt idx="227">
                  <c:v>3303.7978540920712</c:v>
                </c:pt>
                <c:pt idx="228">
                  <c:v>3308.880974296675</c:v>
                </c:pt>
                <c:pt idx="229">
                  <c:v>3383.9284287723785</c:v>
                </c:pt>
                <c:pt idx="230">
                  <c:v>3391.4871723785163</c:v>
                </c:pt>
                <c:pt idx="231">
                  <c:v>3410.1367686700769</c:v>
                </c:pt>
                <c:pt idx="232">
                  <c:v>3362.9578104859334</c:v>
                </c:pt>
                <c:pt idx="233">
                  <c:v>3430.9832561381072</c:v>
                </c:pt>
                <c:pt idx="234">
                  <c:v>3440.166190409207</c:v>
                </c:pt>
                <c:pt idx="235">
                  <c:v>3421.4361712276213</c:v>
                </c:pt>
                <c:pt idx="236">
                  <c:v>3464.2980239130434</c:v>
                </c:pt>
                <c:pt idx="237">
                  <c:v>3477.8182945012786</c:v>
                </c:pt>
                <c:pt idx="238">
                  <c:v>3453.3822530690531</c:v>
                </c:pt>
                <c:pt idx="239">
                  <c:v>3453.7339154731453</c:v>
                </c:pt>
                <c:pt idx="240">
                  <c:v>3468.1560702046031</c:v>
                </c:pt>
                <c:pt idx="241">
                  <c:v>3496.8139336317136</c:v>
                </c:pt>
                <c:pt idx="242">
                  <c:v>3525.4717970588231</c:v>
                </c:pt>
                <c:pt idx="243">
                  <c:v>3526.4655930946292</c:v>
                </c:pt>
                <c:pt idx="244">
                  <c:v>3520.6751519181585</c:v>
                </c:pt>
                <c:pt idx="245">
                  <c:v>3534.8912543478259</c:v>
                </c:pt>
                <c:pt idx="246">
                  <c:v>3573.2059722506392</c:v>
                </c:pt>
                <c:pt idx="247">
                  <c:v>3571.7059122762148</c:v>
                </c:pt>
                <c:pt idx="248">
                  <c:v>3579.3108616368286</c:v>
                </c:pt>
                <c:pt idx="249">
                  <c:v>3576.7398297953964</c:v>
                </c:pt>
                <c:pt idx="250">
                  <c:v>3574.1687979539643</c:v>
                </c:pt>
                <c:pt idx="251">
                  <c:v>3573.6982497442455</c:v>
                </c:pt>
                <c:pt idx="252">
                  <c:v>3598.956501790281</c:v>
                </c:pt>
                <c:pt idx="253">
                  <c:v>3602.471876982097</c:v>
                </c:pt>
                <c:pt idx="254">
                  <c:v>3644.1930746803064</c:v>
                </c:pt>
                <c:pt idx="255">
                  <c:v>3635.8121203324808</c:v>
                </c:pt>
                <c:pt idx="256">
                  <c:v>3567.8823329923271</c:v>
                </c:pt>
                <c:pt idx="257">
                  <c:v>3624.9373102301788</c:v>
                </c:pt>
                <c:pt idx="258">
                  <c:v>3609.7354039641941</c:v>
                </c:pt>
                <c:pt idx="259">
                  <c:v>3646.2980538363172</c:v>
                </c:pt>
                <c:pt idx="260">
                  <c:v>3661.115079539642</c:v>
                </c:pt>
                <c:pt idx="261">
                  <c:v>3684.9489489769821</c:v>
                </c:pt>
                <c:pt idx="262">
                  <c:v>3703.2353939897698</c:v>
                </c:pt>
                <c:pt idx="263">
                  <c:v>3679.2916300511511</c:v>
                </c:pt>
                <c:pt idx="264">
                  <c:v>3677.4219249360613</c:v>
                </c:pt>
                <c:pt idx="265">
                  <c:v>3661.5319294117644</c:v>
                </c:pt>
                <c:pt idx="266">
                  <c:v>3684.4207061381076</c:v>
                </c:pt>
                <c:pt idx="267">
                  <c:v>3703.2723585677745</c:v>
                </c:pt>
                <c:pt idx="268">
                  <c:v>3703.5293617647058</c:v>
                </c:pt>
                <c:pt idx="269">
                  <c:v>3713.2480318414323</c:v>
                </c:pt>
                <c:pt idx="270">
                  <c:v>3680.2364730179024</c:v>
                </c:pt>
                <c:pt idx="271">
                  <c:v>3609.7723685421993</c:v>
                </c:pt>
                <c:pt idx="272">
                  <c:v>3644.9233735294119</c:v>
                </c:pt>
                <c:pt idx="273">
                  <c:v>3698.32086202046</c:v>
                </c:pt>
                <c:pt idx="274">
                  <c:v>3683.8170356777491</c:v>
                </c:pt>
                <c:pt idx="275">
                  <c:v>3689.4361413043475</c:v>
                </c:pt>
                <c:pt idx="276">
                  <c:v>3710.0076427109971</c:v>
                </c:pt>
                <c:pt idx="277">
                  <c:v>3760.7429368286444</c:v>
                </c:pt>
                <c:pt idx="278">
                  <c:v>3768.0664062659848</c:v>
                </c:pt>
                <c:pt idx="279">
                  <c:v>3749.4847446291556</c:v>
                </c:pt>
                <c:pt idx="280">
                  <c:v>3717.5908627877238</c:v>
                </c:pt>
                <c:pt idx="281">
                  <c:v>3722.9359814578002</c:v>
                </c:pt>
                <c:pt idx="282">
                  <c:v>3647.4871622762148</c:v>
                </c:pt>
                <c:pt idx="283">
                  <c:v>3653.0575647058827</c:v>
                </c:pt>
                <c:pt idx="284">
                  <c:v>3673.6892583120202</c:v>
                </c:pt>
                <c:pt idx="285">
                  <c:v>3679.6944933503837</c:v>
                </c:pt>
                <c:pt idx="286">
                  <c:v>3715.0075927109974</c:v>
                </c:pt>
                <c:pt idx="287">
                  <c:v>3780.3094029411764</c:v>
                </c:pt>
                <c:pt idx="288">
                  <c:v>3788.320961892583</c:v>
                </c:pt>
                <c:pt idx="289">
                  <c:v>3834.5768062659845</c:v>
                </c:pt>
                <c:pt idx="290">
                  <c:v>3828.1739530690534</c:v>
                </c:pt>
                <c:pt idx="291">
                  <c:v>3837.1784337595905</c:v>
                </c:pt>
                <c:pt idx="292">
                  <c:v>3846.1829144501276</c:v>
                </c:pt>
                <c:pt idx="293">
                  <c:v>3856.4565516624039</c:v>
                </c:pt>
                <c:pt idx="294">
                  <c:v>3851.606208056266</c:v>
                </c:pt>
                <c:pt idx="295">
                  <c:v>3815.7863451406647</c:v>
                </c:pt>
                <c:pt idx="296">
                  <c:v>3824.7774636828644</c:v>
                </c:pt>
                <c:pt idx="297">
                  <c:v>3812.1126218670074</c:v>
                </c:pt>
                <c:pt idx="298">
                  <c:v>3852.9244425831198</c:v>
                </c:pt>
                <c:pt idx="299">
                  <c:v>3852.2608296675189</c:v>
                </c:pt>
                <c:pt idx="300">
                  <c:v>3831.6188959079282</c:v>
                </c:pt>
                <c:pt idx="301">
                  <c:v>3831.6163982097187</c:v>
                </c:pt>
                <c:pt idx="302">
                  <c:v>3811.4872222506392</c:v>
                </c:pt>
                <c:pt idx="303">
                  <c:v>3778.7469029411764</c:v>
                </c:pt>
                <c:pt idx="304">
                  <c:v>3782.2768891943733</c:v>
                </c:pt>
                <c:pt idx="305">
                  <c:v>3785.8068754475703</c:v>
                </c:pt>
                <c:pt idx="306">
                  <c:v>3822.6100443734017</c:v>
                </c:pt>
                <c:pt idx="307">
                  <c:v>3797.8400735294117</c:v>
                </c:pt>
                <c:pt idx="308">
                  <c:v>3813.5095308823529</c:v>
                </c:pt>
                <c:pt idx="309">
                  <c:v>3829.1789882352941</c:v>
                </c:pt>
                <c:pt idx="310">
                  <c:v>3846.7456241687983</c:v>
                </c:pt>
                <c:pt idx="311">
                  <c:v>3735.2711397698208</c:v>
                </c:pt>
                <c:pt idx="312">
                  <c:v>3754.8618326086957</c:v>
                </c:pt>
                <c:pt idx="313">
                  <c:v>3708.8490049872121</c:v>
                </c:pt>
                <c:pt idx="314">
                  <c:v>3620.3414722506391</c:v>
                </c:pt>
                <c:pt idx="315">
                  <c:v>3650.9258611253194</c:v>
                </c:pt>
                <c:pt idx="316">
                  <c:v>3623.5460207800511</c:v>
                </c:pt>
                <c:pt idx="317">
                  <c:v>3596.1661804347827</c:v>
                </c:pt>
                <c:pt idx="318">
                  <c:v>3614.9246723785163</c:v>
                </c:pt>
                <c:pt idx="319">
                  <c:v>3615.7378916879793</c:v>
                </c:pt>
                <c:pt idx="320">
                  <c:v>3573.7162324808182</c:v>
                </c:pt>
                <c:pt idx="321">
                  <c:v>3553.4027333759591</c:v>
                </c:pt>
                <c:pt idx="322">
                  <c:v>3536.731487723785</c:v>
                </c:pt>
                <c:pt idx="323">
                  <c:v>3542.959009335038</c:v>
                </c:pt>
                <c:pt idx="324">
                  <c:v>3486.8453783887467</c:v>
                </c:pt>
                <c:pt idx="325">
                  <c:v>3497.9449728900254</c:v>
                </c:pt>
                <c:pt idx="326">
                  <c:v>3489.5255554987207</c:v>
                </c:pt>
                <c:pt idx="327">
                  <c:v>3502.6611952685421</c:v>
                </c:pt>
                <c:pt idx="328">
                  <c:v>3482.8274856777493</c:v>
                </c:pt>
                <c:pt idx="329">
                  <c:v>3467.3760689258311</c:v>
                </c:pt>
                <c:pt idx="330">
                  <c:v>3440.0370644501277</c:v>
                </c:pt>
                <c:pt idx="331">
                  <c:v>3439.1124520460357</c:v>
                </c:pt>
                <c:pt idx="332">
                  <c:v>3422.1891983375958</c:v>
                </c:pt>
                <c:pt idx="333">
                  <c:v>3439.3145080562658</c:v>
                </c:pt>
                <c:pt idx="334">
                  <c:v>3448.2454343989771</c:v>
                </c:pt>
                <c:pt idx="335">
                  <c:v>3526.6803868286443</c:v>
                </c:pt>
                <c:pt idx="336">
                  <c:v>3553.6240209718667</c:v>
                </c:pt>
                <c:pt idx="337">
                  <c:v>3492.1305547314578</c:v>
                </c:pt>
                <c:pt idx="338">
                  <c:v>3490.3722427109974</c:v>
                </c:pt>
                <c:pt idx="339">
                  <c:v>3467.8196430946291</c:v>
                </c:pt>
                <c:pt idx="340">
                  <c:v>3481.7340352941178</c:v>
                </c:pt>
                <c:pt idx="341">
                  <c:v>3516.4666919437341</c:v>
                </c:pt>
                <c:pt idx="342">
                  <c:v>3606.4118446291559</c:v>
                </c:pt>
                <c:pt idx="343">
                  <c:v>3650.9500879795396</c:v>
                </c:pt>
                <c:pt idx="344">
                  <c:v>3641.1395061381072</c:v>
                </c:pt>
                <c:pt idx="345">
                  <c:v>3646.16368286445</c:v>
                </c:pt>
                <c:pt idx="346">
                  <c:v>3604.3453285166238</c:v>
                </c:pt>
                <c:pt idx="347">
                  <c:v>3608.9489090792836</c:v>
                </c:pt>
                <c:pt idx="348">
                  <c:v>3660.028123017903</c:v>
                </c:pt>
                <c:pt idx="349">
                  <c:v>3649.951296803069</c:v>
                </c:pt>
                <c:pt idx="350">
                  <c:v>3692.5269241687979</c:v>
                </c:pt>
                <c:pt idx="351">
                  <c:v>3689.9156809462916</c:v>
                </c:pt>
                <c:pt idx="352">
                  <c:v>3682.3234694373405</c:v>
                </c:pt>
                <c:pt idx="353">
                  <c:v>3679.645790025575</c:v>
                </c:pt>
                <c:pt idx="354">
                  <c:v>3622.9781909207159</c:v>
                </c:pt>
                <c:pt idx="355">
                  <c:v>3595.4321351662402</c:v>
                </c:pt>
                <c:pt idx="356">
                  <c:v>3606.7377817135548</c:v>
                </c:pt>
                <c:pt idx="357">
                  <c:v>3635.7801510230179</c:v>
                </c:pt>
                <c:pt idx="358">
                  <c:v>3640.8720129156009</c:v>
                </c:pt>
                <c:pt idx="359">
                  <c:v>3651.5192914322251</c:v>
                </c:pt>
                <c:pt idx="360">
                  <c:v>3659.7978441176469</c:v>
                </c:pt>
                <c:pt idx="361">
                  <c:v>3656.4155910485933</c:v>
                </c:pt>
                <c:pt idx="362">
                  <c:v>3639.5984854219951</c:v>
                </c:pt>
                <c:pt idx="363">
                  <c:v>3678.4399476982094</c:v>
                </c:pt>
                <c:pt idx="364">
                  <c:v>3628.0383332480815</c:v>
                </c:pt>
                <c:pt idx="365">
                  <c:v>3640.2148937340148</c:v>
                </c:pt>
                <c:pt idx="366">
                  <c:v>3647.5753277493604</c:v>
                </c:pt>
                <c:pt idx="367">
                  <c:v>3656.5602021739132</c:v>
                </c:pt>
                <c:pt idx="368">
                  <c:v>3631.4245823529413</c:v>
                </c:pt>
                <c:pt idx="369">
                  <c:v>3594.1700966751919</c:v>
                </c:pt>
                <c:pt idx="370">
                  <c:v>3599.2966751918157</c:v>
                </c:pt>
                <c:pt idx="371">
                  <c:v>3552.1419437340151</c:v>
                </c:pt>
                <c:pt idx="372">
                  <c:v>3525.0254755754472</c:v>
                </c:pt>
                <c:pt idx="373">
                  <c:v>3442.2736672634269</c:v>
                </c:pt>
                <c:pt idx="374">
                  <c:v>3344.1586078005116</c:v>
                </c:pt>
                <c:pt idx="375">
                  <c:v>3321.7698508951407</c:v>
                </c:pt>
                <c:pt idx="376">
                  <c:v>3324.428298849105</c:v>
                </c:pt>
                <c:pt idx="377">
                  <c:v>3340.2518581841432</c:v>
                </c:pt>
                <c:pt idx="378">
                  <c:v>3317.0461356777496</c:v>
                </c:pt>
                <c:pt idx="379">
                  <c:v>3302.3939517902809</c:v>
                </c:pt>
                <c:pt idx="380">
                  <c:v>3232.9029131713555</c:v>
                </c:pt>
                <c:pt idx="381">
                  <c:v>3235.5855878516622</c:v>
                </c:pt>
                <c:pt idx="382">
                  <c:v>3260.2891225063936</c:v>
                </c:pt>
                <c:pt idx="383">
                  <c:v>3290.8210617647055</c:v>
                </c:pt>
                <c:pt idx="384">
                  <c:v>3362.1278572890023</c:v>
                </c:pt>
                <c:pt idx="385">
                  <c:v>3354.4167599744246</c:v>
                </c:pt>
                <c:pt idx="386">
                  <c:v>3359.3400336317136</c:v>
                </c:pt>
                <c:pt idx="387">
                  <c:v>3331.0384530690535</c:v>
                </c:pt>
                <c:pt idx="388">
                  <c:v>3347.7404191815854</c:v>
                </c:pt>
                <c:pt idx="389">
                  <c:v>3283.9296774936061</c:v>
                </c:pt>
                <c:pt idx="390">
                  <c:v>3281.850423657289</c:v>
                </c:pt>
                <c:pt idx="391">
                  <c:v>3275.6368886189257</c:v>
                </c:pt>
                <c:pt idx="392">
                  <c:v>3286.8925831202046</c:v>
                </c:pt>
                <c:pt idx="393">
                  <c:v>3289.6074768542194</c:v>
                </c:pt>
                <c:pt idx="394">
                  <c:v>3277.0525295396419</c:v>
                </c:pt>
                <c:pt idx="395">
                  <c:v>3264.4308962915602</c:v>
                </c:pt>
                <c:pt idx="396">
                  <c:v>3391.7174512787719</c:v>
                </c:pt>
                <c:pt idx="397">
                  <c:v>3390.732646675192</c:v>
                </c:pt>
                <c:pt idx="398">
                  <c:v>3413.1406350383631</c:v>
                </c:pt>
                <c:pt idx="399">
                  <c:v>3411.943784015345</c:v>
                </c:pt>
                <c:pt idx="400">
                  <c:v>3412.2352542199487</c:v>
                </c:pt>
                <c:pt idx="401">
                  <c:v>3473.0256453964193</c:v>
                </c:pt>
                <c:pt idx="402">
                  <c:v>3463.8914141943733</c:v>
                </c:pt>
                <c:pt idx="403">
                  <c:v>3497.7863750639385</c:v>
                </c:pt>
                <c:pt idx="404">
                  <c:v>3468.6126318414322</c:v>
                </c:pt>
                <c:pt idx="405">
                  <c:v>3425.861922506394</c:v>
                </c:pt>
                <c:pt idx="406">
                  <c:v>3421.2428569053704</c:v>
                </c:pt>
                <c:pt idx="407">
                  <c:v>3384.7761149616363</c:v>
                </c:pt>
                <c:pt idx="408">
                  <c:v>3380.5204503836317</c:v>
                </c:pt>
                <c:pt idx="409">
                  <c:v>3353.248131841432</c:v>
                </c:pt>
                <c:pt idx="410">
                  <c:v>3360.7416879795396</c:v>
                </c:pt>
                <c:pt idx="411">
                  <c:v>3317.8196430946291</c:v>
                </c:pt>
                <c:pt idx="412">
                  <c:v>3330.1700368286442</c:v>
                </c:pt>
                <c:pt idx="413">
                  <c:v>3319.029481713555</c:v>
                </c:pt>
                <c:pt idx="414">
                  <c:v>3336.607356905371</c:v>
                </c:pt>
                <c:pt idx="415">
                  <c:v>3330.2671934782607</c:v>
                </c:pt>
                <c:pt idx="416">
                  <c:v>3338.9143921994887</c:v>
                </c:pt>
                <c:pt idx="417">
                  <c:v>3301.9219049872122</c:v>
                </c:pt>
                <c:pt idx="418">
                  <c:v>3311.1765205882352</c:v>
                </c:pt>
                <c:pt idx="419">
                  <c:v>3284.246873017903</c:v>
                </c:pt>
                <c:pt idx="420">
                  <c:v>3287.459039386189</c:v>
                </c:pt>
                <c:pt idx="421">
                  <c:v>3364.2505694373399</c:v>
                </c:pt>
                <c:pt idx="422">
                  <c:v>3391.5408707161123</c:v>
                </c:pt>
                <c:pt idx="423">
                  <c:v>3389.2493207161124</c:v>
                </c:pt>
                <c:pt idx="424">
                  <c:v>3409.7543858056265</c:v>
                </c:pt>
                <c:pt idx="425">
                  <c:v>3433.3107716112531</c:v>
                </c:pt>
                <c:pt idx="426">
                  <c:v>3416.8260969309458</c:v>
                </c:pt>
                <c:pt idx="427">
                  <c:v>3426.369190769231</c:v>
                </c:pt>
                <c:pt idx="428">
                  <c:v>3434.1281049999998</c:v>
                </c:pt>
                <c:pt idx="429">
                  <c:v>3405.9910857692307</c:v>
                </c:pt>
                <c:pt idx="430">
                  <c:v>3435.6345152564099</c:v>
                </c:pt>
                <c:pt idx="431">
                  <c:v>3418.8962339743589</c:v>
                </c:pt>
                <c:pt idx="432">
                  <c:v>3447.5974058974357</c:v>
                </c:pt>
                <c:pt idx="433">
                  <c:v>3434.1999700000001</c:v>
                </c:pt>
                <c:pt idx="434">
                  <c:v>3418.9372997435898</c:v>
                </c:pt>
                <c:pt idx="435">
                  <c:v>3449.5795773076925</c:v>
                </c:pt>
                <c:pt idx="436">
                  <c:v>3474.4563802564103</c:v>
                </c:pt>
                <c:pt idx="437">
                  <c:v>3531.7052283333337</c:v>
                </c:pt>
                <c:pt idx="438">
                  <c:v>3549.1538962820514</c:v>
                </c:pt>
                <c:pt idx="439">
                  <c:v>3549.8257211538462</c:v>
                </c:pt>
                <c:pt idx="440">
                  <c:v>3570.1577524358972</c:v>
                </c:pt>
                <c:pt idx="441">
                  <c:v>3545.0180288461538</c:v>
                </c:pt>
                <c:pt idx="442">
                  <c:v>3452.1218950000002</c:v>
                </c:pt>
                <c:pt idx="443">
                  <c:v>3469.9076021794872</c:v>
                </c:pt>
                <c:pt idx="444">
                  <c:v>3406.5975561538462</c:v>
                </c:pt>
                <c:pt idx="445">
                  <c:v>3374.8319811538463</c:v>
                </c:pt>
                <c:pt idx="446">
                  <c:v>3375.212840512821</c:v>
                </c:pt>
                <c:pt idx="447">
                  <c:v>3420.6525441025638</c:v>
                </c:pt>
                <c:pt idx="448">
                  <c:v>3478.0232068035943</c:v>
                </c:pt>
                <c:pt idx="449">
                  <c:v>3451.8112163029523</c:v>
                </c:pt>
                <c:pt idx="450">
                  <c:v>3397.5456815147627</c:v>
                </c:pt>
                <c:pt idx="451">
                  <c:v>3414.0025774069318</c:v>
                </c:pt>
                <c:pt idx="452">
                  <c:v>3465.0884548138638</c:v>
                </c:pt>
                <c:pt idx="453">
                  <c:v>3454.9319540436459</c:v>
                </c:pt>
                <c:pt idx="454">
                  <c:v>3460.0770218228499</c:v>
                </c:pt>
                <c:pt idx="455">
                  <c:v>3452.3402399229781</c:v>
                </c:pt>
                <c:pt idx="456">
                  <c:v>3382.0911725288834</c:v>
                </c:pt>
                <c:pt idx="457">
                  <c:v>3394.7009888318357</c:v>
                </c:pt>
                <c:pt idx="458">
                  <c:v>3387.8434892169448</c:v>
                </c:pt>
                <c:pt idx="459">
                  <c:v>3345.6432024390247</c:v>
                </c:pt>
                <c:pt idx="460">
                  <c:v>3365.473563928113</c:v>
                </c:pt>
                <c:pt idx="461">
                  <c:v>3401.587822978177</c:v>
                </c:pt>
                <c:pt idx="462">
                  <c:v>3405.4923482005138</c:v>
                </c:pt>
                <c:pt idx="463">
                  <c:v>3398.0230258354754</c:v>
                </c:pt>
                <c:pt idx="464">
                  <c:v>3424.8624277634963</c:v>
                </c:pt>
                <c:pt idx="465">
                  <c:v>3469.6838849614396</c:v>
                </c:pt>
                <c:pt idx="466">
                  <c:v>3558.8380161953723</c:v>
                </c:pt>
                <c:pt idx="467">
                  <c:v>3535.744195886889</c:v>
                </c:pt>
                <c:pt idx="468">
                  <c:v>3578.8831539845755</c:v>
                </c:pt>
                <c:pt idx="469">
                  <c:v>3584.0888095115679</c:v>
                </c:pt>
                <c:pt idx="470">
                  <c:v>3573.3277935732649</c:v>
                </c:pt>
                <c:pt idx="471">
                  <c:v>3582.4356823907456</c:v>
                </c:pt>
                <c:pt idx="472">
                  <c:v>3586.9421794344476</c:v>
                </c:pt>
                <c:pt idx="473">
                  <c:v>3581.5181154241645</c:v>
                </c:pt>
                <c:pt idx="474">
                  <c:v>3627.9460053984576</c:v>
                </c:pt>
                <c:pt idx="475">
                  <c:v>3640.0245019280205</c:v>
                </c:pt>
                <c:pt idx="476">
                  <c:v>3623.3611825192802</c:v>
                </c:pt>
                <c:pt idx="477">
                  <c:v>3646.0970135604111</c:v>
                </c:pt>
                <c:pt idx="478">
                  <c:v>3668.8328446015425</c:v>
                </c:pt>
                <c:pt idx="479">
                  <c:v>3657.0051413881747</c:v>
                </c:pt>
                <c:pt idx="480">
                  <c:v>3628.044916838046</c:v>
                </c:pt>
                <c:pt idx="481">
                  <c:v>3640.3676795629822</c:v>
                </c:pt>
                <c:pt idx="482">
                  <c:v>3610.2724835475578</c:v>
                </c:pt>
                <c:pt idx="483">
                  <c:v>3675.8043758043759</c:v>
                </c:pt>
                <c:pt idx="484">
                  <c:v>3685.7399252252253</c:v>
                </c:pt>
                <c:pt idx="485">
                  <c:v>3726.5044341055341</c:v>
                </c:pt>
                <c:pt idx="486">
                  <c:v>3717.5213159588161</c:v>
                </c:pt>
                <c:pt idx="487">
                  <c:v>3703.1647160875159</c:v>
                </c:pt>
                <c:pt idx="488">
                  <c:v>3717.250844658945</c:v>
                </c:pt>
                <c:pt idx="489">
                  <c:v>3739.5649835263839</c:v>
                </c:pt>
                <c:pt idx="490">
                  <c:v>3706.0373431145435</c:v>
                </c:pt>
                <c:pt idx="491">
                  <c:v>3601.7155827541828</c:v>
                </c:pt>
                <c:pt idx="492">
                  <c:v>3647.4953749034753</c:v>
                </c:pt>
                <c:pt idx="493">
                  <c:v>3591.9072253539252</c:v>
                </c:pt>
                <c:pt idx="494">
                  <c:v>3597.1223455598456</c:v>
                </c:pt>
                <c:pt idx="495">
                  <c:v>3495.5766871299875</c:v>
                </c:pt>
                <c:pt idx="496">
                  <c:v>3404.006545559846</c:v>
                </c:pt>
                <c:pt idx="497">
                  <c:v>3386.4389779922781</c:v>
                </c:pt>
                <c:pt idx="498">
                  <c:v>3392.1467785070786</c:v>
                </c:pt>
                <c:pt idx="499">
                  <c:v>3433.2021195624197</c:v>
                </c:pt>
                <c:pt idx="500">
                  <c:v>3447.4569155727158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D5-4530-AC2B-C1EB12F080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3601039"/>
        <c:axId val="1153606799"/>
      </c:lineChart>
      <c:dateAx>
        <c:axId val="11536010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606799"/>
        <c:crosses val="autoZero"/>
        <c:auto val="1"/>
        <c:lblOffset val="100"/>
        <c:baseTimeUnit val="days"/>
      </c:dateAx>
      <c:valAx>
        <c:axId val="115360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601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'$ Portfolio Loss'!$P$4</c:f>
              <c:strCache>
                <c:ptCount val="1"/>
                <c:pt idx="0">
                  <c:v>Loss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'$ Portfolio Loss'!$W$5:$W$27</c:f>
              <c:numCache>
                <c:formatCode>General</c:formatCode>
                <c:ptCount val="23"/>
                <c:pt idx="0">
                  <c:v>-600</c:v>
                </c:pt>
                <c:pt idx="1">
                  <c:v>-550</c:v>
                </c:pt>
                <c:pt idx="2">
                  <c:v>-500</c:v>
                </c:pt>
                <c:pt idx="3">
                  <c:v>-450</c:v>
                </c:pt>
                <c:pt idx="4">
                  <c:v>-400</c:v>
                </c:pt>
                <c:pt idx="5">
                  <c:v>-350</c:v>
                </c:pt>
                <c:pt idx="6">
                  <c:v>-300</c:v>
                </c:pt>
                <c:pt idx="7">
                  <c:v>-250</c:v>
                </c:pt>
                <c:pt idx="8">
                  <c:v>-200</c:v>
                </c:pt>
                <c:pt idx="9">
                  <c:v>-150</c:v>
                </c:pt>
                <c:pt idx="10">
                  <c:v>-100</c:v>
                </c:pt>
                <c:pt idx="11">
                  <c:v>-50</c:v>
                </c:pt>
                <c:pt idx="12">
                  <c:v>0</c:v>
                </c:pt>
                <c:pt idx="13">
                  <c:v>50</c:v>
                </c:pt>
                <c:pt idx="14">
                  <c:v>100</c:v>
                </c:pt>
                <c:pt idx="15">
                  <c:v>150</c:v>
                </c:pt>
                <c:pt idx="16">
                  <c:v>200</c:v>
                </c:pt>
                <c:pt idx="17">
                  <c:v>250</c:v>
                </c:pt>
                <c:pt idx="18">
                  <c:v>300</c:v>
                </c:pt>
                <c:pt idx="19">
                  <c:v>350</c:v>
                </c:pt>
                <c:pt idx="20">
                  <c:v>400</c:v>
                </c:pt>
                <c:pt idx="21">
                  <c:v>450</c:v>
                </c:pt>
                <c:pt idx="22">
                  <c:v>500</c:v>
                </c:pt>
              </c:numCache>
            </c:numRef>
          </c:cat>
          <c:val>
            <c:numRef>
              <c:f>'$ Portfolio Loss'!$T$5:$T$27</c:f>
              <c:numCache>
                <c:formatCode>0.00%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6.0000000000000001E-3</c:v>
                </c:pt>
                <c:pt idx="10">
                  <c:v>4.2000000000000003E-2</c:v>
                </c:pt>
                <c:pt idx="11">
                  <c:v>0.158</c:v>
                </c:pt>
                <c:pt idx="12">
                  <c:v>0.33600000000000002</c:v>
                </c:pt>
                <c:pt idx="13">
                  <c:v>0.27800000000000002</c:v>
                </c:pt>
                <c:pt idx="14">
                  <c:v>0.11600000000000001</c:v>
                </c:pt>
                <c:pt idx="15">
                  <c:v>0.05</c:v>
                </c:pt>
                <c:pt idx="16">
                  <c:v>0.01</c:v>
                </c:pt>
                <c:pt idx="17">
                  <c:v>4.0000000000000001E-3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27-4128-87E2-A8CE6E0919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39834600"/>
        <c:axId val="2139838088"/>
      </c:barChart>
      <c:catAx>
        <c:axId val="2139834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838088"/>
        <c:crosses val="autoZero"/>
        <c:auto val="1"/>
        <c:lblAlgn val="ctr"/>
        <c:lblOffset val="100"/>
        <c:noMultiLvlLbl val="0"/>
      </c:catAx>
      <c:valAx>
        <c:axId val="2139838088"/>
        <c:scaling>
          <c:orientation val="minMax"/>
          <c:max val="0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834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948662549401"/>
          <c:y val="4.2307705120443698E-2"/>
          <c:w val="0.80742318512047395"/>
          <c:h val="0.849892216192466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'$ Portfolio Loss'!$P$4</c:f>
              <c:strCache>
                <c:ptCount val="1"/>
                <c:pt idx="0">
                  <c:v>Loss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'$ Portfolio Loss'!$W$5:$W$27</c:f>
              <c:numCache>
                <c:formatCode>General</c:formatCode>
                <c:ptCount val="23"/>
                <c:pt idx="0">
                  <c:v>-600</c:v>
                </c:pt>
                <c:pt idx="1">
                  <c:v>-550</c:v>
                </c:pt>
                <c:pt idx="2">
                  <c:v>-500</c:v>
                </c:pt>
                <c:pt idx="3">
                  <c:v>-450</c:v>
                </c:pt>
                <c:pt idx="4">
                  <c:v>-400</c:v>
                </c:pt>
                <c:pt idx="5">
                  <c:v>-350</c:v>
                </c:pt>
                <c:pt idx="6">
                  <c:v>-300</c:v>
                </c:pt>
                <c:pt idx="7">
                  <c:v>-250</c:v>
                </c:pt>
                <c:pt idx="8">
                  <c:v>-200</c:v>
                </c:pt>
                <c:pt idx="9">
                  <c:v>-150</c:v>
                </c:pt>
                <c:pt idx="10">
                  <c:v>-100</c:v>
                </c:pt>
                <c:pt idx="11">
                  <c:v>-50</c:v>
                </c:pt>
                <c:pt idx="12">
                  <c:v>0</c:v>
                </c:pt>
                <c:pt idx="13">
                  <c:v>50</c:v>
                </c:pt>
                <c:pt idx="14">
                  <c:v>100</c:v>
                </c:pt>
                <c:pt idx="15">
                  <c:v>150</c:v>
                </c:pt>
                <c:pt idx="16">
                  <c:v>200</c:v>
                </c:pt>
                <c:pt idx="17">
                  <c:v>250</c:v>
                </c:pt>
                <c:pt idx="18">
                  <c:v>300</c:v>
                </c:pt>
                <c:pt idx="19">
                  <c:v>350</c:v>
                </c:pt>
                <c:pt idx="20">
                  <c:v>400</c:v>
                </c:pt>
                <c:pt idx="21">
                  <c:v>450</c:v>
                </c:pt>
                <c:pt idx="22">
                  <c:v>500</c:v>
                </c:pt>
              </c:numCache>
            </c:numRef>
          </c:cat>
          <c:val>
            <c:numRef>
              <c:f>'$ Portfolio Loss'!$T$5:$T$27</c:f>
              <c:numCache>
                <c:formatCode>0.00%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6.0000000000000001E-3</c:v>
                </c:pt>
                <c:pt idx="10">
                  <c:v>4.2000000000000003E-2</c:v>
                </c:pt>
                <c:pt idx="11">
                  <c:v>0.158</c:v>
                </c:pt>
                <c:pt idx="12">
                  <c:v>0.33600000000000002</c:v>
                </c:pt>
                <c:pt idx="13">
                  <c:v>0.27800000000000002</c:v>
                </c:pt>
                <c:pt idx="14">
                  <c:v>0.11600000000000001</c:v>
                </c:pt>
                <c:pt idx="15">
                  <c:v>0.05</c:v>
                </c:pt>
                <c:pt idx="16">
                  <c:v>0.01</c:v>
                </c:pt>
                <c:pt idx="17">
                  <c:v>4.0000000000000001E-3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CF-4699-B8C1-C1E384463F8B}"/>
            </c:ext>
          </c:extLst>
        </c:ser>
        <c:ser>
          <c:idx val="1"/>
          <c:order val="1"/>
          <c:tx>
            <c:strRef>
              <c:f>'$ Portfolio Loss'!$Y$4</c:f>
              <c:strCache>
                <c:ptCount val="1"/>
                <c:pt idx="0">
                  <c:v>Normal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'$ Portfolio Loss'!$W$5:$W$27</c:f>
              <c:numCache>
                <c:formatCode>General</c:formatCode>
                <c:ptCount val="23"/>
                <c:pt idx="0">
                  <c:v>-600</c:v>
                </c:pt>
                <c:pt idx="1">
                  <c:v>-550</c:v>
                </c:pt>
                <c:pt idx="2">
                  <c:v>-500</c:v>
                </c:pt>
                <c:pt idx="3">
                  <c:v>-450</c:v>
                </c:pt>
                <c:pt idx="4">
                  <c:v>-400</c:v>
                </c:pt>
                <c:pt idx="5">
                  <c:v>-350</c:v>
                </c:pt>
                <c:pt idx="6">
                  <c:v>-300</c:v>
                </c:pt>
                <c:pt idx="7">
                  <c:v>-250</c:v>
                </c:pt>
                <c:pt idx="8">
                  <c:v>-200</c:v>
                </c:pt>
                <c:pt idx="9">
                  <c:v>-150</c:v>
                </c:pt>
                <c:pt idx="10">
                  <c:v>-100</c:v>
                </c:pt>
                <c:pt idx="11">
                  <c:v>-50</c:v>
                </c:pt>
                <c:pt idx="12">
                  <c:v>0</c:v>
                </c:pt>
                <c:pt idx="13">
                  <c:v>50</c:v>
                </c:pt>
                <c:pt idx="14">
                  <c:v>100</c:v>
                </c:pt>
                <c:pt idx="15">
                  <c:v>150</c:v>
                </c:pt>
                <c:pt idx="16">
                  <c:v>200</c:v>
                </c:pt>
                <c:pt idx="17">
                  <c:v>250</c:v>
                </c:pt>
                <c:pt idx="18">
                  <c:v>300</c:v>
                </c:pt>
                <c:pt idx="19">
                  <c:v>350</c:v>
                </c:pt>
                <c:pt idx="20">
                  <c:v>400</c:v>
                </c:pt>
                <c:pt idx="21">
                  <c:v>450</c:v>
                </c:pt>
                <c:pt idx="22">
                  <c:v>500</c:v>
                </c:pt>
              </c:numCache>
            </c:numRef>
          </c:cat>
          <c:val>
            <c:numRef>
              <c:f>'$ Portfolio Loss'!$Y$5:$Y$27</c:f>
              <c:numCache>
                <c:formatCode>0.00%</c:formatCode>
                <c:ptCount val="23"/>
                <c:pt idx="1">
                  <c:v>3.1659505424271313E-19</c:v>
                </c:pt>
                <c:pt idx="2">
                  <c:v>3.3648782150952367E-16</c:v>
                </c:pt>
                <c:pt idx="3">
                  <c:v>1.8698152655752318E-13</c:v>
                </c:pt>
                <c:pt idx="4">
                  <c:v>5.4412149170262097E-11</c:v>
                </c:pt>
                <c:pt idx="5">
                  <c:v>8.3084421081772041E-9</c:v>
                </c:pt>
                <c:pt idx="6">
                  <c:v>6.6727551486280794E-7</c:v>
                </c:pt>
                <c:pt idx="7">
                  <c:v>2.8266687089672308E-5</c:v>
                </c:pt>
                <c:pt idx="8">
                  <c:v>6.3361397419617479E-4</c:v>
                </c:pt>
                <c:pt idx="9">
                  <c:v>7.5417587054787379E-3</c:v>
                </c:pt>
                <c:pt idx="10">
                  <c:v>4.783604597706087E-2</c:v>
                </c:pt>
                <c:pt idx="11">
                  <c:v>0.16220803174204035</c:v>
                </c:pt>
                <c:pt idx="12">
                  <c:v>0.29478070530680206</c:v>
                </c:pt>
                <c:pt idx="13">
                  <c:v>0.28748314995952207</c:v>
                </c:pt>
                <c:pt idx="14">
                  <c:v>0.15044835123157962</c:v>
                </c:pt>
                <c:pt idx="15">
                  <c:v>4.2189258716995526E-2</c:v>
                </c:pt>
                <c:pt idx="16">
                  <c:v>6.3233536813670499E-3</c:v>
                </c:pt>
                <c:pt idx="17">
                  <c:v>5.0490153440030383E-4</c:v>
                </c:pt>
                <c:pt idx="18">
                  <c:v>2.1401253931907505E-5</c:v>
                </c:pt>
                <c:pt idx="19">
                  <c:v>4.7988134654897152E-7</c:v>
                </c:pt>
                <c:pt idx="20">
                  <c:v>5.6742354148653362E-9</c:v>
                </c:pt>
                <c:pt idx="21">
                  <c:v>3.5281999544167775E-11</c:v>
                </c:pt>
                <c:pt idx="22">
                  <c:v>1.1501910535116622E-13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CF-4699-B8C1-C1E384463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3578584"/>
        <c:axId val="2111299224"/>
      </c:barChart>
      <c:catAx>
        <c:axId val="21135785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299224"/>
        <c:crosses val="autoZero"/>
        <c:auto val="1"/>
        <c:lblAlgn val="ctr"/>
        <c:lblOffset val="100"/>
        <c:noMultiLvlLbl val="0"/>
      </c:catAx>
      <c:valAx>
        <c:axId val="2111299224"/>
        <c:scaling>
          <c:orientation val="minMax"/>
          <c:max val="0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578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948662549401"/>
          <c:y val="4.2307705120443698E-2"/>
          <c:w val="0.80742318512047395"/>
          <c:h val="0.849892216192466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'$ Portfolio Loss'!$P$4</c:f>
              <c:strCache>
                <c:ptCount val="1"/>
                <c:pt idx="0">
                  <c:v>Loss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'$ Portfolio Loss'!$W$5:$W$27</c:f>
              <c:numCache>
                <c:formatCode>General</c:formatCode>
                <c:ptCount val="23"/>
                <c:pt idx="0">
                  <c:v>-600</c:v>
                </c:pt>
                <c:pt idx="1">
                  <c:v>-550</c:v>
                </c:pt>
                <c:pt idx="2">
                  <c:v>-500</c:v>
                </c:pt>
                <c:pt idx="3">
                  <c:v>-450</c:v>
                </c:pt>
                <c:pt idx="4">
                  <c:v>-400</c:v>
                </c:pt>
                <c:pt idx="5">
                  <c:v>-350</c:v>
                </c:pt>
                <c:pt idx="6">
                  <c:v>-300</c:v>
                </c:pt>
                <c:pt idx="7">
                  <c:v>-250</c:v>
                </c:pt>
                <c:pt idx="8">
                  <c:v>-200</c:v>
                </c:pt>
                <c:pt idx="9">
                  <c:v>-150</c:v>
                </c:pt>
                <c:pt idx="10">
                  <c:v>-100</c:v>
                </c:pt>
                <c:pt idx="11">
                  <c:v>-50</c:v>
                </c:pt>
                <c:pt idx="12">
                  <c:v>0</c:v>
                </c:pt>
                <c:pt idx="13">
                  <c:v>50</c:v>
                </c:pt>
                <c:pt idx="14">
                  <c:v>100</c:v>
                </c:pt>
                <c:pt idx="15">
                  <c:v>150</c:v>
                </c:pt>
                <c:pt idx="16">
                  <c:v>200</c:v>
                </c:pt>
                <c:pt idx="17">
                  <c:v>250</c:v>
                </c:pt>
                <c:pt idx="18">
                  <c:v>300</c:v>
                </c:pt>
                <c:pt idx="19">
                  <c:v>350</c:v>
                </c:pt>
                <c:pt idx="20">
                  <c:v>400</c:v>
                </c:pt>
                <c:pt idx="21">
                  <c:v>450</c:v>
                </c:pt>
                <c:pt idx="22">
                  <c:v>500</c:v>
                </c:pt>
              </c:numCache>
            </c:numRef>
          </c:cat>
          <c:val>
            <c:numRef>
              <c:f>'$ Portfolio Loss'!$T$5:$T$27</c:f>
              <c:numCache>
                <c:formatCode>0.00%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6.0000000000000001E-3</c:v>
                </c:pt>
                <c:pt idx="10">
                  <c:v>4.2000000000000003E-2</c:v>
                </c:pt>
                <c:pt idx="11">
                  <c:v>0.158</c:v>
                </c:pt>
                <c:pt idx="12">
                  <c:v>0.33600000000000002</c:v>
                </c:pt>
                <c:pt idx="13">
                  <c:v>0.27800000000000002</c:v>
                </c:pt>
                <c:pt idx="14">
                  <c:v>0.11600000000000001</c:v>
                </c:pt>
                <c:pt idx="15">
                  <c:v>0.05</c:v>
                </c:pt>
                <c:pt idx="16">
                  <c:v>0.01</c:v>
                </c:pt>
                <c:pt idx="17">
                  <c:v>4.0000000000000001E-3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5F-4930-A4B2-73B4149E5F23}"/>
            </c:ext>
          </c:extLst>
        </c:ser>
        <c:ser>
          <c:idx val="1"/>
          <c:order val="1"/>
          <c:tx>
            <c:strRef>
              <c:f>'$ Portfolio Loss'!$AD$4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'$ Portfolio Loss'!$AD$6:$AD$27</c:f>
              <c:numCache>
                <c:formatCode>0.00%</c:formatCode>
                <c:ptCount val="22"/>
                <c:pt idx="0">
                  <c:v>9.3952518035567145E-5</c:v>
                </c:pt>
                <c:pt idx="1">
                  <c:v>1.2357157365705529E-4</c:v>
                </c:pt>
                <c:pt idx="2">
                  <c:v>1.6707355452294514E-4</c:v>
                </c:pt>
                <c:pt idx="3">
                  <c:v>2.3364751940624373E-4</c:v>
                </c:pt>
                <c:pt idx="4">
                  <c:v>3.408654100267583E-4</c:v>
                </c:pt>
                <c:pt idx="5">
                  <c:v>5.2515358366300724E-4</c:v>
                </c:pt>
                <c:pt idx="6">
                  <c:v>8.7033492051491468E-4</c:v>
                </c:pt>
                <c:pt idx="7">
                  <c:v>1.5984867555856042E-3</c:v>
                </c:pt>
                <c:pt idx="8">
                  <c:v>3.4295106747599391E-3</c:v>
                </c:pt>
                <c:pt idx="9">
                  <c:v>9.5651214153359421E-3</c:v>
                </c:pt>
                <c:pt idx="10">
                  <c:v>4.5181404067220932E-2</c:v>
                </c:pt>
                <c:pt idx="11">
                  <c:v>0.47516046110450827</c:v>
                </c:pt>
                <c:pt idx="12">
                  <c:v>0.40744775441619224</c:v>
                </c:pt>
                <c:pt idx="13">
                  <c:v>3.8614095739854887E-2</c:v>
                </c:pt>
                <c:pt idx="14">
                  <c:v>8.6822093898833459E-3</c:v>
                </c:pt>
                <c:pt idx="15">
                  <c:v>3.2001030691291088E-3</c:v>
                </c:pt>
                <c:pt idx="16">
                  <c:v>1.5147316837076392E-3</c:v>
                </c:pt>
                <c:pt idx="17">
                  <c:v>8.3286012949751942E-4</c:v>
                </c:pt>
                <c:pt idx="18">
                  <c:v>5.0596234723249058E-4</c:v>
                </c:pt>
                <c:pt idx="19">
                  <c:v>3.3004555316617319E-4</c:v>
                </c:pt>
                <c:pt idx="20">
                  <c:v>2.2709226531872654E-4</c:v>
                </c:pt>
                <c:pt idx="21">
                  <c:v>1.6287377993779784E-4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5F-4930-A4B2-73B4149E5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1540200"/>
        <c:axId val="2111543688"/>
      </c:barChart>
      <c:catAx>
        <c:axId val="21115402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543688"/>
        <c:crosses val="autoZero"/>
        <c:auto val="1"/>
        <c:lblAlgn val="ctr"/>
        <c:lblOffset val="100"/>
        <c:noMultiLvlLbl val="0"/>
      </c:catAx>
      <c:valAx>
        <c:axId val="2111543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540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'$ Portfolio VaR'!$M$4</c:f>
              <c:strCache>
                <c:ptCount val="1"/>
                <c:pt idx="0">
                  <c:v>Loss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'$ Portfolio VaR'!$O$5:$O$27</c:f>
              <c:numCache>
                <c:formatCode>General</c:formatCode>
                <c:ptCount val="23"/>
                <c:pt idx="0">
                  <c:v>-600</c:v>
                </c:pt>
                <c:pt idx="1">
                  <c:v>-550</c:v>
                </c:pt>
                <c:pt idx="2">
                  <c:v>-500</c:v>
                </c:pt>
                <c:pt idx="3">
                  <c:v>-450</c:v>
                </c:pt>
                <c:pt idx="4">
                  <c:v>-400</c:v>
                </c:pt>
                <c:pt idx="5">
                  <c:v>-350</c:v>
                </c:pt>
                <c:pt idx="6">
                  <c:v>-300</c:v>
                </c:pt>
                <c:pt idx="7">
                  <c:v>-250</c:v>
                </c:pt>
                <c:pt idx="8">
                  <c:v>-200</c:v>
                </c:pt>
                <c:pt idx="9">
                  <c:v>-150</c:v>
                </c:pt>
                <c:pt idx="10">
                  <c:v>-100</c:v>
                </c:pt>
                <c:pt idx="11">
                  <c:v>-50</c:v>
                </c:pt>
                <c:pt idx="12">
                  <c:v>0</c:v>
                </c:pt>
                <c:pt idx="13">
                  <c:v>50</c:v>
                </c:pt>
                <c:pt idx="14">
                  <c:v>100</c:v>
                </c:pt>
                <c:pt idx="15">
                  <c:v>150</c:v>
                </c:pt>
                <c:pt idx="16">
                  <c:v>200</c:v>
                </c:pt>
                <c:pt idx="17">
                  <c:v>250</c:v>
                </c:pt>
                <c:pt idx="18">
                  <c:v>300</c:v>
                </c:pt>
                <c:pt idx="19">
                  <c:v>350</c:v>
                </c:pt>
                <c:pt idx="20">
                  <c:v>400</c:v>
                </c:pt>
                <c:pt idx="21">
                  <c:v>450</c:v>
                </c:pt>
                <c:pt idx="22">
                  <c:v>500</c:v>
                </c:pt>
              </c:numCache>
            </c:numRef>
          </c:cat>
          <c:val>
            <c:numRef>
              <c:f>'$ Portfolio VaR'!$Q$5:$Q$27</c:f>
              <c:numCache>
                <c:formatCode>0.0%</c:formatCode>
                <c:ptCount val="23"/>
                <c:pt idx="0">
                  <c:v>0</c:v>
                </c:pt>
                <c:pt idx="1">
                  <c:v>2E-3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6.0000000000000001E-3</c:v>
                </c:pt>
                <c:pt idx="7">
                  <c:v>2E-3</c:v>
                </c:pt>
                <c:pt idx="8">
                  <c:v>6.0000000000000001E-3</c:v>
                </c:pt>
                <c:pt idx="9">
                  <c:v>0.02</c:v>
                </c:pt>
                <c:pt idx="10">
                  <c:v>6.4000000000000001E-2</c:v>
                </c:pt>
                <c:pt idx="11">
                  <c:v>0.154</c:v>
                </c:pt>
                <c:pt idx="12">
                  <c:v>0.28999999999999998</c:v>
                </c:pt>
                <c:pt idx="13">
                  <c:v>0.20200000000000001</c:v>
                </c:pt>
                <c:pt idx="14">
                  <c:v>0.112</c:v>
                </c:pt>
                <c:pt idx="15">
                  <c:v>8.5999999999999993E-2</c:v>
                </c:pt>
                <c:pt idx="16">
                  <c:v>0.04</c:v>
                </c:pt>
                <c:pt idx="17">
                  <c:v>6.0000000000000001E-3</c:v>
                </c:pt>
                <c:pt idx="18">
                  <c:v>6.0000000000000001E-3</c:v>
                </c:pt>
                <c:pt idx="19">
                  <c:v>2E-3</c:v>
                </c:pt>
                <c:pt idx="20">
                  <c:v>0</c:v>
                </c:pt>
                <c:pt idx="21">
                  <c:v>0</c:v>
                </c:pt>
                <c:pt idx="22">
                  <c:v>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38-436D-AA8F-7F057A98D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3275992"/>
        <c:axId val="2113594216"/>
      </c:barChart>
      <c:catAx>
        <c:axId val="2113275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594216"/>
        <c:crosses val="autoZero"/>
        <c:auto val="1"/>
        <c:lblAlgn val="ctr"/>
        <c:lblOffset val="100"/>
        <c:noMultiLvlLbl val="0"/>
      </c:catAx>
      <c:valAx>
        <c:axId val="2113594216"/>
        <c:scaling>
          <c:orientation val="minMax"/>
          <c:max val="0.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275992"/>
        <c:crosses val="autoZero"/>
        <c:crossBetween val="between"/>
        <c:majorUnit val="0.0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674620477002205E-2"/>
          <c:y val="5.0925925925925902E-2"/>
          <c:w val="0.78941160961746704"/>
          <c:h val="0.8416746864975209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'$ Portfolio VaR'!$B$22</c:f>
              <c:strCache>
                <c:ptCount val="1"/>
                <c:pt idx="0">
                  <c:v> $ VaR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'$ Portfolio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Portfolio VaR'!$B$23:$B$42</c:f>
              <c:numCache>
                <c:formatCode>0.00</c:formatCode>
                <c:ptCount val="20"/>
                <c:pt idx="0">
                  <c:v>196.96382663103071</c:v>
                </c:pt>
                <c:pt idx="1">
                  <c:v>155.89542405713226</c:v>
                </c:pt>
                <c:pt idx="2">
                  <c:v>149.55511986915934</c:v>
                </c:pt>
                <c:pt idx="3">
                  <c:v>142.52361130594082</c:v>
                </c:pt>
                <c:pt idx="4">
                  <c:v>132.94389701629018</c:v>
                </c:pt>
                <c:pt idx="5">
                  <c:v>129.94808580125098</c:v>
                </c:pt>
                <c:pt idx="6">
                  <c:v>122.22466341253107</c:v>
                </c:pt>
                <c:pt idx="7">
                  <c:v>120.07404964620034</c:v>
                </c:pt>
                <c:pt idx="8">
                  <c:v>117.72804759613484</c:v>
                </c:pt>
                <c:pt idx="9">
                  <c:v>109.73128310811953</c:v>
                </c:pt>
                <c:pt idx="10">
                  <c:v>107.75725166548226</c:v>
                </c:pt>
                <c:pt idx="11">
                  <c:v>104.25253582970373</c:v>
                </c:pt>
                <c:pt idx="12">
                  <c:v>99.539487292416354</c:v>
                </c:pt>
                <c:pt idx="13">
                  <c:v>96.861200030373169</c:v>
                </c:pt>
                <c:pt idx="14">
                  <c:v>91.242870247424619</c:v>
                </c:pt>
                <c:pt idx="15">
                  <c:v>86.993617099999625</c:v>
                </c:pt>
                <c:pt idx="16">
                  <c:v>85.07203760967478</c:v>
                </c:pt>
                <c:pt idx="17">
                  <c:v>83.411056298661606</c:v>
                </c:pt>
                <c:pt idx="18">
                  <c:v>82.543854124078678</c:v>
                </c:pt>
                <c:pt idx="19">
                  <c:v>82.130682785245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AD-45FD-95CD-732525D18774}"/>
            </c:ext>
          </c:extLst>
        </c:ser>
        <c:ser>
          <c:idx val="1"/>
          <c:order val="1"/>
          <c:tx>
            <c:strRef>
              <c:f>'$ Portfolio VaR'!$D$22</c:f>
              <c:strCache>
                <c:ptCount val="1"/>
                <c:pt idx="0">
                  <c:v>CI_Low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'$ Portfolio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Portfolio VaR'!$D$23:$D$42</c:f>
              <c:numCache>
                <c:formatCode>0.00</c:formatCode>
                <c:ptCount val="20"/>
                <c:pt idx="0">
                  <c:v>174.83587488728983</c:v>
                </c:pt>
                <c:pt idx="1">
                  <c:v>138.96020870770036</c:v>
                </c:pt>
                <c:pt idx="2">
                  <c:v>134.99487277445587</c:v>
                </c:pt>
                <c:pt idx="3">
                  <c:v>129.40689218286985</c:v>
                </c:pt>
                <c:pt idx="4">
                  <c:v>120.8259324420941</c:v>
                </c:pt>
                <c:pt idx="5">
                  <c:v>118.57508729744072</c:v>
                </c:pt>
                <c:pt idx="6">
                  <c:v>111.43540342622178</c:v>
                </c:pt>
                <c:pt idx="7">
                  <c:v>109.75841987933264</c:v>
                </c:pt>
                <c:pt idx="8">
                  <c:v>107.80682080651997</c:v>
                </c:pt>
                <c:pt idx="9">
                  <c:v>100.14515379060663</c:v>
                </c:pt>
                <c:pt idx="10">
                  <c:v>98.46042910658683</c:v>
                </c:pt>
                <c:pt idx="11">
                  <c:v>95.208770080830149</c:v>
                </c:pt>
                <c:pt idx="12">
                  <c:v>90.719484986387243</c:v>
                </c:pt>
                <c:pt idx="13">
                  <c:v>88.240877828709444</c:v>
                </c:pt>
                <c:pt idx="14">
                  <c:v>82.802135820160714</c:v>
                </c:pt>
                <c:pt idx="15">
                  <c:v>78.715494810997612</c:v>
                </c:pt>
                <c:pt idx="16">
                  <c:v>76.942026610806451</c:v>
                </c:pt>
                <c:pt idx="17">
                  <c:v>75.416649604365077</c:v>
                </c:pt>
                <c:pt idx="18">
                  <c:v>74.674171839941636</c:v>
                </c:pt>
                <c:pt idx="19">
                  <c:v>74.376187972626497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AD-45FD-95CD-732525D18774}"/>
            </c:ext>
          </c:extLst>
        </c:ser>
        <c:ser>
          <c:idx val="2"/>
          <c:order val="2"/>
          <c:tx>
            <c:strRef>
              <c:f>'$ Portfolio VaR'!$E$22</c:f>
              <c:strCache>
                <c:ptCount val="1"/>
                <c:pt idx="0">
                  <c:v>CI_UP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'$ Portfolio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Portfolio VaR'!$E$23:$E$42</c:f>
              <c:numCache>
                <c:formatCode>0.00</c:formatCode>
                <c:ptCount val="20"/>
                <c:pt idx="0">
                  <c:v>219.09177837477159</c:v>
                </c:pt>
                <c:pt idx="1">
                  <c:v>172.83063940656416</c:v>
                </c:pt>
                <c:pt idx="2">
                  <c:v>164.11536696386281</c:v>
                </c:pt>
                <c:pt idx="3">
                  <c:v>155.64033042901178</c:v>
                </c:pt>
                <c:pt idx="4">
                  <c:v>145.06186159048625</c:v>
                </c:pt>
                <c:pt idx="5">
                  <c:v>141.32108430506125</c:v>
                </c:pt>
                <c:pt idx="6">
                  <c:v>133.01392339884035</c:v>
                </c:pt>
                <c:pt idx="7">
                  <c:v>130.38967941306805</c:v>
                </c:pt>
                <c:pt idx="8">
                  <c:v>127.64927438574972</c:v>
                </c:pt>
                <c:pt idx="9">
                  <c:v>119.31741242563243</c:v>
                </c:pt>
                <c:pt idx="10">
                  <c:v>117.05407422437769</c:v>
                </c:pt>
                <c:pt idx="11">
                  <c:v>113.29630157857731</c:v>
                </c:pt>
                <c:pt idx="12">
                  <c:v>108.35948959844546</c:v>
                </c:pt>
                <c:pt idx="13">
                  <c:v>105.48152223203689</c:v>
                </c:pt>
                <c:pt idx="14">
                  <c:v>99.683604674688524</c:v>
                </c:pt>
                <c:pt idx="15">
                  <c:v>95.271739389001638</c:v>
                </c:pt>
                <c:pt idx="16">
                  <c:v>93.202048608543109</c:v>
                </c:pt>
                <c:pt idx="17">
                  <c:v>91.405462992958135</c:v>
                </c:pt>
                <c:pt idx="18">
                  <c:v>90.41353640821572</c:v>
                </c:pt>
                <c:pt idx="19">
                  <c:v>89.885177597863503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AD-45FD-95CD-732525D18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509832"/>
        <c:axId val="2111513608"/>
      </c:scatterChart>
      <c:valAx>
        <c:axId val="2111509832"/>
        <c:scaling>
          <c:orientation val="minMax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513608"/>
        <c:crosses val="autoZero"/>
        <c:crossBetween val="midCat"/>
      </c:valAx>
      <c:valAx>
        <c:axId val="2111513608"/>
        <c:scaling>
          <c:orientation val="minMax"/>
          <c:max val="35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509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674620477002205E-2"/>
          <c:y val="5.0925925925925902E-2"/>
          <c:w val="0.78941160961746704"/>
          <c:h val="0.8416746864975209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'$ Portfolio VaR'!$B$22</c:f>
              <c:strCache>
                <c:ptCount val="1"/>
                <c:pt idx="0">
                  <c:v> $ VaR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'$ Portfolio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Portfolio VaR'!$B$23:$B$42</c:f>
              <c:numCache>
                <c:formatCode>0.00</c:formatCode>
                <c:ptCount val="20"/>
                <c:pt idx="0">
                  <c:v>196.96382663103071</c:v>
                </c:pt>
                <c:pt idx="1">
                  <c:v>155.89542405713226</c:v>
                </c:pt>
                <c:pt idx="2">
                  <c:v>149.55511986915934</c:v>
                </c:pt>
                <c:pt idx="3">
                  <c:v>142.52361130594082</c:v>
                </c:pt>
                <c:pt idx="4">
                  <c:v>132.94389701629018</c:v>
                </c:pt>
                <c:pt idx="5">
                  <c:v>129.94808580125098</c:v>
                </c:pt>
                <c:pt idx="6">
                  <c:v>122.22466341253107</c:v>
                </c:pt>
                <c:pt idx="7">
                  <c:v>120.07404964620034</c:v>
                </c:pt>
                <c:pt idx="8">
                  <c:v>117.72804759613484</c:v>
                </c:pt>
                <c:pt idx="9">
                  <c:v>109.73128310811953</c:v>
                </c:pt>
                <c:pt idx="10">
                  <c:v>107.75725166548226</c:v>
                </c:pt>
                <c:pt idx="11">
                  <c:v>104.25253582970373</c:v>
                </c:pt>
                <c:pt idx="12">
                  <c:v>99.539487292416354</c:v>
                </c:pt>
                <c:pt idx="13">
                  <c:v>96.861200030373169</c:v>
                </c:pt>
                <c:pt idx="14">
                  <c:v>91.242870247424619</c:v>
                </c:pt>
                <c:pt idx="15">
                  <c:v>86.993617099999625</c:v>
                </c:pt>
                <c:pt idx="16">
                  <c:v>85.07203760967478</c:v>
                </c:pt>
                <c:pt idx="17">
                  <c:v>83.411056298661606</c:v>
                </c:pt>
                <c:pt idx="18">
                  <c:v>82.543854124078678</c:v>
                </c:pt>
                <c:pt idx="19">
                  <c:v>82.130682785245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41-427F-9B35-C8F68B1EDED3}"/>
            </c:ext>
          </c:extLst>
        </c:ser>
        <c:ser>
          <c:idx val="1"/>
          <c:order val="1"/>
          <c:tx>
            <c:strRef>
              <c:f>'$ Portfolio VaR'!$G$22</c:f>
              <c:strCache>
                <c:ptCount val="1"/>
                <c:pt idx="0">
                  <c:v>ES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'$ Portfolio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Portfolio VaR'!$G$23:$G$42</c:f>
              <c:numCache>
                <c:formatCode>0.00</c:formatCode>
                <c:ptCount val="20"/>
                <c:pt idx="0">
                  <c:v>232.3247502972963</c:v>
                </c:pt>
                <c:pt idx="1">
                  <c:v>190.67280901173035</c:v>
                </c:pt>
                <c:pt idx="2">
                  <c:v>179.89637365473573</c:v>
                </c:pt>
                <c:pt idx="3">
                  <c:v>169.857131844799</c:v>
                </c:pt>
                <c:pt idx="4">
                  <c:v>164.09452803978743</c:v>
                </c:pt>
                <c:pt idx="5">
                  <c:v>157.44453587042869</c:v>
                </c:pt>
                <c:pt idx="6">
                  <c:v>153.51084685939145</c:v>
                </c:pt>
                <c:pt idx="7">
                  <c:v>148.69853827819142</c:v>
                </c:pt>
                <c:pt idx="8">
                  <c:v>145.93616708624771</c:v>
                </c:pt>
                <c:pt idx="9">
                  <c:v>141.97958360508281</c:v>
                </c:pt>
                <c:pt idx="10">
                  <c:v>139.54193096193032</c:v>
                </c:pt>
                <c:pt idx="11">
                  <c:v>136.2094641033562</c:v>
                </c:pt>
                <c:pt idx="12">
                  <c:v>134.06398119775406</c:v>
                </c:pt>
                <c:pt idx="13">
                  <c:v>130.94905921049684</c:v>
                </c:pt>
                <c:pt idx="14">
                  <c:v>128.94618159073917</c:v>
                </c:pt>
                <c:pt idx="15">
                  <c:v>126.00605373327912</c:v>
                </c:pt>
                <c:pt idx="16">
                  <c:v>124.10575005635408</c:v>
                </c:pt>
                <c:pt idx="17">
                  <c:v>121.43028142275948</c:v>
                </c:pt>
                <c:pt idx="18">
                  <c:v>119.7861929263341</c:v>
                </c:pt>
                <c:pt idx="19">
                  <c:v>117.53768732702112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841-427F-9B35-C8F68B1ED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294328"/>
        <c:axId val="2111130792"/>
      </c:scatterChart>
      <c:valAx>
        <c:axId val="2111294328"/>
        <c:scaling>
          <c:orientation val="minMax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130792"/>
        <c:crosses val="autoZero"/>
        <c:crossBetween val="midCat"/>
      </c:valAx>
      <c:valAx>
        <c:axId val="2111130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294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674620477002205E-2"/>
          <c:y val="5.0925925925925902E-2"/>
          <c:w val="0.78941160961746704"/>
          <c:h val="0.8416746864975209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'$ Portfolio VaR'!$F$22</c:f>
              <c:strCache>
                <c:ptCount val="1"/>
                <c:pt idx="0">
                  <c:v>C_Int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'$ Portfolio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Portfolio VaR'!$F$23:$F$42</c:f>
              <c:numCache>
                <c:formatCode>0.00</c:formatCode>
                <c:ptCount val="20"/>
                <c:pt idx="0">
                  <c:v>44.25590348748176</c:v>
                </c:pt>
                <c:pt idx="1">
                  <c:v>33.8704306988638</c:v>
                </c:pt>
                <c:pt idx="2">
                  <c:v>29.120494189406941</c:v>
                </c:pt>
                <c:pt idx="3">
                  <c:v>26.23343824614193</c:v>
                </c:pt>
                <c:pt idx="4">
                  <c:v>24.235929148392145</c:v>
                </c:pt>
                <c:pt idx="5">
                  <c:v>22.745997007620531</c:v>
                </c:pt>
                <c:pt idx="6">
                  <c:v>21.578519972618565</c:v>
                </c:pt>
                <c:pt idx="7">
                  <c:v>20.631259533735417</c:v>
                </c:pt>
                <c:pt idx="8">
                  <c:v>19.842453579229755</c:v>
                </c:pt>
                <c:pt idx="9">
                  <c:v>19.172258635025798</c:v>
                </c:pt>
                <c:pt idx="10">
                  <c:v>18.593645117790857</c:v>
                </c:pt>
                <c:pt idx="11">
                  <c:v>18.087531497747165</c:v>
                </c:pt>
                <c:pt idx="12">
                  <c:v>17.64000461205822</c:v>
                </c:pt>
                <c:pt idx="13">
                  <c:v>17.240644403327451</c:v>
                </c:pt>
                <c:pt idx="14">
                  <c:v>16.88146885452781</c:v>
                </c:pt>
                <c:pt idx="15">
                  <c:v>16.556244578004026</c:v>
                </c:pt>
                <c:pt idx="16">
                  <c:v>16.260021997736658</c:v>
                </c:pt>
                <c:pt idx="17">
                  <c:v>15.988813388593059</c:v>
                </c:pt>
                <c:pt idx="18">
                  <c:v>15.739364568274084</c:v>
                </c:pt>
                <c:pt idx="19">
                  <c:v>15.508989625237007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0-469C-91C0-C99CF4A9A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160072"/>
        <c:axId val="2111163880"/>
      </c:scatterChart>
      <c:valAx>
        <c:axId val="2111160072"/>
        <c:scaling>
          <c:orientation val="minMax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163880"/>
        <c:crosses val="autoZero"/>
        <c:crossBetween val="midCat"/>
      </c:valAx>
      <c:valAx>
        <c:axId val="2111163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160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'$ Normal VaR'!$Q$4</c:f>
              <c:strCache>
                <c:ptCount val="1"/>
                <c:pt idx="0">
                  <c:v>Loss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'$ Normal VaR'!$S$5:$S$27</c:f>
              <c:numCache>
                <c:formatCode>General</c:formatCode>
                <c:ptCount val="23"/>
                <c:pt idx="0">
                  <c:v>-600</c:v>
                </c:pt>
                <c:pt idx="1">
                  <c:v>-550</c:v>
                </c:pt>
                <c:pt idx="2">
                  <c:v>-500</c:v>
                </c:pt>
                <c:pt idx="3">
                  <c:v>-450</c:v>
                </c:pt>
                <c:pt idx="4">
                  <c:v>-400</c:v>
                </c:pt>
                <c:pt idx="5">
                  <c:v>-350</c:v>
                </c:pt>
                <c:pt idx="6">
                  <c:v>-300</c:v>
                </c:pt>
                <c:pt idx="7">
                  <c:v>-250</c:v>
                </c:pt>
                <c:pt idx="8">
                  <c:v>-200</c:v>
                </c:pt>
                <c:pt idx="9">
                  <c:v>-150</c:v>
                </c:pt>
                <c:pt idx="10">
                  <c:v>-100</c:v>
                </c:pt>
                <c:pt idx="11">
                  <c:v>-50</c:v>
                </c:pt>
                <c:pt idx="12">
                  <c:v>0</c:v>
                </c:pt>
                <c:pt idx="13">
                  <c:v>50</c:v>
                </c:pt>
                <c:pt idx="14">
                  <c:v>100</c:v>
                </c:pt>
                <c:pt idx="15">
                  <c:v>150</c:v>
                </c:pt>
                <c:pt idx="16">
                  <c:v>200</c:v>
                </c:pt>
                <c:pt idx="17">
                  <c:v>250</c:v>
                </c:pt>
                <c:pt idx="18">
                  <c:v>300</c:v>
                </c:pt>
                <c:pt idx="19">
                  <c:v>350</c:v>
                </c:pt>
                <c:pt idx="20">
                  <c:v>400</c:v>
                </c:pt>
                <c:pt idx="21">
                  <c:v>450</c:v>
                </c:pt>
                <c:pt idx="22">
                  <c:v>500</c:v>
                </c:pt>
              </c:numCache>
            </c:numRef>
          </c:cat>
          <c:val>
            <c:numRef>
              <c:f>'$ Normal VaR'!$U$5:$U$27</c:f>
              <c:numCache>
                <c:formatCode>0.0%</c:formatCode>
                <c:ptCount val="23"/>
                <c:pt idx="0">
                  <c:v>0</c:v>
                </c:pt>
                <c:pt idx="1">
                  <c:v>2E-3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6.0000000000000001E-3</c:v>
                </c:pt>
                <c:pt idx="7">
                  <c:v>2E-3</c:v>
                </c:pt>
                <c:pt idx="8">
                  <c:v>6.0000000000000001E-3</c:v>
                </c:pt>
                <c:pt idx="9">
                  <c:v>0.02</c:v>
                </c:pt>
                <c:pt idx="10">
                  <c:v>6.4000000000000001E-2</c:v>
                </c:pt>
                <c:pt idx="11">
                  <c:v>0.154</c:v>
                </c:pt>
                <c:pt idx="12">
                  <c:v>0.28999999999999998</c:v>
                </c:pt>
                <c:pt idx="13">
                  <c:v>0.20200000000000001</c:v>
                </c:pt>
                <c:pt idx="14">
                  <c:v>0.112</c:v>
                </c:pt>
                <c:pt idx="15">
                  <c:v>8.5999999999999993E-2</c:v>
                </c:pt>
                <c:pt idx="16">
                  <c:v>0.04</c:v>
                </c:pt>
                <c:pt idx="17">
                  <c:v>6.0000000000000001E-3</c:v>
                </c:pt>
                <c:pt idx="18">
                  <c:v>6.0000000000000001E-3</c:v>
                </c:pt>
                <c:pt idx="19">
                  <c:v>2E-3</c:v>
                </c:pt>
                <c:pt idx="20">
                  <c:v>0</c:v>
                </c:pt>
                <c:pt idx="21">
                  <c:v>0</c:v>
                </c:pt>
                <c:pt idx="22">
                  <c:v>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B4-4835-89DD-4B6995434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5909976"/>
        <c:axId val="2115913496"/>
      </c:barChart>
      <c:catAx>
        <c:axId val="2115909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913496"/>
        <c:crosses val="autoZero"/>
        <c:auto val="1"/>
        <c:lblAlgn val="ctr"/>
        <c:lblOffset val="100"/>
        <c:noMultiLvlLbl val="0"/>
      </c:catAx>
      <c:valAx>
        <c:axId val="2115913496"/>
        <c:scaling>
          <c:orientation val="minMax"/>
          <c:max val="0.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909976"/>
        <c:crosses val="autoZero"/>
        <c:crossBetween val="between"/>
        <c:majorUnit val="0.0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674620477002205E-2"/>
          <c:y val="5.0925925925925902E-2"/>
          <c:w val="0.78941160961746704"/>
          <c:h val="0.8416746864975209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'$ Normal VaR'!$B$22</c:f>
              <c:strCache>
                <c:ptCount val="1"/>
                <c:pt idx="0">
                  <c:v> $ VaR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'$ Normal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Normal VaR'!$B$23:$B$42</c:f>
              <c:numCache>
                <c:formatCode>0.00</c:formatCode>
                <c:ptCount val="20"/>
                <c:pt idx="0">
                  <c:v>196.96382663103071</c:v>
                </c:pt>
                <c:pt idx="1">
                  <c:v>155.89542405713226</c:v>
                </c:pt>
                <c:pt idx="2">
                  <c:v>149.55511986915934</c:v>
                </c:pt>
                <c:pt idx="3">
                  <c:v>142.52361130594082</c:v>
                </c:pt>
                <c:pt idx="4">
                  <c:v>132.94389701629018</c:v>
                </c:pt>
                <c:pt idx="5">
                  <c:v>129.94808580125098</c:v>
                </c:pt>
                <c:pt idx="6">
                  <c:v>122.22466341253107</c:v>
                </c:pt>
                <c:pt idx="7">
                  <c:v>120.07404964620034</c:v>
                </c:pt>
                <c:pt idx="8">
                  <c:v>117.72804759613484</c:v>
                </c:pt>
                <c:pt idx="9">
                  <c:v>109.73128310811953</c:v>
                </c:pt>
                <c:pt idx="10">
                  <c:v>107.75725166548226</c:v>
                </c:pt>
                <c:pt idx="11">
                  <c:v>104.25253582970373</c:v>
                </c:pt>
                <c:pt idx="12">
                  <c:v>99.539487292416354</c:v>
                </c:pt>
                <c:pt idx="13">
                  <c:v>96.861200030373169</c:v>
                </c:pt>
                <c:pt idx="14">
                  <c:v>91.242870247424619</c:v>
                </c:pt>
                <c:pt idx="15">
                  <c:v>86.993617099999625</c:v>
                </c:pt>
                <c:pt idx="16">
                  <c:v>85.07203760967478</c:v>
                </c:pt>
                <c:pt idx="17">
                  <c:v>83.411056298661606</c:v>
                </c:pt>
                <c:pt idx="18">
                  <c:v>82.543854124078678</c:v>
                </c:pt>
                <c:pt idx="19">
                  <c:v>82.130682785245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53A-4995-97C9-F1201FDB041D}"/>
            </c:ext>
          </c:extLst>
        </c:ser>
        <c:ser>
          <c:idx val="1"/>
          <c:order val="1"/>
          <c:tx>
            <c:strRef>
              <c:f>'$ Normal VaR'!$I$22</c:f>
              <c:strCache>
                <c:ptCount val="1"/>
                <c:pt idx="0">
                  <c:v>N VaR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'$ Normal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Normal VaR'!$I$23:$I$42</c:f>
              <c:numCache>
                <c:formatCode>0.00</c:formatCode>
                <c:ptCount val="20"/>
                <c:pt idx="0">
                  <c:v>156.8329917951209</c:v>
                </c:pt>
                <c:pt idx="1">
                  <c:v>141.44786013007129</c:v>
                </c:pt>
                <c:pt idx="2">
                  <c:v>131.81170339739859</c:v>
                </c:pt>
                <c:pt idx="3">
                  <c:v>124.63710611092974</c:v>
                </c:pt>
                <c:pt idx="4">
                  <c:v>118.85353561045609</c:v>
                </c:pt>
                <c:pt idx="5">
                  <c:v>113.97122165580592</c:v>
                </c:pt>
                <c:pt idx="6">
                  <c:v>109.72331819623349</c:v>
                </c:pt>
                <c:pt idx="7">
                  <c:v>105.94769225021143</c:v>
                </c:pt>
                <c:pt idx="8">
                  <c:v>102.53814503501428</c:v>
                </c:pt>
                <c:pt idx="9">
                  <c:v>99.421170042883503</c:v>
                </c:pt>
                <c:pt idx="10">
                  <c:v>96.5436903927679</c:v>
                </c:pt>
                <c:pt idx="11">
                  <c:v>93.866074575856103</c:v>
                </c:pt>
                <c:pt idx="12">
                  <c:v>91.357913675359129</c:v>
                </c:pt>
                <c:pt idx="13">
                  <c:v>88.995342569968258</c:v>
                </c:pt>
                <c:pt idx="14">
                  <c:v>86.759272080213506</c:v>
                </c:pt>
                <c:pt idx="15">
                  <c:v>84.634182997488153</c:v>
                </c:pt>
                <c:pt idx="16">
                  <c:v>82.607279903139499</c:v>
                </c:pt>
                <c:pt idx="17">
                  <c:v>80.667882851503023</c:v>
                </c:pt>
                <c:pt idx="18">
                  <c:v>78.806980712827013</c:v>
                </c:pt>
                <c:pt idx="19">
                  <c:v>77.016897067735727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53A-4995-97C9-F1201FDB0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5944616"/>
        <c:axId val="2115948392"/>
      </c:scatterChart>
      <c:valAx>
        <c:axId val="2115944616"/>
        <c:scaling>
          <c:orientation val="minMax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948392"/>
        <c:crosses val="autoZero"/>
        <c:crossBetween val="midCat"/>
      </c:valAx>
      <c:valAx>
        <c:axId val="2115948392"/>
        <c:scaling>
          <c:orientation val="minMax"/>
          <c:max val="35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944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674620477002205E-2"/>
          <c:y val="5.0925925925925902E-2"/>
          <c:w val="0.78941160961746704"/>
          <c:h val="0.8416746864975209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'$ Normal VaR'!$G$22</c:f>
              <c:strCache>
                <c:ptCount val="1"/>
                <c:pt idx="0">
                  <c:v>ES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'$ Normal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Normal VaR'!$G$23:$G$42</c:f>
              <c:numCache>
                <c:formatCode>0.00</c:formatCode>
                <c:ptCount val="20"/>
                <c:pt idx="0">
                  <c:v>232.3247502972963</c:v>
                </c:pt>
                <c:pt idx="1">
                  <c:v>190.67280901173035</c:v>
                </c:pt>
                <c:pt idx="2">
                  <c:v>179.89637365473573</c:v>
                </c:pt>
                <c:pt idx="3">
                  <c:v>169.857131844799</c:v>
                </c:pt>
                <c:pt idx="4">
                  <c:v>164.09452803978743</c:v>
                </c:pt>
                <c:pt idx="5">
                  <c:v>157.44453587042869</c:v>
                </c:pt>
                <c:pt idx="6">
                  <c:v>153.51084685939145</c:v>
                </c:pt>
                <c:pt idx="7">
                  <c:v>148.69853827819142</c:v>
                </c:pt>
                <c:pt idx="8">
                  <c:v>145.93616708624771</c:v>
                </c:pt>
                <c:pt idx="9">
                  <c:v>141.97958360508281</c:v>
                </c:pt>
                <c:pt idx="10">
                  <c:v>139.54193096193032</c:v>
                </c:pt>
                <c:pt idx="11">
                  <c:v>136.2094641033562</c:v>
                </c:pt>
                <c:pt idx="12">
                  <c:v>134.06398119775406</c:v>
                </c:pt>
                <c:pt idx="13">
                  <c:v>130.94905921049684</c:v>
                </c:pt>
                <c:pt idx="14">
                  <c:v>128.94618159073917</c:v>
                </c:pt>
                <c:pt idx="15">
                  <c:v>126.00605373327912</c:v>
                </c:pt>
                <c:pt idx="16">
                  <c:v>124.10575005635408</c:v>
                </c:pt>
                <c:pt idx="17">
                  <c:v>121.43028142275948</c:v>
                </c:pt>
                <c:pt idx="18">
                  <c:v>119.7861929263341</c:v>
                </c:pt>
                <c:pt idx="19">
                  <c:v>117.53768732702112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3E-4697-A8BC-99E8D61F0A87}"/>
            </c:ext>
          </c:extLst>
        </c:ser>
        <c:ser>
          <c:idx val="0"/>
          <c:order val="1"/>
          <c:tx>
            <c:strRef>
              <c:f>'$ Normal VaR'!$J$22</c:f>
              <c:strCache>
                <c:ptCount val="1"/>
                <c:pt idx="0">
                  <c:v>N ES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'$ Normal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Normal VaR'!$J$23:$J$42</c:f>
              <c:numCache>
                <c:formatCode>0.00</c:formatCode>
                <c:ptCount val="20"/>
                <c:pt idx="0">
                  <c:v>176.32757738483318</c:v>
                </c:pt>
                <c:pt idx="1">
                  <c:v>162.34522056702423</c:v>
                </c:pt>
                <c:pt idx="2">
                  <c:v>153.67964342071676</c:v>
                </c:pt>
                <c:pt idx="3">
                  <c:v>147.27916163061204</c:v>
                </c:pt>
                <c:pt idx="4">
                  <c:v>142.15426711379075</c:v>
                </c:pt>
                <c:pt idx="5">
                  <c:v>137.85364886433092</c:v>
                </c:pt>
                <c:pt idx="6">
                  <c:v>134.13202298568009</c:v>
                </c:pt>
                <c:pt idx="7">
                  <c:v>130.84067041079709</c:v>
                </c:pt>
                <c:pt idx="8">
                  <c:v>127.88235794155278</c:v>
                </c:pt>
                <c:pt idx="9">
                  <c:v>125.18989568703192</c:v>
                </c:pt>
                <c:pt idx="10">
                  <c:v>122.71484066993057</c:v>
                </c:pt>
                <c:pt idx="11">
                  <c:v>120.42107153301779</c:v>
                </c:pt>
                <c:pt idx="12">
                  <c:v>118.28090845665622</c:v>
                </c:pt>
                <c:pt idx="13">
                  <c:v>116.27265452344324</c:v>
                </c:pt>
                <c:pt idx="14">
                  <c:v>114.37897484951174</c:v>
                </c:pt>
                <c:pt idx="15">
                  <c:v>112.5857919582819</c:v>
                </c:pt>
                <c:pt idx="16">
                  <c:v>110.88151141787019</c:v>
                </c:pt>
                <c:pt idx="17">
                  <c:v>109.25646563460826</c:v>
                </c:pt>
                <c:pt idx="18">
                  <c:v>107.70250579218427</c:v>
                </c:pt>
                <c:pt idx="19">
                  <c:v>106.21269685406598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3E-4697-A8BC-99E8D61F0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210728"/>
        <c:axId val="2111097464"/>
      </c:scatterChart>
      <c:valAx>
        <c:axId val="2111210728"/>
        <c:scaling>
          <c:orientation val="minMax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097464"/>
        <c:crosses val="autoZero"/>
        <c:crossBetween val="midCat"/>
      </c:valAx>
      <c:valAx>
        <c:axId val="2111097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210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674620477002205E-2"/>
          <c:y val="5.0925925925925902E-2"/>
          <c:w val="0.78941160961746704"/>
          <c:h val="0.8416746864975209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'$ Normal VaR'!$H$22</c:f>
              <c:strCache>
                <c:ptCount val="1"/>
                <c:pt idx="0">
                  <c:v>VaR/ ES 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'$ Normal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Normal VaR'!$H$23:$H$42</c:f>
              <c:numCache>
                <c:formatCode>0.00</c:formatCode>
                <c:ptCount val="20"/>
                <c:pt idx="0">
                  <c:v>0.84779527957733436</c:v>
                </c:pt>
                <c:pt idx="1">
                  <c:v>0.81760700366847505</c:v>
                </c:pt>
                <c:pt idx="2">
                  <c:v>0.83134038130302434</c:v>
                </c:pt>
                <c:pt idx="3">
                  <c:v>0.8390793472020166</c:v>
                </c:pt>
                <c:pt idx="4">
                  <c:v>0.81016654610235228</c:v>
                </c:pt>
                <c:pt idx="5">
                  <c:v>0.82535786385240884</c:v>
                </c:pt>
                <c:pt idx="6">
                  <c:v>0.79619561687704699</c:v>
                </c:pt>
                <c:pt idx="7">
                  <c:v>0.80749986540930752</c:v>
                </c:pt>
                <c:pt idx="8">
                  <c:v>0.80670919311289047</c:v>
                </c:pt>
                <c:pt idx="9">
                  <c:v>0.77286663562373759</c:v>
                </c:pt>
                <c:pt idx="10">
                  <c:v>0.77222130239032216</c:v>
                </c:pt>
                <c:pt idx="11">
                  <c:v>0.76538393654200532</c:v>
                </c:pt>
                <c:pt idx="12">
                  <c:v>0.74247748278926928</c:v>
                </c:pt>
                <c:pt idx="13">
                  <c:v>0.73968610858571793</c:v>
                </c:pt>
                <c:pt idx="14">
                  <c:v>0.70760428204860948</c:v>
                </c:pt>
                <c:pt idx="15">
                  <c:v>0.6903923622919077</c:v>
                </c:pt>
                <c:pt idx="16">
                  <c:v>0.68548022610592318</c:v>
                </c:pt>
                <c:pt idx="17">
                  <c:v>0.68690490807862037</c:v>
                </c:pt>
                <c:pt idx="18">
                  <c:v>0.68909322608525803</c:v>
                </c:pt>
                <c:pt idx="19">
                  <c:v>0.6987604116859607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91-4FB4-AF61-72EA84979DA7}"/>
            </c:ext>
          </c:extLst>
        </c:ser>
        <c:ser>
          <c:idx val="1"/>
          <c:order val="1"/>
          <c:tx>
            <c:strRef>
              <c:f>'$ Normal VaR'!$K$22</c:f>
              <c:strCache>
                <c:ptCount val="1"/>
                <c:pt idx="0">
                  <c:v>N Var/N ES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'$ Normal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Normal VaR'!$K$23:$K$42</c:f>
              <c:numCache>
                <c:formatCode>0.00</c:formatCode>
                <c:ptCount val="20"/>
                <c:pt idx="0">
                  <c:v>0.88944108528658827</c:v>
                </c:pt>
                <c:pt idx="1">
                  <c:v>0.8712782528246622</c:v>
                </c:pt>
                <c:pt idx="2">
                  <c:v>0.85770438077181099</c:v>
                </c:pt>
                <c:pt idx="3">
                  <c:v>0.84626436442875475</c:v>
                </c:pt>
                <c:pt idx="4">
                  <c:v>0.83608841312738758</c:v>
                </c:pt>
                <c:pt idx="5">
                  <c:v>0.82675520448480144</c:v>
                </c:pt>
                <c:pt idx="6">
                  <c:v>0.8180247770358875</c:v>
                </c:pt>
                <c:pt idx="7">
                  <c:v>0.80974586814306426</c:v>
                </c:pt>
                <c:pt idx="8">
                  <c:v>0.80181619017283212</c:v>
                </c:pt>
                <c:pt idx="9">
                  <c:v>0.79416289547385788</c:v>
                </c:pt>
                <c:pt idx="10">
                  <c:v>0.78673198665876187</c:v>
                </c:pt>
                <c:pt idx="11">
                  <c:v>0.77948214030066421</c:v>
                </c:pt>
                <c:pt idx="12">
                  <c:v>0.77238089280348265</c:v>
                </c:pt>
                <c:pt idx="13">
                  <c:v>0.76540217418038525</c:v>
                </c:pt>
                <c:pt idx="14">
                  <c:v>0.75852465188084228</c:v>
                </c:pt>
                <c:pt idx="15">
                  <c:v>0.75173058274394799</c:v>
                </c:pt>
                <c:pt idx="16">
                  <c:v>0.74500499539390408</c:v>
                </c:pt>
                <c:pt idx="17">
                  <c:v>0.73833509424773602</c:v>
                </c:pt>
                <c:pt idx="18">
                  <c:v>0.73170981615681085</c:v>
                </c:pt>
                <c:pt idx="19">
                  <c:v>0.725119494645309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B91-4FB4-AF61-72EA84979D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214792"/>
        <c:axId val="2111218568"/>
      </c:scatterChart>
      <c:valAx>
        <c:axId val="2111214792"/>
        <c:scaling>
          <c:orientation val="minMax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218568"/>
        <c:crosses val="autoZero"/>
        <c:crossBetween val="midCat"/>
      </c:valAx>
      <c:valAx>
        <c:axId val="2111218568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214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'$ t VaR'!$S$4</c:f>
              <c:strCache>
                <c:ptCount val="1"/>
                <c:pt idx="0">
                  <c:v>Loss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'$ t VaR'!$U$5:$U$27</c:f>
              <c:numCache>
                <c:formatCode>General</c:formatCode>
                <c:ptCount val="23"/>
                <c:pt idx="0">
                  <c:v>-600</c:v>
                </c:pt>
                <c:pt idx="1">
                  <c:v>-550</c:v>
                </c:pt>
                <c:pt idx="2">
                  <c:v>-500</c:v>
                </c:pt>
                <c:pt idx="3">
                  <c:v>-450</c:v>
                </c:pt>
                <c:pt idx="4">
                  <c:v>-400</c:v>
                </c:pt>
                <c:pt idx="5">
                  <c:v>-350</c:v>
                </c:pt>
                <c:pt idx="6">
                  <c:v>-300</c:v>
                </c:pt>
                <c:pt idx="7">
                  <c:v>-250</c:v>
                </c:pt>
                <c:pt idx="8">
                  <c:v>-200</c:v>
                </c:pt>
                <c:pt idx="9">
                  <c:v>-150</c:v>
                </c:pt>
                <c:pt idx="10">
                  <c:v>-100</c:v>
                </c:pt>
                <c:pt idx="11">
                  <c:v>-50</c:v>
                </c:pt>
                <c:pt idx="12">
                  <c:v>0</c:v>
                </c:pt>
                <c:pt idx="13">
                  <c:v>50</c:v>
                </c:pt>
                <c:pt idx="14">
                  <c:v>100</c:v>
                </c:pt>
                <c:pt idx="15">
                  <c:v>150</c:v>
                </c:pt>
                <c:pt idx="16">
                  <c:v>200</c:v>
                </c:pt>
                <c:pt idx="17">
                  <c:v>250</c:v>
                </c:pt>
                <c:pt idx="18">
                  <c:v>300</c:v>
                </c:pt>
                <c:pt idx="19">
                  <c:v>350</c:v>
                </c:pt>
                <c:pt idx="20">
                  <c:v>400</c:v>
                </c:pt>
                <c:pt idx="21">
                  <c:v>450</c:v>
                </c:pt>
                <c:pt idx="22">
                  <c:v>500</c:v>
                </c:pt>
              </c:numCache>
            </c:numRef>
          </c:cat>
          <c:val>
            <c:numRef>
              <c:f>'$ t VaR'!$W$5:$W$27</c:f>
              <c:numCache>
                <c:formatCode>0.0%</c:formatCode>
                <c:ptCount val="23"/>
                <c:pt idx="0">
                  <c:v>0</c:v>
                </c:pt>
                <c:pt idx="1">
                  <c:v>2E-3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6.0000000000000001E-3</c:v>
                </c:pt>
                <c:pt idx="7">
                  <c:v>2E-3</c:v>
                </c:pt>
                <c:pt idx="8">
                  <c:v>6.0000000000000001E-3</c:v>
                </c:pt>
                <c:pt idx="9">
                  <c:v>0.02</c:v>
                </c:pt>
                <c:pt idx="10">
                  <c:v>6.4000000000000001E-2</c:v>
                </c:pt>
                <c:pt idx="11">
                  <c:v>0.154</c:v>
                </c:pt>
                <c:pt idx="12">
                  <c:v>0.28999999999999998</c:v>
                </c:pt>
                <c:pt idx="13">
                  <c:v>0.20200000000000001</c:v>
                </c:pt>
                <c:pt idx="14">
                  <c:v>0.112</c:v>
                </c:pt>
                <c:pt idx="15">
                  <c:v>8.5999999999999993E-2</c:v>
                </c:pt>
                <c:pt idx="16">
                  <c:v>0.04</c:v>
                </c:pt>
                <c:pt idx="17">
                  <c:v>6.0000000000000001E-3</c:v>
                </c:pt>
                <c:pt idx="18">
                  <c:v>6.0000000000000001E-3</c:v>
                </c:pt>
                <c:pt idx="19">
                  <c:v>2E-3</c:v>
                </c:pt>
                <c:pt idx="20">
                  <c:v>0</c:v>
                </c:pt>
                <c:pt idx="21">
                  <c:v>0</c:v>
                </c:pt>
                <c:pt idx="22">
                  <c:v>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E3-4A97-B911-ECD2E433E8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1606408"/>
        <c:axId val="2111609928"/>
      </c:barChart>
      <c:catAx>
        <c:axId val="2111606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609928"/>
        <c:crosses val="autoZero"/>
        <c:auto val="1"/>
        <c:lblAlgn val="ctr"/>
        <c:lblOffset val="100"/>
        <c:noMultiLvlLbl val="0"/>
      </c:catAx>
      <c:valAx>
        <c:axId val="2111609928"/>
        <c:scaling>
          <c:orientation val="minMax"/>
          <c:max val="0.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606408"/>
        <c:crosses val="autoZero"/>
        <c:crossBetween val="between"/>
        <c:majorUnit val="0.0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674620477002205E-2"/>
          <c:y val="5.0925925925925902E-2"/>
          <c:w val="0.78941160961746704"/>
          <c:h val="0.8416746864975209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'$ t VaR'!$B$22</c:f>
              <c:strCache>
                <c:ptCount val="1"/>
                <c:pt idx="0">
                  <c:v> $ VaR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'$ t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t VaR'!$B$23:$B$42</c:f>
              <c:numCache>
                <c:formatCode>0.00</c:formatCode>
                <c:ptCount val="20"/>
                <c:pt idx="0">
                  <c:v>196.96382663103071</c:v>
                </c:pt>
                <c:pt idx="1">
                  <c:v>155.89542405713226</c:v>
                </c:pt>
                <c:pt idx="2">
                  <c:v>149.55511986915934</c:v>
                </c:pt>
                <c:pt idx="3">
                  <c:v>142.52361130594082</c:v>
                </c:pt>
                <c:pt idx="4">
                  <c:v>132.94389701629018</c:v>
                </c:pt>
                <c:pt idx="5">
                  <c:v>129.94808580125098</c:v>
                </c:pt>
                <c:pt idx="6">
                  <c:v>122.22466341253107</c:v>
                </c:pt>
                <c:pt idx="7">
                  <c:v>120.07404964620034</c:v>
                </c:pt>
                <c:pt idx="8">
                  <c:v>117.72804759613484</c:v>
                </c:pt>
                <c:pt idx="9">
                  <c:v>109.73128310811953</c:v>
                </c:pt>
                <c:pt idx="10">
                  <c:v>107.75725166548226</c:v>
                </c:pt>
                <c:pt idx="11">
                  <c:v>104.25253582970373</c:v>
                </c:pt>
                <c:pt idx="12">
                  <c:v>99.539487292416354</c:v>
                </c:pt>
                <c:pt idx="13">
                  <c:v>96.861200030373169</c:v>
                </c:pt>
                <c:pt idx="14">
                  <c:v>91.242870247424619</c:v>
                </c:pt>
                <c:pt idx="15">
                  <c:v>86.993617099999625</c:v>
                </c:pt>
                <c:pt idx="16">
                  <c:v>85.07203760967478</c:v>
                </c:pt>
                <c:pt idx="17">
                  <c:v>83.411056298661606</c:v>
                </c:pt>
                <c:pt idx="18">
                  <c:v>82.543854124078678</c:v>
                </c:pt>
                <c:pt idx="19">
                  <c:v>82.130682785245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23-4CB1-91EE-F28953AAA58D}"/>
            </c:ext>
          </c:extLst>
        </c:ser>
        <c:ser>
          <c:idx val="1"/>
          <c:order val="1"/>
          <c:tx>
            <c:strRef>
              <c:f>'$ t VaR'!$J$22</c:f>
              <c:strCache>
                <c:ptCount val="1"/>
                <c:pt idx="0">
                  <c:v>t VaR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'$ t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t VaR'!$J$23:$J$42</c:f>
              <c:numCache>
                <c:formatCode>0.00</c:formatCode>
                <c:ptCount val="20"/>
                <c:pt idx="0">
                  <c:v>335.88381267988223</c:v>
                </c:pt>
                <c:pt idx="1">
                  <c:v>235.0987958013468</c:v>
                </c:pt>
                <c:pt idx="2">
                  <c:v>190.09792918923452</c:v>
                </c:pt>
                <c:pt idx="3">
                  <c:v>163.06407470010808</c:v>
                </c:pt>
                <c:pt idx="4">
                  <c:v>144.47241789848894</c:v>
                </c:pt>
                <c:pt idx="5">
                  <c:v>130.64212383667814</c:v>
                </c:pt>
                <c:pt idx="6">
                  <c:v>119.80950738981048</c:v>
                </c:pt>
                <c:pt idx="7">
                  <c:v>111.00928738310525</c:v>
                </c:pt>
                <c:pt idx="8">
                  <c:v>103.66265647930625</c:v>
                </c:pt>
                <c:pt idx="9">
                  <c:v>97.398550703585812</c:v>
                </c:pt>
                <c:pt idx="10">
                  <c:v>91.966590702435113</c:v>
                </c:pt>
                <c:pt idx="11">
                  <c:v>87.19084343886955</c:v>
                </c:pt>
                <c:pt idx="12">
                  <c:v>82.943551620134116</c:v>
                </c:pt>
                <c:pt idx="13">
                  <c:v>79.129377616035654</c:v>
                </c:pt>
                <c:pt idx="14">
                  <c:v>75.675523582380563</c:v>
                </c:pt>
                <c:pt idx="15">
                  <c:v>72.525301084252177</c:v>
                </c:pt>
                <c:pt idx="16">
                  <c:v>69.633811143255755</c:v>
                </c:pt>
                <c:pt idx="17">
                  <c:v>66.964961821335734</c:v>
                </c:pt>
                <c:pt idx="18">
                  <c:v>64.489359740731928</c:v>
                </c:pt>
                <c:pt idx="19">
                  <c:v>62.182788027292368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23-4CB1-91EE-F28953AAA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648344"/>
        <c:axId val="2111652120"/>
      </c:scatterChart>
      <c:valAx>
        <c:axId val="2111648344"/>
        <c:scaling>
          <c:orientation val="minMax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652120"/>
        <c:crosses val="autoZero"/>
        <c:crossBetween val="midCat"/>
      </c:valAx>
      <c:valAx>
        <c:axId val="2111652120"/>
        <c:scaling>
          <c:orientation val="minMax"/>
          <c:max val="35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648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674620477002205E-2"/>
          <c:y val="5.0925925925925902E-2"/>
          <c:w val="0.78941160961746704"/>
          <c:h val="0.8416746864975209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'$ t VaR'!$G$22</c:f>
              <c:strCache>
                <c:ptCount val="1"/>
                <c:pt idx="0">
                  <c:v>ES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'$ t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t VaR'!$G$23:$G$42</c:f>
              <c:numCache>
                <c:formatCode>0.00</c:formatCode>
                <c:ptCount val="20"/>
                <c:pt idx="0">
                  <c:v>232.3247502972963</c:v>
                </c:pt>
                <c:pt idx="1">
                  <c:v>190.67280901173035</c:v>
                </c:pt>
                <c:pt idx="2">
                  <c:v>179.89637365473573</c:v>
                </c:pt>
                <c:pt idx="3">
                  <c:v>169.857131844799</c:v>
                </c:pt>
                <c:pt idx="4">
                  <c:v>164.09452803978743</c:v>
                </c:pt>
                <c:pt idx="5">
                  <c:v>157.44453587042869</c:v>
                </c:pt>
                <c:pt idx="6">
                  <c:v>153.51084685939145</c:v>
                </c:pt>
                <c:pt idx="7">
                  <c:v>148.69853827819142</c:v>
                </c:pt>
                <c:pt idx="8">
                  <c:v>145.93616708624771</c:v>
                </c:pt>
                <c:pt idx="9">
                  <c:v>141.97958360508281</c:v>
                </c:pt>
                <c:pt idx="10">
                  <c:v>139.54193096193032</c:v>
                </c:pt>
                <c:pt idx="11">
                  <c:v>136.2094641033562</c:v>
                </c:pt>
                <c:pt idx="12">
                  <c:v>134.06398119775406</c:v>
                </c:pt>
                <c:pt idx="13">
                  <c:v>130.94905921049684</c:v>
                </c:pt>
                <c:pt idx="14">
                  <c:v>128.94618159073917</c:v>
                </c:pt>
                <c:pt idx="15">
                  <c:v>126.00605373327912</c:v>
                </c:pt>
                <c:pt idx="16">
                  <c:v>124.10575005635408</c:v>
                </c:pt>
                <c:pt idx="17">
                  <c:v>121.43028142275948</c:v>
                </c:pt>
                <c:pt idx="18">
                  <c:v>119.7861929263341</c:v>
                </c:pt>
                <c:pt idx="19">
                  <c:v>117.53768732702112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37-4161-A08F-BCE7C8B0D55C}"/>
            </c:ext>
          </c:extLst>
        </c:ser>
        <c:ser>
          <c:idx val="0"/>
          <c:order val="1"/>
          <c:tx>
            <c:strRef>
              <c:f>'$ t VaR'!$L$22</c:f>
              <c:strCache>
                <c:ptCount val="1"/>
                <c:pt idx="0">
                  <c:v>t ES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'$ t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t VaR'!$L$23:$L$42</c:f>
              <c:numCache>
                <c:formatCode>0.00</c:formatCode>
                <c:ptCount val="20"/>
                <c:pt idx="0">
                  <c:v>7257.6205643012636</c:v>
                </c:pt>
                <c:pt idx="1">
                  <c:v>3572.939352803593</c:v>
                </c:pt>
                <c:pt idx="2">
                  <c:v>2344.352394954532</c:v>
                </c:pt>
                <c:pt idx="3">
                  <c:v>1729.7894329757196</c:v>
                </c:pt>
                <c:pt idx="4">
                  <c:v>1360.8365654038512</c:v>
                </c:pt>
                <c:pt idx="5">
                  <c:v>1114.689289463776</c:v>
                </c:pt>
                <c:pt idx="6">
                  <c:v>938.71722154286022</c:v>
                </c:pt>
                <c:pt idx="7">
                  <c:v>806.60527742613556</c:v>
                </c:pt>
                <c:pt idx="8">
                  <c:v>703.73406580949859</c:v>
                </c:pt>
                <c:pt idx="9">
                  <c:v>621.33204579396738</c:v>
                </c:pt>
                <c:pt idx="10">
                  <c:v>553.81741673412228</c:v>
                </c:pt>
                <c:pt idx="11">
                  <c:v>497.46906323134141</c:v>
                </c:pt>
                <c:pt idx="12">
                  <c:v>449.71091019088874</c:v>
                </c:pt>
                <c:pt idx="13">
                  <c:v>408.70298290774286</c:v>
                </c:pt>
                <c:pt idx="14">
                  <c:v>373.09604316439942</c:v>
                </c:pt>
                <c:pt idx="15">
                  <c:v>341.87823683182296</c:v>
                </c:pt>
                <c:pt idx="16">
                  <c:v>314.27586588027441</c:v>
                </c:pt>
                <c:pt idx="17">
                  <c:v>289.68723641444598</c:v>
                </c:pt>
                <c:pt idx="18">
                  <c:v>267.63739682507622</c:v>
                </c:pt>
                <c:pt idx="19">
                  <c:v>247.74645451195494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37-4161-A08F-BCE7C8B0D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068312"/>
        <c:axId val="2144171432"/>
      </c:scatterChart>
      <c:valAx>
        <c:axId val="2111068312"/>
        <c:scaling>
          <c:orientation val="minMax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171432"/>
        <c:crosses val="autoZero"/>
        <c:crossBetween val="midCat"/>
      </c:valAx>
      <c:valAx>
        <c:axId val="2144171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068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674620477002205E-2"/>
          <c:y val="5.0925925925925902E-2"/>
          <c:w val="0.78941160961746704"/>
          <c:h val="0.8416746864975209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'$ t VaR'!$H$22</c:f>
              <c:strCache>
                <c:ptCount val="1"/>
                <c:pt idx="0">
                  <c:v>VaR/ ES 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'$ t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t VaR'!$H$23:$H$42</c:f>
              <c:numCache>
                <c:formatCode>0.00</c:formatCode>
                <c:ptCount val="20"/>
                <c:pt idx="0">
                  <c:v>0.84779527957733436</c:v>
                </c:pt>
                <c:pt idx="1">
                  <c:v>0.81760700366847505</c:v>
                </c:pt>
                <c:pt idx="2">
                  <c:v>0.83134038130302434</c:v>
                </c:pt>
                <c:pt idx="3">
                  <c:v>0.8390793472020166</c:v>
                </c:pt>
                <c:pt idx="4">
                  <c:v>0.81016654610235228</c:v>
                </c:pt>
                <c:pt idx="5">
                  <c:v>0.82535786385240884</c:v>
                </c:pt>
                <c:pt idx="6">
                  <c:v>0.79619561687704699</c:v>
                </c:pt>
                <c:pt idx="7">
                  <c:v>0.80749986540930752</c:v>
                </c:pt>
                <c:pt idx="8">
                  <c:v>0.80670919311289047</c:v>
                </c:pt>
                <c:pt idx="9">
                  <c:v>0.77286663562373759</c:v>
                </c:pt>
                <c:pt idx="10">
                  <c:v>0.77222130239032216</c:v>
                </c:pt>
                <c:pt idx="11">
                  <c:v>0.76538393654200532</c:v>
                </c:pt>
                <c:pt idx="12">
                  <c:v>0.74247748278926928</c:v>
                </c:pt>
                <c:pt idx="13">
                  <c:v>0.73968610858571793</c:v>
                </c:pt>
                <c:pt idx="14">
                  <c:v>0.70760428204860948</c:v>
                </c:pt>
                <c:pt idx="15">
                  <c:v>0.6903923622919077</c:v>
                </c:pt>
                <c:pt idx="16">
                  <c:v>0.68548022610592318</c:v>
                </c:pt>
                <c:pt idx="17">
                  <c:v>0.68690490807862037</c:v>
                </c:pt>
                <c:pt idx="18">
                  <c:v>0.68909322608525803</c:v>
                </c:pt>
                <c:pt idx="19">
                  <c:v>0.6987604116859607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1D-4F59-B000-B95F5B817101}"/>
            </c:ext>
          </c:extLst>
        </c:ser>
        <c:ser>
          <c:idx val="1"/>
          <c:order val="1"/>
          <c:tx>
            <c:strRef>
              <c:f>'$ t VaR'!$M$22</c:f>
              <c:strCache>
                <c:ptCount val="1"/>
                <c:pt idx="0">
                  <c:v>t Var/t ES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'$ t VaR'!$A$23:$A$42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t VaR'!$M$23:$M$42</c:f>
              <c:numCache>
                <c:formatCode>0.00</c:formatCode>
                <c:ptCount val="20"/>
                <c:pt idx="0">
                  <c:v>4.6280156106813478E-2</c:v>
                </c:pt>
                <c:pt idx="1">
                  <c:v>6.579982826097254E-2</c:v>
                </c:pt>
                <c:pt idx="2">
                  <c:v>8.1087608500479469E-2</c:v>
                </c:pt>
                <c:pt idx="3">
                  <c:v>9.4268164431778531E-2</c:v>
                </c:pt>
                <c:pt idx="4">
                  <c:v>0.10616441501600475</c:v>
                </c:pt>
                <c:pt idx="5">
                  <c:v>0.11720048364286684</c:v>
                </c:pt>
                <c:pt idx="6">
                  <c:v>0.1276310955421629</c:v>
                </c:pt>
                <c:pt idx="7">
                  <c:v>0.13762529268012488</c:v>
                </c:pt>
                <c:pt idx="8">
                  <c:v>0.14730373519727807</c:v>
                </c:pt>
                <c:pt idx="9">
                  <c:v>0.15675764893009075</c:v>
                </c:pt>
                <c:pt idx="10">
                  <c:v>0.16605940500167876</c:v>
                </c:pt>
                <c:pt idx="11">
                  <c:v>0.17526887576187347</c:v>
                </c:pt>
                <c:pt idx="12">
                  <c:v>0.18443749026441691</c:v>
                </c:pt>
                <c:pt idx="13">
                  <c:v>0.19361096181159423</c:v>
                </c:pt>
                <c:pt idx="14">
                  <c:v>0.20283121455950481</c:v>
                </c:pt>
                <c:pt idx="15">
                  <c:v>0.2121378118605686</c:v>
                </c:pt>
                <c:pt idx="16">
                  <c:v>0.2215690694168137</c:v>
                </c:pt>
                <c:pt idx="17">
                  <c:v>0.23116296958810836</c:v>
                </c:pt>
                <c:pt idx="18">
                  <c:v>0.24095795470197762</c:v>
                </c:pt>
                <c:pt idx="19">
                  <c:v>0.25099365458039985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01D-4F59-B000-B95F5B817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754408"/>
        <c:axId val="2111758184"/>
      </c:scatterChart>
      <c:valAx>
        <c:axId val="2111754408"/>
        <c:scaling>
          <c:orientation val="minMax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758184"/>
        <c:crosses val="autoZero"/>
        <c:crossBetween val="midCat"/>
      </c:valAx>
      <c:valAx>
        <c:axId val="2111758184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754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'$ Weighted VaR'!$P$4</c:f>
              <c:strCache>
                <c:ptCount val="1"/>
                <c:pt idx="0">
                  <c:v>Loss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'$ Weighted VaR'!$AB$5:$AB$27</c:f>
              <c:numCache>
                <c:formatCode>General</c:formatCode>
                <c:ptCount val="23"/>
                <c:pt idx="0">
                  <c:v>-600</c:v>
                </c:pt>
                <c:pt idx="1">
                  <c:v>-550</c:v>
                </c:pt>
                <c:pt idx="2">
                  <c:v>-500</c:v>
                </c:pt>
                <c:pt idx="3">
                  <c:v>-450</c:v>
                </c:pt>
                <c:pt idx="4">
                  <c:v>-400</c:v>
                </c:pt>
                <c:pt idx="5">
                  <c:v>-350</c:v>
                </c:pt>
                <c:pt idx="6">
                  <c:v>-300</c:v>
                </c:pt>
                <c:pt idx="7">
                  <c:v>-250</c:v>
                </c:pt>
                <c:pt idx="8">
                  <c:v>-200</c:v>
                </c:pt>
                <c:pt idx="9">
                  <c:v>-150</c:v>
                </c:pt>
                <c:pt idx="10">
                  <c:v>-100</c:v>
                </c:pt>
                <c:pt idx="11">
                  <c:v>-50</c:v>
                </c:pt>
                <c:pt idx="12">
                  <c:v>0</c:v>
                </c:pt>
                <c:pt idx="13">
                  <c:v>50</c:v>
                </c:pt>
                <c:pt idx="14">
                  <c:v>100</c:v>
                </c:pt>
                <c:pt idx="15">
                  <c:v>150</c:v>
                </c:pt>
                <c:pt idx="16">
                  <c:v>200</c:v>
                </c:pt>
                <c:pt idx="17">
                  <c:v>250</c:v>
                </c:pt>
                <c:pt idx="18">
                  <c:v>300</c:v>
                </c:pt>
                <c:pt idx="19">
                  <c:v>350</c:v>
                </c:pt>
                <c:pt idx="20">
                  <c:v>400</c:v>
                </c:pt>
                <c:pt idx="21">
                  <c:v>450</c:v>
                </c:pt>
                <c:pt idx="22">
                  <c:v>500</c:v>
                </c:pt>
              </c:numCache>
            </c:numRef>
          </c:cat>
          <c:val>
            <c:numRef>
              <c:f>'$ Weighted VaR'!$Z$5:$Z$27</c:f>
              <c:numCache>
                <c:formatCode>0.00%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6.0000000000000001E-3</c:v>
                </c:pt>
                <c:pt idx="10">
                  <c:v>4.2000000000000003E-2</c:v>
                </c:pt>
                <c:pt idx="11">
                  <c:v>0.158</c:v>
                </c:pt>
                <c:pt idx="12">
                  <c:v>0.33600000000000002</c:v>
                </c:pt>
                <c:pt idx="13">
                  <c:v>0.27800000000000002</c:v>
                </c:pt>
                <c:pt idx="14">
                  <c:v>0.11600000000000001</c:v>
                </c:pt>
                <c:pt idx="15">
                  <c:v>0.05</c:v>
                </c:pt>
                <c:pt idx="16">
                  <c:v>0.01</c:v>
                </c:pt>
                <c:pt idx="17">
                  <c:v>4.0000000000000001E-3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94-43B2-BFA2-CD396B058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5626168"/>
        <c:axId val="2115629720"/>
      </c:barChart>
      <c:catAx>
        <c:axId val="2115626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629720"/>
        <c:crosses val="autoZero"/>
        <c:auto val="1"/>
        <c:lblAlgn val="ctr"/>
        <c:lblOffset val="100"/>
        <c:noMultiLvlLbl val="0"/>
      </c:catAx>
      <c:valAx>
        <c:axId val="2115629720"/>
        <c:scaling>
          <c:orientation val="minMax"/>
          <c:max val="0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626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'$ Weighted VaR'!$Q$4</c:f>
              <c:strCache>
                <c:ptCount val="1"/>
                <c:pt idx="0">
                  <c:v>Weight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'$ Weighted VaR'!$I$5:$I$504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</c:numCache>
            </c:numRef>
          </c:xVal>
          <c:yVal>
            <c:numRef>
              <c:f>'$ Weighted VaR'!$Q$5:$Q$504</c:f>
              <c:numCache>
                <c:formatCode>#,##0.00000</c:formatCode>
                <c:ptCount val="500"/>
                <c:pt idx="0">
                  <c:v>4.4631564980305031E-4</c:v>
                </c:pt>
                <c:pt idx="1">
                  <c:v>4.4855844201311594E-4</c:v>
                </c:pt>
                <c:pt idx="2">
                  <c:v>4.5081250453579501E-4</c:v>
                </c:pt>
                <c:pt idx="3">
                  <c:v>4.5307789400582409E-4</c:v>
                </c:pt>
                <c:pt idx="4">
                  <c:v>4.553546673425368E-4</c:v>
                </c:pt>
                <c:pt idx="5">
                  <c:v>4.5764288175129331E-4</c:v>
                </c:pt>
                <c:pt idx="6">
                  <c:v>4.5994259472491788E-4</c:v>
                </c:pt>
                <c:pt idx="7">
                  <c:v>4.6225386404514363E-4</c:v>
                </c:pt>
                <c:pt idx="8">
                  <c:v>4.6457674778406386E-4</c:v>
                </c:pt>
                <c:pt idx="9">
                  <c:v>4.6691130430559182E-4</c:v>
                </c:pt>
                <c:pt idx="10">
                  <c:v>4.6925759226692642E-4</c:v>
                </c:pt>
                <c:pt idx="11">
                  <c:v>4.7161567062002646E-4</c:v>
                </c:pt>
                <c:pt idx="12">
                  <c:v>4.7398559861309205E-4</c:v>
                </c:pt>
                <c:pt idx="13">
                  <c:v>4.7636743579205224E-4</c:v>
                </c:pt>
                <c:pt idx="14">
                  <c:v>4.7876124200206261E-4</c:v>
                </c:pt>
                <c:pt idx="15">
                  <c:v>4.8116707738900765E-4</c:v>
                </c:pt>
                <c:pt idx="16">
                  <c:v>4.8358500240101274E-4</c:v>
                </c:pt>
                <c:pt idx="17">
                  <c:v>4.8601507778996237E-4</c:v>
                </c:pt>
                <c:pt idx="18">
                  <c:v>4.8845736461302757E-4</c:v>
                </c:pt>
                <c:pt idx="19">
                  <c:v>4.9091192423419863E-4</c:v>
                </c:pt>
                <c:pt idx="20">
                  <c:v>4.9337881832582772E-4</c:v>
                </c:pt>
                <c:pt idx="21">
                  <c:v>4.9585810887017867E-4</c:v>
                </c:pt>
                <c:pt idx="22">
                  <c:v>4.9834985816098372E-4</c:v>
                </c:pt>
                <c:pt idx="23">
                  <c:v>5.0085412880500856E-4</c:v>
                </c:pt>
                <c:pt idx="24">
                  <c:v>5.033709837236267E-4</c:v>
                </c:pt>
                <c:pt idx="25">
                  <c:v>5.0590048615439863E-4</c:v>
                </c:pt>
                <c:pt idx="26">
                  <c:v>5.0844269965266199E-4</c:v>
                </c:pt>
                <c:pt idx="27">
                  <c:v>5.1099768809312774E-4</c:v>
                </c:pt>
                <c:pt idx="28">
                  <c:v>5.1356551567148501E-4</c:v>
                </c:pt>
                <c:pt idx="29">
                  <c:v>5.1614624690601504E-4</c:v>
                </c:pt>
                <c:pt idx="30">
                  <c:v>5.1873994663921119E-4</c:v>
                </c:pt>
                <c:pt idx="31">
                  <c:v>5.2134668003940815E-4</c:v>
                </c:pt>
                <c:pt idx="32">
                  <c:v>5.2396651260242031E-4</c:v>
                </c:pt>
                <c:pt idx="33">
                  <c:v>5.2659951015318629E-4</c:v>
                </c:pt>
                <c:pt idx="34">
                  <c:v>5.2924573884742337E-4</c:v>
                </c:pt>
                <c:pt idx="35">
                  <c:v>5.3190526517328974E-4</c:v>
                </c:pt>
                <c:pt idx="36">
                  <c:v>5.3457815595305512E-4</c:v>
                </c:pt>
                <c:pt idx="37">
                  <c:v>5.3726447834477901E-4</c:v>
                </c:pt>
                <c:pt idx="38">
                  <c:v>5.399642998439989E-4</c:v>
                </c:pt>
                <c:pt idx="39">
                  <c:v>5.4267768828542614E-4</c:v>
                </c:pt>
                <c:pt idx="40">
                  <c:v>5.4540471184464929E-4</c:v>
                </c:pt>
                <c:pt idx="41">
                  <c:v>5.4814543903984863E-4</c:v>
                </c:pt>
                <c:pt idx="42">
                  <c:v>5.5089993873351604E-4</c:v>
                </c:pt>
                <c:pt idx="43">
                  <c:v>5.5366828013418711E-4</c:v>
                </c:pt>
                <c:pt idx="44">
                  <c:v>5.5645053279817786E-4</c:v>
                </c:pt>
                <c:pt idx="45">
                  <c:v>5.592467666313347E-4</c:v>
                </c:pt>
                <c:pt idx="46">
                  <c:v>5.6205705189078868E-4</c:v>
                </c:pt>
                <c:pt idx="47">
                  <c:v>5.6488145918672211E-4</c:v>
                </c:pt>
                <c:pt idx="48">
                  <c:v>5.6772005948414284E-4</c:v>
                </c:pt>
                <c:pt idx="49">
                  <c:v>5.7057292410466615E-4</c:v>
                </c:pt>
                <c:pt idx="50">
                  <c:v>5.734401247283078E-4</c:v>
                </c:pt>
                <c:pt idx="51">
                  <c:v>5.7632173339528404E-4</c:v>
                </c:pt>
                <c:pt idx="52">
                  <c:v>5.7921782250782328E-4</c:v>
                </c:pt>
                <c:pt idx="53">
                  <c:v>5.8212846483198313E-4</c:v>
                </c:pt>
                <c:pt idx="54">
                  <c:v>5.8505373349948076E-4</c:v>
                </c:pt>
                <c:pt idx="55">
                  <c:v>5.8799370200952829E-4</c:v>
                </c:pt>
                <c:pt idx="56">
                  <c:v>5.9094844423068153E-4</c:v>
                </c:pt>
                <c:pt idx="57">
                  <c:v>5.9391803440269513E-4</c:v>
                </c:pt>
                <c:pt idx="58">
                  <c:v>5.9690254713838696E-4</c:v>
                </c:pt>
                <c:pt idx="59">
                  <c:v>5.9990205742551468E-4</c:v>
                </c:pt>
                <c:pt idx="60">
                  <c:v>6.0291664062865776E-4</c:v>
                </c:pt>
                <c:pt idx="61">
                  <c:v>6.0594637249111348E-4</c:v>
                </c:pt>
                <c:pt idx="62">
                  <c:v>6.0899132913679738E-4</c:v>
                </c:pt>
                <c:pt idx="63">
                  <c:v>6.120515870721581E-4</c:v>
                </c:pt>
                <c:pt idx="64">
                  <c:v>6.1512722318809868E-4</c:v>
                </c:pt>
                <c:pt idx="65">
                  <c:v>6.1821831476190818E-4</c:v>
                </c:pt>
                <c:pt idx="66">
                  <c:v>6.2132493945920425E-4</c:v>
                </c:pt>
                <c:pt idx="67">
                  <c:v>6.244471753358836E-4</c:v>
                </c:pt>
                <c:pt idx="68">
                  <c:v>6.2758510084008417E-4</c:v>
                </c:pt>
                <c:pt idx="69">
                  <c:v>6.3073879481415497E-4</c:v>
                </c:pt>
                <c:pt idx="70">
                  <c:v>6.3390833649663804E-4</c:v>
                </c:pt>
                <c:pt idx="71">
                  <c:v>6.3709380552425931E-4</c:v>
                </c:pt>
                <c:pt idx="72">
                  <c:v>6.4029528193392882E-4</c:v>
                </c:pt>
                <c:pt idx="73">
                  <c:v>6.4351284616475269E-4</c:v>
                </c:pt>
                <c:pt idx="74">
                  <c:v>6.4674657906005286E-4</c:v>
                </c:pt>
                <c:pt idx="75">
                  <c:v>6.4999656186939987E-4</c:v>
                </c:pt>
                <c:pt idx="76">
                  <c:v>6.5326287625065314E-4</c:v>
                </c:pt>
                <c:pt idx="77">
                  <c:v>6.565456042720132E-4</c:v>
                </c:pt>
                <c:pt idx="78">
                  <c:v>6.5984482841408378E-4</c:v>
                </c:pt>
                <c:pt idx="79">
                  <c:v>6.6316063157194338E-4</c:v>
                </c:pt>
                <c:pt idx="80">
                  <c:v>6.6649309705722954E-4</c:v>
                </c:pt>
                <c:pt idx="81">
                  <c:v>6.6984230860023058E-4</c:v>
                </c:pt>
                <c:pt idx="82">
                  <c:v>6.7320835035199059E-4</c:v>
                </c:pt>
                <c:pt idx="83">
                  <c:v>6.7659130688642278E-4</c:v>
                </c:pt>
                <c:pt idx="84">
                  <c:v>6.7999126320243491E-4</c:v>
                </c:pt>
                <c:pt idx="85">
                  <c:v>6.8340830472606528E-4</c:v>
                </c:pt>
                <c:pt idx="86">
                  <c:v>6.8684251731262851E-4</c:v>
                </c:pt>
                <c:pt idx="87">
                  <c:v>6.9029398724887274E-4</c:v>
                </c:pt>
                <c:pt idx="88">
                  <c:v>6.9376280125514839E-4</c:v>
                </c:pt>
                <c:pt idx="89">
                  <c:v>6.972490464875865E-4</c:v>
                </c:pt>
                <c:pt idx="90">
                  <c:v>7.007528105402879E-4</c:v>
                </c:pt>
                <c:pt idx="91">
                  <c:v>7.0427418144752547E-4</c:v>
                </c:pt>
                <c:pt idx="92">
                  <c:v>7.0781324768595525E-4</c:v>
                </c:pt>
                <c:pt idx="93">
                  <c:v>7.1137009817683939E-4</c:v>
                </c:pt>
                <c:pt idx="94">
                  <c:v>7.14944822288281E-4</c:v>
                </c:pt>
                <c:pt idx="95">
                  <c:v>7.1853750983746814E-4</c:v>
                </c:pt>
                <c:pt idx="96">
                  <c:v>7.2214825109293273E-4</c:v>
                </c:pt>
                <c:pt idx="97">
                  <c:v>7.257771367768168E-4</c:v>
                </c:pt>
                <c:pt idx="98">
                  <c:v>7.2942425806715272E-4</c:v>
                </c:pt>
                <c:pt idx="99">
                  <c:v>7.3308970660015331E-4</c:v>
                </c:pt>
                <c:pt idx="100">
                  <c:v>7.3677357447251603E-4</c:v>
                </c:pt>
                <c:pt idx="101">
                  <c:v>7.4047595424373469E-4</c:v>
                </c:pt>
                <c:pt idx="102">
                  <c:v>7.4419693893842682E-4</c:v>
                </c:pt>
                <c:pt idx="103">
                  <c:v>7.4793662204867021E-4</c:v>
                </c:pt>
                <c:pt idx="104">
                  <c:v>7.5169509753635197E-4</c:v>
                </c:pt>
                <c:pt idx="105">
                  <c:v>7.5547245983552955E-4</c:v>
                </c:pt>
                <c:pt idx="106">
                  <c:v>7.5926880385480348E-4</c:v>
                </c:pt>
                <c:pt idx="107">
                  <c:v>7.6308422497970211E-4</c:v>
                </c:pt>
                <c:pt idx="108">
                  <c:v>7.669188190750773E-4</c:v>
                </c:pt>
                <c:pt idx="109">
                  <c:v>7.7077268248751504E-4</c:v>
                </c:pt>
                <c:pt idx="110">
                  <c:v>7.7464591204775386E-4</c:v>
                </c:pt>
                <c:pt idx="111">
                  <c:v>7.7853860507311949E-4</c:v>
                </c:pt>
                <c:pt idx="112">
                  <c:v>7.8245085936996914E-4</c:v>
                </c:pt>
                <c:pt idx="113">
                  <c:v>7.8638277323614977E-4</c:v>
                </c:pt>
                <c:pt idx="114">
                  <c:v>7.9033444546346729E-4</c:v>
                </c:pt>
                <c:pt idx="115">
                  <c:v>7.9430597534016815E-4</c:v>
                </c:pt>
                <c:pt idx="116">
                  <c:v>7.9829746265343521E-4</c:v>
                </c:pt>
                <c:pt idx="117">
                  <c:v>8.023090076918945E-4</c:v>
                </c:pt>
                <c:pt idx="118">
                  <c:v>8.0634071124813548E-4</c:v>
                </c:pt>
                <c:pt idx="119">
                  <c:v>8.1039267462124152E-4</c:v>
                </c:pt>
                <c:pt idx="120">
                  <c:v>8.1446499961933814E-4</c:v>
                </c:pt>
                <c:pt idx="121">
                  <c:v>8.1855778856214888E-4</c:v>
                </c:pt>
                <c:pt idx="122">
                  <c:v>8.2267114428356684E-4</c:v>
                </c:pt>
                <c:pt idx="123">
                  <c:v>8.2680517013423798E-4</c:v>
                </c:pt>
                <c:pt idx="124">
                  <c:v>8.3095996998415868E-4</c:v>
                </c:pt>
                <c:pt idx="125">
                  <c:v>8.3513564822528506E-4</c:v>
                </c:pt>
                <c:pt idx="126">
                  <c:v>8.393323097741559E-4</c:v>
                </c:pt>
                <c:pt idx="127">
                  <c:v>8.4355006007452867E-4</c:v>
                </c:pt>
                <c:pt idx="128">
                  <c:v>8.4778900510002852E-4</c:v>
                </c:pt>
                <c:pt idx="129">
                  <c:v>8.5204925135681276E-4</c:v>
                </c:pt>
                <c:pt idx="130">
                  <c:v>8.5633090588624393E-4</c:v>
                </c:pt>
                <c:pt idx="131">
                  <c:v>8.6063407626758197E-4</c:v>
                </c:pt>
                <c:pt idx="132">
                  <c:v>8.6495887062068534E-4</c:v>
                </c:pt>
                <c:pt idx="133">
                  <c:v>8.6930539760872905E-4</c:v>
                </c:pt>
                <c:pt idx="134">
                  <c:v>8.7367376644093366E-4</c:v>
                </c:pt>
                <c:pt idx="135">
                  <c:v>8.7806408687531024E-4</c:v>
                </c:pt>
                <c:pt idx="136">
                  <c:v>8.8247646922141713E-4</c:v>
                </c:pt>
                <c:pt idx="137">
                  <c:v>8.8691102434313297E-4</c:v>
                </c:pt>
                <c:pt idx="138">
                  <c:v>8.9136786366144011E-4</c:v>
                </c:pt>
                <c:pt idx="139">
                  <c:v>8.9584709915722612E-4</c:v>
                </c:pt>
                <c:pt idx="140">
                  <c:v>9.0034884337409672E-4</c:v>
                </c:pt>
                <c:pt idx="141">
                  <c:v>9.0487320942120287E-4</c:v>
                </c:pt>
                <c:pt idx="142">
                  <c:v>9.0942031097608319E-4</c:v>
                </c:pt>
                <c:pt idx="143">
                  <c:v>9.1399026228752075E-4</c:v>
                </c:pt>
                <c:pt idx="144">
                  <c:v>9.1858317817841294E-4</c:v>
                </c:pt>
                <c:pt idx="145">
                  <c:v>9.2319917404865589E-4</c:v>
                </c:pt>
                <c:pt idx="146">
                  <c:v>9.2783836587804645E-4</c:v>
                </c:pt>
                <c:pt idx="147">
                  <c:v>9.3250087022919215E-4</c:v>
                </c:pt>
                <c:pt idx="148">
                  <c:v>9.3718680425044446E-4</c:v>
                </c:pt>
                <c:pt idx="149">
                  <c:v>9.4189628567883867E-4</c:v>
                </c:pt>
                <c:pt idx="150">
                  <c:v>9.4662943284305398E-4</c:v>
                </c:pt>
                <c:pt idx="151">
                  <c:v>9.5138636466638588E-4</c:v>
                </c:pt>
                <c:pt idx="152">
                  <c:v>9.5616720066973447E-4</c:v>
                </c:pt>
                <c:pt idx="153">
                  <c:v>9.6097206097460746E-4</c:v>
                </c:pt>
                <c:pt idx="154">
                  <c:v>9.6580106630613828E-4</c:v>
                </c:pt>
                <c:pt idx="155">
                  <c:v>9.7065433799611888E-4</c:v>
                </c:pt>
                <c:pt idx="156">
                  <c:v>9.7553199798604913E-4</c:v>
                </c:pt>
                <c:pt idx="157">
                  <c:v>9.8043416883020012E-4</c:v>
                </c:pt>
                <c:pt idx="158">
                  <c:v>9.8536097369869352E-4</c:v>
                </c:pt>
                <c:pt idx="159">
                  <c:v>9.9031253638059633E-4</c:v>
                </c:pt>
                <c:pt idx="160">
                  <c:v>9.9528898128703166E-4</c:v>
                </c:pt>
                <c:pt idx="161">
                  <c:v>1.0002904334543031E-3</c:v>
                </c:pt>
                <c:pt idx="162">
                  <c:v>1.0053170185470384E-3</c:v>
                </c:pt>
                <c:pt idx="163">
                  <c:v>1.0103688628613449E-3</c:v>
                </c:pt>
                <c:pt idx="164">
                  <c:v>1.015446093327985E-3</c:v>
                </c:pt>
                <c:pt idx="165">
                  <c:v>1.0205488375155628E-3</c:v>
                </c:pt>
                <c:pt idx="166">
                  <c:v>1.0256772236337313E-3</c:v>
                </c:pt>
                <c:pt idx="167">
                  <c:v>1.0308313805364134E-3</c:v>
                </c:pt>
                <c:pt idx="168">
                  <c:v>1.0360114377250386E-3</c:v>
                </c:pt>
                <c:pt idx="169">
                  <c:v>1.0412175253517975E-3</c:v>
                </c:pt>
                <c:pt idx="170">
                  <c:v>1.046449774222912E-3</c:v>
                </c:pt>
                <c:pt idx="171">
                  <c:v>1.0517083158019217E-3</c:v>
                </c:pt>
                <c:pt idx="172">
                  <c:v>1.0569932822129867E-3</c:v>
                </c:pt>
                <c:pt idx="173">
                  <c:v>1.0623048062442077E-3</c:v>
                </c:pt>
                <c:pt idx="174">
                  <c:v>1.0676430213509627E-3</c:v>
                </c:pt>
                <c:pt idx="175">
                  <c:v>1.0730080616592589E-3</c:v>
                </c:pt>
                <c:pt idx="176">
                  <c:v>1.0784000619691043E-3</c:v>
                </c:pt>
                <c:pt idx="177">
                  <c:v>1.0838191577578937E-3</c:v>
                </c:pt>
                <c:pt idx="178">
                  <c:v>1.0892654851838127E-3</c:v>
                </c:pt>
                <c:pt idx="179">
                  <c:v>1.0947391810892592E-3</c:v>
                </c:pt>
                <c:pt idx="180">
                  <c:v>1.1002403830042806E-3</c:v>
                </c:pt>
                <c:pt idx="181">
                  <c:v>1.1057692291500309E-3</c:v>
                </c:pt>
                <c:pt idx="182">
                  <c:v>1.111325858442242E-3</c:v>
                </c:pt>
                <c:pt idx="183">
                  <c:v>1.1169104104947153E-3</c:v>
                </c:pt>
                <c:pt idx="184">
                  <c:v>1.1225230256228294E-3</c:v>
                </c:pt>
                <c:pt idx="185">
                  <c:v>1.1281638448470651E-3</c:v>
                </c:pt>
                <c:pt idx="186">
                  <c:v>1.1338330098965477E-3</c:v>
                </c:pt>
                <c:pt idx="187">
                  <c:v>1.1395306632126106E-3</c:v>
                </c:pt>
                <c:pt idx="188">
                  <c:v>1.1452569479523725E-3</c:v>
                </c:pt>
                <c:pt idx="189">
                  <c:v>1.1510120079923341E-3</c:v>
                </c:pt>
                <c:pt idx="190">
                  <c:v>1.156795987931994E-3</c:v>
                </c:pt>
                <c:pt idx="191">
                  <c:v>1.1626090330974816E-3</c:v>
                </c:pt>
                <c:pt idx="192">
                  <c:v>1.1684512895452075E-3</c:v>
                </c:pt>
                <c:pt idx="193">
                  <c:v>1.1743229040655351E-3</c:v>
                </c:pt>
                <c:pt idx="194">
                  <c:v>1.1802240241864674E-3</c:v>
                </c:pt>
                <c:pt idx="195">
                  <c:v>1.1861547981773543E-3</c:v>
                </c:pt>
                <c:pt idx="196">
                  <c:v>1.1921153750526175E-3</c:v>
                </c:pt>
                <c:pt idx="197">
                  <c:v>1.1981059045754949E-3</c:v>
                </c:pt>
                <c:pt idx="198">
                  <c:v>1.2041265372618041E-3</c:v>
                </c:pt>
                <c:pt idx="199">
                  <c:v>1.2101774243837226E-3</c:v>
                </c:pt>
                <c:pt idx="200">
                  <c:v>1.2162587179735901E-3</c:v>
                </c:pt>
                <c:pt idx="201">
                  <c:v>1.222370570827729E-3</c:v>
                </c:pt>
                <c:pt idx="202">
                  <c:v>1.2285131365102804E-3</c:v>
                </c:pt>
                <c:pt idx="203">
                  <c:v>1.2346865693570656E-3</c:v>
                </c:pt>
                <c:pt idx="204">
                  <c:v>1.2408910244794632E-3</c:v>
                </c:pt>
                <c:pt idx="205">
                  <c:v>1.2471266577683045E-3</c:v>
                </c:pt>
                <c:pt idx="206">
                  <c:v>1.2533936258977937E-3</c:v>
                </c:pt>
                <c:pt idx="207">
                  <c:v>1.259692086329441E-3</c:v>
                </c:pt>
                <c:pt idx="208">
                  <c:v>1.2660221973160208E-3</c:v>
                </c:pt>
                <c:pt idx="209">
                  <c:v>1.2723841179055487E-3</c:v>
                </c:pt>
                <c:pt idx="210">
                  <c:v>1.2787780079452748E-3</c:v>
                </c:pt>
                <c:pt idx="211">
                  <c:v>1.2852040280857035E-3</c:v>
                </c:pt>
                <c:pt idx="212">
                  <c:v>1.2916623397846265E-3</c:v>
                </c:pt>
                <c:pt idx="213">
                  <c:v>1.2981531053111825E-3</c:v>
                </c:pt>
                <c:pt idx="214">
                  <c:v>1.3046764877499321E-3</c:v>
                </c:pt>
                <c:pt idx="215">
                  <c:v>1.311232651004957E-3</c:v>
                </c:pt>
                <c:pt idx="216">
                  <c:v>1.3178217598039765E-3</c:v>
                </c:pt>
                <c:pt idx="217">
                  <c:v>1.3244439797024893E-3</c:v>
                </c:pt>
                <c:pt idx="218">
                  <c:v>1.3310994770879289E-3</c:v>
                </c:pt>
                <c:pt idx="219">
                  <c:v>1.3377884191838479E-3</c:v>
                </c:pt>
                <c:pt idx="220">
                  <c:v>1.3445109740541185E-3</c:v>
                </c:pt>
                <c:pt idx="221">
                  <c:v>1.3512673106071543E-3</c:v>
                </c:pt>
                <c:pt idx="222">
                  <c:v>1.3580575986001553E-3</c:v>
                </c:pt>
                <c:pt idx="223">
                  <c:v>1.3648820086433718E-3</c:v>
                </c:pt>
                <c:pt idx="224">
                  <c:v>1.371740712204394E-3</c:v>
                </c:pt>
                <c:pt idx="225">
                  <c:v>1.3786338816124562E-3</c:v>
                </c:pt>
                <c:pt idx="226">
                  <c:v>1.3855616900627699E-3</c:v>
                </c:pt>
                <c:pt idx="227">
                  <c:v>1.3925243116208743E-3</c:v>
                </c:pt>
                <c:pt idx="228">
                  <c:v>1.3995219212270095E-3</c:v>
                </c:pt>
                <c:pt idx="229">
                  <c:v>1.4065546947005121E-3</c:v>
                </c:pt>
                <c:pt idx="230">
                  <c:v>1.4136228087442333E-3</c:v>
                </c:pt>
                <c:pt idx="231">
                  <c:v>1.420726440948978E-3</c:v>
                </c:pt>
                <c:pt idx="232">
                  <c:v>1.4278657697979677E-3</c:v>
                </c:pt>
                <c:pt idx="233">
                  <c:v>1.4350409746713244E-3</c:v>
                </c:pt>
                <c:pt idx="234">
                  <c:v>1.4422522358505771E-3</c:v>
                </c:pt>
                <c:pt idx="235">
                  <c:v>1.4494997345231933E-3</c:v>
                </c:pt>
                <c:pt idx="236">
                  <c:v>1.4567836527871292E-3</c:v>
                </c:pt>
                <c:pt idx="237">
                  <c:v>1.464104173655406E-3</c:v>
                </c:pt>
                <c:pt idx="238">
                  <c:v>1.4714614810607096E-3</c:v>
                </c:pt>
                <c:pt idx="239">
                  <c:v>1.4788557598600096E-3</c:v>
                </c:pt>
                <c:pt idx="240">
                  <c:v>1.4862871958392055E-3</c:v>
                </c:pt>
                <c:pt idx="241">
                  <c:v>1.4937559757177944E-3</c:v>
                </c:pt>
                <c:pt idx="242">
                  <c:v>1.5012622871535622E-3</c:v>
                </c:pt>
                <c:pt idx="243">
                  <c:v>1.5088063187472989E-3</c:v>
                </c:pt>
                <c:pt idx="244">
                  <c:v>1.5163882600475365E-3</c:v>
                </c:pt>
                <c:pt idx="245">
                  <c:v>1.5240083015553129E-3</c:v>
                </c:pt>
                <c:pt idx="246">
                  <c:v>1.5316666347289579E-3</c:v>
                </c:pt>
                <c:pt idx="247">
                  <c:v>1.5393634519889022E-3</c:v>
                </c:pt>
                <c:pt idx="248">
                  <c:v>1.5470989467225146E-3</c:v>
                </c:pt>
                <c:pt idx="249">
                  <c:v>1.5548733132889597E-3</c:v>
                </c:pt>
                <c:pt idx="250">
                  <c:v>1.5626867470240799E-3</c:v>
                </c:pt>
                <c:pt idx="251">
                  <c:v>1.5705394442453065E-3</c:v>
                </c:pt>
                <c:pt idx="252">
                  <c:v>1.5784316022565896E-3</c:v>
                </c:pt>
                <c:pt idx="253">
                  <c:v>1.5863634193533564E-3</c:v>
                </c:pt>
                <c:pt idx="254">
                  <c:v>1.5943350948274936E-3</c:v>
                </c:pt>
                <c:pt idx="255">
                  <c:v>1.6023468289723558E-3</c:v>
                </c:pt>
                <c:pt idx="256">
                  <c:v>1.6103988230877942E-3</c:v>
                </c:pt>
                <c:pt idx="257">
                  <c:v>1.6184912794852205E-3</c:v>
                </c:pt>
                <c:pt idx="258">
                  <c:v>1.6266244014926838E-3</c:v>
                </c:pt>
                <c:pt idx="259">
                  <c:v>1.634798393459984E-3</c:v>
                </c:pt>
                <c:pt idx="260">
                  <c:v>1.643013460763803E-3</c:v>
                </c:pt>
                <c:pt idx="261">
                  <c:v>1.6512698098128673E-3</c:v>
                </c:pt>
                <c:pt idx="262">
                  <c:v>1.6595676480531331E-3</c:v>
                </c:pt>
                <c:pt idx="263">
                  <c:v>1.667907183972998E-3</c:v>
                </c:pt>
                <c:pt idx="264">
                  <c:v>1.6762886271085406E-3</c:v>
                </c:pt>
                <c:pt idx="265">
                  <c:v>1.6847121880487845E-3</c:v>
                </c:pt>
                <c:pt idx="266">
                  <c:v>1.6931780784409892E-3</c:v>
                </c:pt>
                <c:pt idx="267">
                  <c:v>1.7016865109959691E-3</c:v>
                </c:pt>
                <c:pt idx="268">
                  <c:v>1.7102376994934363E-3</c:v>
                </c:pt>
                <c:pt idx="269">
                  <c:v>1.7188318587873733E-3</c:v>
                </c:pt>
                <c:pt idx="270">
                  <c:v>1.7274692048114303E-3</c:v>
                </c:pt>
                <c:pt idx="271">
                  <c:v>1.7361499545843521E-3</c:v>
                </c:pt>
                <c:pt idx="272">
                  <c:v>1.7448743262154292E-3</c:v>
                </c:pt>
                <c:pt idx="273">
                  <c:v>1.7536425389099788E-3</c:v>
                </c:pt>
                <c:pt idx="274">
                  <c:v>1.7624548129748536E-3</c:v>
                </c:pt>
                <c:pt idx="275">
                  <c:v>1.7713113698239731E-3</c:v>
                </c:pt>
                <c:pt idx="276">
                  <c:v>1.7802124319838924E-3</c:v>
                </c:pt>
                <c:pt idx="277">
                  <c:v>1.7891582230993896E-3</c:v>
                </c:pt>
                <c:pt idx="278">
                  <c:v>1.7981489679390855E-3</c:v>
                </c:pt>
                <c:pt idx="279">
                  <c:v>1.8071848924010904E-3</c:v>
                </c:pt>
                <c:pt idx="280">
                  <c:v>1.8162662235186836E-3</c:v>
                </c:pt>
                <c:pt idx="281">
                  <c:v>1.8253931894660139E-3</c:v>
                </c:pt>
                <c:pt idx="282">
                  <c:v>1.8345660195638329E-3</c:v>
                </c:pt>
                <c:pt idx="283">
                  <c:v>1.8437849442852594E-3</c:v>
                </c:pt>
                <c:pt idx="284">
                  <c:v>1.8530501952615671E-3</c:v>
                </c:pt>
                <c:pt idx="285">
                  <c:v>1.8623620052880072E-3</c:v>
                </c:pt>
                <c:pt idx="286">
                  <c:v>1.8717206083296556E-3</c:v>
                </c:pt>
                <c:pt idx="287">
                  <c:v>1.8811262395272918E-3</c:v>
                </c:pt>
                <c:pt idx="288">
                  <c:v>1.8905791352033085E-3</c:v>
                </c:pt>
                <c:pt idx="289">
                  <c:v>1.9000795328676465E-3</c:v>
                </c:pt>
                <c:pt idx="290">
                  <c:v>1.9096276712237655E-3</c:v>
                </c:pt>
                <c:pt idx="291">
                  <c:v>1.9192237901746382E-3</c:v>
                </c:pt>
                <c:pt idx="292">
                  <c:v>1.9288681308287825E-3</c:v>
                </c:pt>
                <c:pt idx="293">
                  <c:v>1.9385609355063141E-3</c:v>
                </c:pt>
                <c:pt idx="294">
                  <c:v>1.948302447745039E-3</c:v>
                </c:pt>
                <c:pt idx="295">
                  <c:v>1.9580929123065721E-3</c:v>
                </c:pt>
                <c:pt idx="296">
                  <c:v>1.9679325751824845E-3</c:v>
                </c:pt>
                <c:pt idx="297">
                  <c:v>1.9778216836004868E-3</c:v>
                </c:pt>
                <c:pt idx="298">
                  <c:v>1.9877604860306397E-3</c:v>
                </c:pt>
                <c:pt idx="299">
                  <c:v>1.9977492321915985E-3</c:v>
                </c:pt>
                <c:pt idx="300">
                  <c:v>2.0077881730568826E-3</c:v>
                </c:pt>
                <c:pt idx="301">
                  <c:v>2.0178775608611882E-3</c:v>
                </c:pt>
                <c:pt idx="302">
                  <c:v>2.0280176491067219E-3</c:v>
                </c:pt>
                <c:pt idx="303">
                  <c:v>2.03820869256957E-3</c:v>
                </c:pt>
                <c:pt idx="304">
                  <c:v>2.0484509473061002E-3</c:v>
                </c:pt>
                <c:pt idx="305">
                  <c:v>2.0587446706593973E-3</c:v>
                </c:pt>
                <c:pt idx="306">
                  <c:v>2.0690901212657258E-3</c:v>
                </c:pt>
                <c:pt idx="307">
                  <c:v>2.0794875590610311E-3</c:v>
                </c:pt>
                <c:pt idx="308">
                  <c:v>2.0899372452874683E-3</c:v>
                </c:pt>
                <c:pt idx="309">
                  <c:v>2.100439442499968E-3</c:v>
                </c:pt>
                <c:pt idx="310">
                  <c:v>2.1109944145728328E-3</c:v>
                </c:pt>
                <c:pt idx="311">
                  <c:v>2.1216024267063645E-3</c:v>
                </c:pt>
                <c:pt idx="312">
                  <c:v>2.1322637454335314E-3</c:v>
                </c:pt>
                <c:pt idx="313">
                  <c:v>2.1429786386266652E-3</c:v>
                </c:pt>
                <c:pt idx="314">
                  <c:v>2.153747375504186E-3</c:v>
                </c:pt>
                <c:pt idx="315">
                  <c:v>2.1645702266373727E-3</c:v>
                </c:pt>
                <c:pt idx="316">
                  <c:v>2.1754474639571588E-3</c:v>
                </c:pt>
                <c:pt idx="317">
                  <c:v>2.1863793607609637E-3</c:v>
                </c:pt>
                <c:pt idx="318">
                  <c:v>2.1973661917195609E-3</c:v>
                </c:pt>
                <c:pt idx="319">
                  <c:v>2.208408232883981E-3</c:v>
                </c:pt>
                <c:pt idx="320">
                  <c:v>2.2195057616924431E-3</c:v>
                </c:pt>
                <c:pt idx="321">
                  <c:v>2.2306590569773298E-3</c:v>
                </c:pt>
                <c:pt idx="322">
                  <c:v>2.2418683989721905E-3</c:v>
                </c:pt>
                <c:pt idx="323">
                  <c:v>2.2531340693187846E-3</c:v>
                </c:pt>
                <c:pt idx="324">
                  <c:v>2.2644563510741556E-3</c:v>
                </c:pt>
                <c:pt idx="325">
                  <c:v>2.2758355287177444E-3</c:v>
                </c:pt>
                <c:pt idx="326">
                  <c:v>2.2872718881585367E-3</c:v>
                </c:pt>
                <c:pt idx="327">
                  <c:v>2.2987657167422484E-3</c:v>
                </c:pt>
                <c:pt idx="328">
                  <c:v>2.3103173032585408E-3</c:v>
                </c:pt>
                <c:pt idx="329">
                  <c:v>2.3219269379482817E-3</c:v>
                </c:pt>
                <c:pt idx="330">
                  <c:v>2.333594912510836E-3</c:v>
                </c:pt>
                <c:pt idx="331">
                  <c:v>2.3453215201113928E-3</c:v>
                </c:pt>
                <c:pt idx="332">
                  <c:v>2.3571070553883348E-3</c:v>
                </c:pt>
                <c:pt idx="333">
                  <c:v>2.368951814460638E-3</c:v>
                </c:pt>
                <c:pt idx="334">
                  <c:v>2.380856094935315E-3</c:v>
                </c:pt>
                <c:pt idx="335">
                  <c:v>2.3928201959148893E-3</c:v>
                </c:pt>
                <c:pt idx="336">
                  <c:v>2.4048444180049138E-3</c:v>
                </c:pt>
                <c:pt idx="337">
                  <c:v>2.4169290633215207E-3</c:v>
                </c:pt>
                <c:pt idx="338">
                  <c:v>2.429074435499016E-3</c:v>
                </c:pt>
                <c:pt idx="339">
                  <c:v>2.4412808396975039E-3</c:v>
                </c:pt>
                <c:pt idx="340">
                  <c:v>2.4535485826105564E-3</c:v>
                </c:pt>
                <c:pt idx="341">
                  <c:v>2.4658779724729212E-3</c:v>
                </c:pt>
                <c:pt idx="342">
                  <c:v>2.4782693190682627E-3</c:v>
                </c:pt>
                <c:pt idx="343">
                  <c:v>2.490722933736947E-3</c:v>
                </c:pt>
                <c:pt idx="344">
                  <c:v>2.503239129383866E-3</c:v>
                </c:pt>
                <c:pt idx="345">
                  <c:v>2.515818220486298E-3</c:v>
                </c:pt>
                <c:pt idx="346">
                  <c:v>2.5284605231018068E-3</c:v>
                </c:pt>
                <c:pt idx="347">
                  <c:v>2.5411663548761875E-3</c:v>
                </c:pt>
                <c:pt idx="348">
                  <c:v>2.553936035051445E-3</c:v>
                </c:pt>
                <c:pt idx="349">
                  <c:v>2.5667698844738145E-3</c:v>
                </c:pt>
                <c:pt idx="350">
                  <c:v>2.5796682256018231E-3</c:v>
                </c:pt>
                <c:pt idx="351">
                  <c:v>2.5926313825143949E-3</c:v>
                </c:pt>
                <c:pt idx="352">
                  <c:v>2.6056596809189898E-3</c:v>
                </c:pt>
                <c:pt idx="353">
                  <c:v>2.6187534481597889E-3</c:v>
                </c:pt>
                <c:pt idx="354">
                  <c:v>2.6319130132259187E-3</c:v>
                </c:pt>
                <c:pt idx="355">
                  <c:v>2.6451387067597172E-3</c:v>
                </c:pt>
                <c:pt idx="356">
                  <c:v>2.6584308610650424E-3</c:v>
                </c:pt>
                <c:pt idx="357">
                  <c:v>2.6717898101156208E-3</c:v>
                </c:pt>
                <c:pt idx="358">
                  <c:v>2.6852158895634376E-3</c:v>
                </c:pt>
                <c:pt idx="359">
                  <c:v>2.6987094367471732E-3</c:v>
                </c:pt>
                <c:pt idx="360">
                  <c:v>2.7122707907006765E-3</c:v>
                </c:pt>
                <c:pt idx="361">
                  <c:v>2.7259002921614841E-3</c:v>
                </c:pt>
                <c:pt idx="362">
                  <c:v>2.7395982835793807E-3</c:v>
                </c:pt>
                <c:pt idx="363">
                  <c:v>2.7533651091250061E-3</c:v>
                </c:pt>
                <c:pt idx="364">
                  <c:v>2.7672011146984989E-3</c:v>
                </c:pt>
                <c:pt idx="365">
                  <c:v>2.7811066479381898E-3</c:v>
                </c:pt>
                <c:pt idx="366">
                  <c:v>2.7950820582293367E-3</c:v>
                </c:pt>
                <c:pt idx="367">
                  <c:v>2.8091276967129012E-3</c:v>
                </c:pt>
                <c:pt idx="368">
                  <c:v>2.8232439162943724E-3</c:v>
                </c:pt>
                <c:pt idx="369">
                  <c:v>2.8374310716526353E-3</c:v>
                </c:pt>
                <c:pt idx="370">
                  <c:v>2.8516895192488801E-3</c:v>
                </c:pt>
                <c:pt idx="371">
                  <c:v>2.8660196173355577E-3</c:v>
                </c:pt>
                <c:pt idx="372">
                  <c:v>2.8804217259653844E-3</c:v>
                </c:pt>
                <c:pt idx="373">
                  <c:v>2.8948962070003866E-3</c:v>
                </c:pt>
                <c:pt idx="374">
                  <c:v>2.9094434241209921E-3</c:v>
                </c:pt>
                <c:pt idx="375">
                  <c:v>2.9240637428351673E-3</c:v>
                </c:pt>
                <c:pt idx="376">
                  <c:v>2.9387575304876045E-3</c:v>
                </c:pt>
                <c:pt idx="377">
                  <c:v>2.9535251562689494E-3</c:v>
                </c:pt>
                <c:pt idx="378">
                  <c:v>2.9683669912250747E-3</c:v>
                </c:pt>
                <c:pt idx="379">
                  <c:v>2.983283408266407E-3</c:v>
                </c:pt>
                <c:pt idx="380">
                  <c:v>2.9982747821772938E-3</c:v>
                </c:pt>
                <c:pt idx="381">
                  <c:v>3.013341489625421E-3</c:v>
                </c:pt>
                <c:pt idx="382">
                  <c:v>3.0284839091712767E-3</c:v>
                </c:pt>
                <c:pt idx="383">
                  <c:v>3.0437024212776657E-3</c:v>
                </c:pt>
                <c:pt idx="384">
                  <c:v>3.0589974083192611E-3</c:v>
                </c:pt>
                <c:pt idx="385">
                  <c:v>3.0743692545922223E-3</c:v>
                </c:pt>
                <c:pt idx="386">
                  <c:v>3.0898183463238418E-3</c:v>
                </c:pt>
                <c:pt idx="387">
                  <c:v>3.1053450716822533E-3</c:v>
                </c:pt>
                <c:pt idx="388">
                  <c:v>3.1209498207861843E-3</c:v>
                </c:pt>
                <c:pt idx="389">
                  <c:v>3.1366329857147584E-3</c:v>
                </c:pt>
                <c:pt idx="390">
                  <c:v>3.1523949605173451E-3</c:v>
                </c:pt>
                <c:pt idx="391">
                  <c:v>3.1682361412234622E-3</c:v>
                </c:pt>
                <c:pt idx="392">
                  <c:v>3.1841569258527257E-3</c:v>
                </c:pt>
                <c:pt idx="393">
                  <c:v>3.2001577144248499E-3</c:v>
                </c:pt>
                <c:pt idx="394">
                  <c:v>3.2162389089696979E-3</c:v>
                </c:pt>
                <c:pt idx="395">
                  <c:v>3.2324009135373845E-3</c:v>
                </c:pt>
                <c:pt idx="396">
                  <c:v>3.2486441342084275E-3</c:v>
                </c:pt>
                <c:pt idx="397">
                  <c:v>3.2649689791039473E-3</c:v>
                </c:pt>
                <c:pt idx="398">
                  <c:v>3.2813758583959264E-3</c:v>
                </c:pt>
                <c:pt idx="399">
                  <c:v>3.297865184317514E-3</c:v>
                </c:pt>
                <c:pt idx="400">
                  <c:v>3.314437371173381E-3</c:v>
                </c:pt>
                <c:pt idx="401">
                  <c:v>3.3310928353501314E-3</c:v>
                </c:pt>
                <c:pt idx="402">
                  <c:v>3.3478319953267658E-3</c:v>
                </c:pt>
                <c:pt idx="403">
                  <c:v>3.3646552716851911E-3</c:v>
                </c:pt>
                <c:pt idx="404">
                  <c:v>3.3815630871207956E-3</c:v>
                </c:pt>
                <c:pt idx="405">
                  <c:v>3.3985558664530605E-3</c:v>
                </c:pt>
                <c:pt idx="406">
                  <c:v>3.4156340366362425E-3</c:v>
                </c:pt>
                <c:pt idx="407">
                  <c:v>3.4327980267700926E-3</c:v>
                </c:pt>
                <c:pt idx="408">
                  <c:v>3.4500482681106451E-3</c:v>
                </c:pt>
                <c:pt idx="409">
                  <c:v>3.4673851940810506E-3</c:v>
                </c:pt>
                <c:pt idx="410">
                  <c:v>3.4848092402824629E-3</c:v>
                </c:pt>
                <c:pt idx="411">
                  <c:v>3.5023208445049878E-3</c:v>
                </c:pt>
                <c:pt idx="412">
                  <c:v>3.5199204467386814E-3</c:v>
                </c:pt>
                <c:pt idx="413">
                  <c:v>3.5376084891846041E-3</c:v>
                </c:pt>
                <c:pt idx="414">
                  <c:v>3.5553854162659339E-3</c:v>
                </c:pt>
                <c:pt idx="415">
                  <c:v>3.5732516746391297E-3</c:v>
                </c:pt>
                <c:pt idx="416">
                  <c:v>3.591207713205155E-3</c:v>
                </c:pt>
                <c:pt idx="417">
                  <c:v>3.6092539831207595E-3</c:v>
                </c:pt>
                <c:pt idx="418">
                  <c:v>3.6273909378098075E-3</c:v>
                </c:pt>
                <c:pt idx="419">
                  <c:v>3.6456190329746808E-3</c:v>
                </c:pt>
                <c:pt idx="420">
                  <c:v>3.66393872660772E-3</c:v>
                </c:pt>
                <c:pt idx="421">
                  <c:v>3.6823504790027338E-3</c:v>
                </c:pt>
                <c:pt idx="422">
                  <c:v>3.7008547527665665E-3</c:v>
                </c:pt>
                <c:pt idx="423">
                  <c:v>3.7194520128307203E-3</c:v>
                </c:pt>
                <c:pt idx="424">
                  <c:v>3.738142726463035E-3</c:v>
                </c:pt>
                <c:pt idx="425">
                  <c:v>3.7569273632794323E-3</c:v>
                </c:pt>
                <c:pt idx="426">
                  <c:v>3.7758063952557101E-3</c:v>
                </c:pt>
                <c:pt idx="427">
                  <c:v>3.794780296739408E-3</c:v>
                </c:pt>
                <c:pt idx="428">
                  <c:v>3.8138495444617164E-3</c:v>
                </c:pt>
                <c:pt idx="429">
                  <c:v>3.8330146175494639E-3</c:v>
                </c:pt>
                <c:pt idx="430">
                  <c:v>3.8522759975371493E-3</c:v>
                </c:pt>
                <c:pt idx="431">
                  <c:v>3.8716341683790447E-3</c:v>
                </c:pt>
                <c:pt idx="432">
                  <c:v>3.8910896164613511E-3</c:v>
                </c:pt>
                <c:pt idx="433">
                  <c:v>3.9106428306144234E-3</c:v>
                </c:pt>
                <c:pt idx="434">
                  <c:v>3.930294302125048E-3</c:v>
                </c:pt>
                <c:pt idx="435">
                  <c:v>3.9500445247487928E-3</c:v>
                </c:pt>
                <c:pt idx="436">
                  <c:v>3.9698939947224038E-3</c:v>
                </c:pt>
                <c:pt idx="437">
                  <c:v>3.989843210776286E-3</c:v>
                </c:pt>
                <c:pt idx="438">
                  <c:v>4.0098926741470222E-3</c:v>
                </c:pt>
                <c:pt idx="439">
                  <c:v>4.0300428885899709E-3</c:v>
                </c:pt>
                <c:pt idx="440">
                  <c:v>4.0502943603919301E-3</c:v>
                </c:pt>
                <c:pt idx="441">
                  <c:v>4.0706475983838496E-3</c:v>
                </c:pt>
                <c:pt idx="442">
                  <c:v>4.0911031139536178E-3</c:v>
                </c:pt>
                <c:pt idx="443">
                  <c:v>4.1116614210589117E-3</c:v>
                </c:pt>
                <c:pt idx="444">
                  <c:v>4.1323230362401127E-3</c:v>
                </c:pt>
                <c:pt idx="445">
                  <c:v>4.1530884786332789E-3</c:v>
                </c:pt>
                <c:pt idx="446">
                  <c:v>4.1739582699831948E-3</c:v>
                </c:pt>
                <c:pt idx="447">
                  <c:v>4.1949329346564774E-3</c:v>
                </c:pt>
                <c:pt idx="448">
                  <c:v>4.2160129996547512E-3</c:v>
                </c:pt>
                <c:pt idx="449">
                  <c:v>4.2371989946278906E-3</c:v>
                </c:pt>
                <c:pt idx="450">
                  <c:v>4.2584914518873267E-3</c:v>
                </c:pt>
                <c:pt idx="451">
                  <c:v>4.2798909064194245E-3</c:v>
                </c:pt>
                <c:pt idx="452">
                  <c:v>4.3013978958989186E-3</c:v>
                </c:pt>
                <c:pt idx="453">
                  <c:v>4.323012960702431E-3</c:v>
                </c:pt>
                <c:pt idx="454">
                  <c:v>4.3447366439220416E-3</c:v>
                </c:pt>
                <c:pt idx="455">
                  <c:v>4.3665694913789356E-3</c:v>
                </c:pt>
                <c:pt idx="456">
                  <c:v>4.3885120516371206E-3</c:v>
                </c:pt>
                <c:pt idx="457">
                  <c:v>4.4105648760172081E-3</c:v>
                </c:pt>
                <c:pt idx="458">
                  <c:v>4.4327285186102584E-3</c:v>
                </c:pt>
                <c:pt idx="459">
                  <c:v>4.4550035362917167E-3</c:v>
                </c:pt>
                <c:pt idx="460">
                  <c:v>4.4773904887353945E-3</c:v>
                </c:pt>
                <c:pt idx="461">
                  <c:v>4.4998899384275318E-3</c:v>
                </c:pt>
                <c:pt idx="462">
                  <c:v>4.5225024506809364E-3</c:v>
                </c:pt>
                <c:pt idx="463">
                  <c:v>4.545228593649182E-3</c:v>
                </c:pt>
                <c:pt idx="464">
                  <c:v>4.5680689383408865E-3</c:v>
                </c:pt>
                <c:pt idx="465">
                  <c:v>4.5910240586340568E-3</c:v>
                </c:pt>
                <c:pt idx="466">
                  <c:v>4.614094531290509E-3</c:v>
                </c:pt>
                <c:pt idx="467">
                  <c:v>4.6372809359703608E-3</c:v>
                </c:pt>
                <c:pt idx="468">
                  <c:v>4.6605838552465943E-3</c:v>
                </c:pt>
                <c:pt idx="469">
                  <c:v>4.6840038746196926E-3</c:v>
                </c:pt>
                <c:pt idx="470">
                  <c:v>4.7075415825323548E-3</c:v>
                </c:pt>
                <c:pt idx="471">
                  <c:v>4.7311975703842758E-3</c:v>
                </c:pt>
                <c:pt idx="472">
                  <c:v>4.75497243254701E-3</c:v>
                </c:pt>
                <c:pt idx="473">
                  <c:v>4.7788667663789053E-3</c:v>
                </c:pt>
                <c:pt idx="474">
                  <c:v>4.8028811722401052E-3</c:v>
                </c:pt>
                <c:pt idx="475">
                  <c:v>4.8270162535076436E-3</c:v>
                </c:pt>
                <c:pt idx="476">
                  <c:v>4.8512726165905956E-3</c:v>
                </c:pt>
                <c:pt idx="477">
                  <c:v>4.8756508709453233E-3</c:v>
                </c:pt>
                <c:pt idx="478">
                  <c:v>4.900151629090777E-3</c:v>
                </c:pt>
                <c:pt idx="479">
                  <c:v>4.9247755066238966E-3</c:v>
                </c:pt>
                <c:pt idx="480">
                  <c:v>4.9495231222350718E-3</c:v>
                </c:pt>
                <c:pt idx="481">
                  <c:v>4.9743950977236898E-3</c:v>
                </c:pt>
                <c:pt idx="482">
                  <c:v>4.9993920580137588E-3</c:v>
                </c:pt>
                <c:pt idx="483">
                  <c:v>5.0245146311696069E-3</c:v>
                </c:pt>
                <c:pt idx="484">
                  <c:v>5.0497634484116651E-3</c:v>
                </c:pt>
                <c:pt idx="485">
                  <c:v>5.0751391441323269E-3</c:v>
                </c:pt>
                <c:pt idx="486">
                  <c:v>5.1006423559118866E-3</c:v>
                </c:pt>
                <c:pt idx="487">
                  <c:v>5.1262737245345589E-3</c:v>
                </c:pt>
                <c:pt idx="488">
                  <c:v>5.1520338940045816E-3</c:v>
                </c:pt>
                <c:pt idx="489">
                  <c:v>5.1779235115623941E-3</c:v>
                </c:pt>
                <c:pt idx="490">
                  <c:v>5.2039432277008971E-3</c:v>
                </c:pt>
                <c:pt idx="491">
                  <c:v>5.2300936961818074E-3</c:v>
                </c:pt>
                <c:pt idx="492">
                  <c:v>5.2563755740520678E-3</c:v>
                </c:pt>
                <c:pt idx="493">
                  <c:v>5.2827895216603698E-3</c:v>
                </c:pt>
                <c:pt idx="494">
                  <c:v>5.3093362026737376E-3</c:v>
                </c:pt>
                <c:pt idx="495">
                  <c:v>5.3360162840942089E-3</c:v>
                </c:pt>
                <c:pt idx="496">
                  <c:v>5.3628304362755867E-3</c:v>
                </c:pt>
                <c:pt idx="497">
                  <c:v>5.389779332940289E-3</c:v>
                </c:pt>
                <c:pt idx="498">
                  <c:v>5.4168636511962697E-3</c:v>
                </c:pt>
                <c:pt idx="499">
                  <c:v>5.4440840715540397E-3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66-4B1B-8679-21D57A74F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2999064"/>
        <c:axId val="2113002936"/>
      </c:scatterChart>
      <c:valAx>
        <c:axId val="2112999064"/>
        <c:scaling>
          <c:orientation val="minMax"/>
          <c:max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002936"/>
        <c:crosses val="autoZero"/>
        <c:crossBetween val="midCat"/>
      </c:valAx>
      <c:valAx>
        <c:axId val="2113002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2999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Loss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'$ VaR Vol Adjust'!$Q$4</c:f>
              <c:strCache>
                <c:ptCount val="1"/>
                <c:pt idx="0">
                  <c:v>Loss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'$ VaR Vol Adjust'!$S$5:$S$27</c:f>
              <c:numCache>
                <c:formatCode>General</c:formatCode>
                <c:ptCount val="23"/>
                <c:pt idx="0">
                  <c:v>-600</c:v>
                </c:pt>
                <c:pt idx="1">
                  <c:v>-550</c:v>
                </c:pt>
                <c:pt idx="2">
                  <c:v>-500</c:v>
                </c:pt>
                <c:pt idx="3">
                  <c:v>-450</c:v>
                </c:pt>
                <c:pt idx="4">
                  <c:v>-400</c:v>
                </c:pt>
                <c:pt idx="5">
                  <c:v>-350</c:v>
                </c:pt>
                <c:pt idx="6">
                  <c:v>-300</c:v>
                </c:pt>
                <c:pt idx="7">
                  <c:v>-250</c:v>
                </c:pt>
                <c:pt idx="8">
                  <c:v>-200</c:v>
                </c:pt>
                <c:pt idx="9">
                  <c:v>-150</c:v>
                </c:pt>
                <c:pt idx="10">
                  <c:v>-100</c:v>
                </c:pt>
                <c:pt idx="11">
                  <c:v>-50</c:v>
                </c:pt>
                <c:pt idx="12">
                  <c:v>0</c:v>
                </c:pt>
                <c:pt idx="13">
                  <c:v>50</c:v>
                </c:pt>
                <c:pt idx="14">
                  <c:v>100</c:v>
                </c:pt>
                <c:pt idx="15">
                  <c:v>150</c:v>
                </c:pt>
                <c:pt idx="16">
                  <c:v>200</c:v>
                </c:pt>
                <c:pt idx="17">
                  <c:v>250</c:v>
                </c:pt>
                <c:pt idx="18">
                  <c:v>300</c:v>
                </c:pt>
                <c:pt idx="19">
                  <c:v>350</c:v>
                </c:pt>
                <c:pt idx="20">
                  <c:v>400</c:v>
                </c:pt>
                <c:pt idx="21">
                  <c:v>450</c:v>
                </c:pt>
                <c:pt idx="22">
                  <c:v>500</c:v>
                </c:pt>
              </c:numCache>
            </c:numRef>
          </c:cat>
          <c:val>
            <c:numRef>
              <c:f>'$ VaR Vol Adjust'!$U$5:$U$27</c:f>
              <c:numCache>
                <c:formatCode>0.0%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2E-3</c:v>
                </c:pt>
                <c:pt idx="3">
                  <c:v>6.0000000000000001E-3</c:v>
                </c:pt>
                <c:pt idx="4">
                  <c:v>1.6E-2</c:v>
                </c:pt>
                <c:pt idx="5">
                  <c:v>0.01</c:v>
                </c:pt>
                <c:pt idx="6">
                  <c:v>1.6E-2</c:v>
                </c:pt>
                <c:pt idx="7">
                  <c:v>4.2000000000000003E-2</c:v>
                </c:pt>
                <c:pt idx="8">
                  <c:v>0.06</c:v>
                </c:pt>
                <c:pt idx="9">
                  <c:v>0.09</c:v>
                </c:pt>
                <c:pt idx="10">
                  <c:v>0.104</c:v>
                </c:pt>
                <c:pt idx="11">
                  <c:v>0.09</c:v>
                </c:pt>
                <c:pt idx="12">
                  <c:v>0.108</c:v>
                </c:pt>
                <c:pt idx="13">
                  <c:v>8.2000000000000003E-2</c:v>
                </c:pt>
                <c:pt idx="14">
                  <c:v>6.6000000000000003E-2</c:v>
                </c:pt>
                <c:pt idx="15">
                  <c:v>0.08</c:v>
                </c:pt>
                <c:pt idx="16">
                  <c:v>4.5999999999999999E-2</c:v>
                </c:pt>
                <c:pt idx="17">
                  <c:v>0.06</c:v>
                </c:pt>
                <c:pt idx="18">
                  <c:v>4.5999999999999999E-2</c:v>
                </c:pt>
                <c:pt idx="19">
                  <c:v>3.2000000000000001E-2</c:v>
                </c:pt>
                <c:pt idx="20">
                  <c:v>2.1999999999999999E-2</c:v>
                </c:pt>
                <c:pt idx="21">
                  <c:v>0.01</c:v>
                </c:pt>
                <c:pt idx="22">
                  <c:v>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E0-48D3-AF3B-8F7A0B1C4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4015336"/>
        <c:axId val="2114018904"/>
      </c:barChart>
      <c:catAx>
        <c:axId val="2114015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4018904"/>
        <c:crosses val="autoZero"/>
        <c:auto val="1"/>
        <c:lblAlgn val="ctr"/>
        <c:lblOffset val="100"/>
        <c:noMultiLvlLbl val="0"/>
      </c:catAx>
      <c:valAx>
        <c:axId val="2114018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4015336"/>
        <c:crosses val="autoZero"/>
        <c:crossBetween val="between"/>
        <c:majorUnit val="0.0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674620477002205E-2"/>
          <c:y val="5.0925925925925902E-2"/>
          <c:w val="0.78941160961746704"/>
          <c:h val="0.8416746864975209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'$ VaR Vol Adjust'!$B$22</c:f>
              <c:strCache>
                <c:ptCount val="1"/>
                <c:pt idx="0">
                  <c:v> $ VaR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'$ VaR Vol Adjust'!$A$23:$A$42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VaR Vol Adjust'!$B$23:$B$42</c:f>
              <c:numCache>
                <c:formatCode>0.00</c:formatCode>
                <c:ptCount val="20"/>
                <c:pt idx="0">
                  <c:v>197.77605102360764</c:v>
                </c:pt>
                <c:pt idx="1">
                  <c:v>174.82960454623714</c:v>
                </c:pt>
                <c:pt idx="2">
                  <c:v>157.4731149681979</c:v>
                </c:pt>
                <c:pt idx="3">
                  <c:v>153.25182550930612</c:v>
                </c:pt>
                <c:pt idx="4">
                  <c:v>150.43714980550732</c:v>
                </c:pt>
                <c:pt idx="5">
                  <c:v>146.44886579576666</c:v>
                </c:pt>
                <c:pt idx="6">
                  <c:v>143.74312603547494</c:v>
                </c:pt>
                <c:pt idx="7">
                  <c:v>140.31575478628554</c:v>
                </c:pt>
                <c:pt idx="8">
                  <c:v>139.51140595279625</c:v>
                </c:pt>
                <c:pt idx="9">
                  <c:v>137.60632363365093</c:v>
                </c:pt>
                <c:pt idx="10">
                  <c:v>130.08363611410681</c:v>
                </c:pt>
                <c:pt idx="11">
                  <c:v>123.05449498583694</c:v>
                </c:pt>
                <c:pt idx="12">
                  <c:v>117.03385579845116</c:v>
                </c:pt>
                <c:pt idx="13">
                  <c:v>109.4072174304046</c:v>
                </c:pt>
                <c:pt idx="14">
                  <c:v>105.89736302102642</c:v>
                </c:pt>
                <c:pt idx="15">
                  <c:v>104.72393006382819</c:v>
                </c:pt>
                <c:pt idx="16">
                  <c:v>102.62477111263937</c:v>
                </c:pt>
                <c:pt idx="17">
                  <c:v>101.52637445265184</c:v>
                </c:pt>
                <c:pt idx="18">
                  <c:v>97.85512237401062</c:v>
                </c:pt>
                <c:pt idx="19">
                  <c:v>92.315259418915758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2-4FFF-97EB-119C5F879E45}"/>
            </c:ext>
          </c:extLst>
        </c:ser>
        <c:ser>
          <c:idx val="1"/>
          <c:order val="1"/>
          <c:tx>
            <c:strRef>
              <c:f>'$ VaR Vol Adjust'!$D$22</c:f>
              <c:strCache>
                <c:ptCount val="1"/>
                <c:pt idx="0">
                  <c:v>CI_Low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'$ VaR Vol Adjust'!$A$23:$A$42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VaR Vol Adjust'!$D$23:$D$42</c:f>
              <c:numCache>
                <c:formatCode>0.00</c:formatCode>
                <c:ptCount val="20"/>
                <c:pt idx="0">
                  <c:v>172.15399511107094</c:v>
                </c:pt>
                <c:pt idx="1">
                  <c:v>155.22024170962794</c:v>
                </c:pt>
                <c:pt idx="2">
                  <c:v>140.61373866978533</c:v>
                </c:pt>
                <c:pt idx="3">
                  <c:v>138.06391681118512</c:v>
                </c:pt>
                <c:pt idx="4">
                  <c:v>136.40570353963162</c:v>
                </c:pt>
                <c:pt idx="5">
                  <c:v>133.28001912923108</c:v>
                </c:pt>
                <c:pt idx="6">
                  <c:v>131.2501928518916</c:v>
                </c:pt>
                <c:pt idx="7">
                  <c:v>128.37124018680507</c:v>
                </c:pt>
                <c:pt idx="8">
                  <c:v>128.02357235353992</c:v>
                </c:pt>
                <c:pt idx="9">
                  <c:v>126.50650092061571</c:v>
                </c:pt>
                <c:pt idx="10">
                  <c:v>119.31880301199516</c:v>
                </c:pt>
                <c:pt idx="11">
                  <c:v>112.58267751438626</c:v>
                </c:pt>
                <c:pt idx="12">
                  <c:v>106.82113503464602</c:v>
                </c:pt>
                <c:pt idx="13">
                  <c:v>99.425707167142889</c:v>
                </c:pt>
                <c:pt idx="14">
                  <c:v>96.123798258106007</c:v>
                </c:pt>
                <c:pt idx="15">
                  <c:v>95.138654634997721</c:v>
                </c:pt>
                <c:pt idx="16">
                  <c:v>93.210994419933755</c:v>
                </c:pt>
                <c:pt idx="17">
                  <c:v>92.269614600635151</c:v>
                </c:pt>
                <c:pt idx="18">
                  <c:v>88.742781483485416</c:v>
                </c:pt>
                <c:pt idx="19">
                  <c:v>83.336294625276992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62-4FFF-97EB-119C5F879E45}"/>
            </c:ext>
          </c:extLst>
        </c:ser>
        <c:ser>
          <c:idx val="2"/>
          <c:order val="2"/>
          <c:tx>
            <c:strRef>
              <c:f>'$ VaR Vol Adjust'!$E$22</c:f>
              <c:strCache>
                <c:ptCount val="1"/>
                <c:pt idx="0">
                  <c:v>CI_UP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'$ VaR Vol Adjust'!$A$23:$A$42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VaR Vol Adjust'!$E$23:$E$42</c:f>
              <c:numCache>
                <c:formatCode>0.00</c:formatCode>
                <c:ptCount val="20"/>
                <c:pt idx="0">
                  <c:v>223.39810693614433</c:v>
                </c:pt>
                <c:pt idx="1">
                  <c:v>194.43896738284633</c:v>
                </c:pt>
                <c:pt idx="2">
                  <c:v>174.33249126661048</c:v>
                </c:pt>
                <c:pt idx="3">
                  <c:v>168.43973420742711</c:v>
                </c:pt>
                <c:pt idx="4">
                  <c:v>164.46859607138302</c:v>
                </c:pt>
                <c:pt idx="5">
                  <c:v>159.61771246230225</c:v>
                </c:pt>
                <c:pt idx="6">
                  <c:v>156.23605921905829</c:v>
                </c:pt>
                <c:pt idx="7">
                  <c:v>152.26026938576601</c:v>
                </c:pt>
                <c:pt idx="8">
                  <c:v>150.99923955205259</c:v>
                </c:pt>
                <c:pt idx="9">
                  <c:v>148.70614634668615</c:v>
                </c:pt>
                <c:pt idx="10">
                  <c:v>140.84846921621846</c:v>
                </c:pt>
                <c:pt idx="11">
                  <c:v>133.52631245728762</c:v>
                </c:pt>
                <c:pt idx="12">
                  <c:v>127.24657656225629</c:v>
                </c:pt>
                <c:pt idx="13">
                  <c:v>119.38872769366631</c:v>
                </c:pt>
                <c:pt idx="14">
                  <c:v>115.67092778394684</c:v>
                </c:pt>
                <c:pt idx="15">
                  <c:v>114.30920549265866</c:v>
                </c:pt>
                <c:pt idx="16">
                  <c:v>112.03854780534498</c:v>
                </c:pt>
                <c:pt idx="17">
                  <c:v>110.78313430466852</c:v>
                </c:pt>
                <c:pt idx="18">
                  <c:v>106.96746326453582</c:v>
                </c:pt>
                <c:pt idx="19">
                  <c:v>101.29422421255452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262-4FFF-97EB-119C5F879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435832"/>
        <c:axId val="2111439608"/>
      </c:scatterChart>
      <c:valAx>
        <c:axId val="2111435832"/>
        <c:scaling>
          <c:orientation val="minMax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439608"/>
        <c:crosses val="autoZero"/>
        <c:crossBetween val="midCat"/>
      </c:valAx>
      <c:valAx>
        <c:axId val="2111439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435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674620477002205E-2"/>
          <c:y val="5.0925925925925902E-2"/>
          <c:w val="0.78941160961746704"/>
          <c:h val="0.8416746864975209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'$ VaR Vol Adjust'!$B$22</c:f>
              <c:strCache>
                <c:ptCount val="1"/>
                <c:pt idx="0">
                  <c:v> $ VaR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'$ VaR Vol Adjust'!$A$23:$A$42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VaR Vol Adjust'!$B$23:$B$42</c:f>
              <c:numCache>
                <c:formatCode>0.00</c:formatCode>
                <c:ptCount val="20"/>
                <c:pt idx="0">
                  <c:v>197.77605102360764</c:v>
                </c:pt>
                <c:pt idx="1">
                  <c:v>174.82960454623714</c:v>
                </c:pt>
                <c:pt idx="2">
                  <c:v>157.4731149681979</c:v>
                </c:pt>
                <c:pt idx="3">
                  <c:v>153.25182550930612</c:v>
                </c:pt>
                <c:pt idx="4">
                  <c:v>150.43714980550732</c:v>
                </c:pt>
                <c:pt idx="5">
                  <c:v>146.44886579576666</c:v>
                </c:pt>
                <c:pt idx="6">
                  <c:v>143.74312603547494</c:v>
                </c:pt>
                <c:pt idx="7">
                  <c:v>140.31575478628554</c:v>
                </c:pt>
                <c:pt idx="8">
                  <c:v>139.51140595279625</c:v>
                </c:pt>
                <c:pt idx="9">
                  <c:v>137.60632363365093</c:v>
                </c:pt>
                <c:pt idx="10">
                  <c:v>130.08363611410681</c:v>
                </c:pt>
                <c:pt idx="11">
                  <c:v>123.05449498583694</c:v>
                </c:pt>
                <c:pt idx="12">
                  <c:v>117.03385579845116</c:v>
                </c:pt>
                <c:pt idx="13">
                  <c:v>109.4072174304046</c:v>
                </c:pt>
                <c:pt idx="14">
                  <c:v>105.89736302102642</c:v>
                </c:pt>
                <c:pt idx="15">
                  <c:v>104.72393006382819</c:v>
                </c:pt>
                <c:pt idx="16">
                  <c:v>102.62477111263937</c:v>
                </c:pt>
                <c:pt idx="17">
                  <c:v>101.52637445265184</c:v>
                </c:pt>
                <c:pt idx="18">
                  <c:v>97.85512237401062</c:v>
                </c:pt>
                <c:pt idx="19">
                  <c:v>92.315259418915758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91-495B-A448-514CC07D5EFF}"/>
            </c:ext>
          </c:extLst>
        </c:ser>
        <c:ser>
          <c:idx val="1"/>
          <c:order val="1"/>
          <c:tx>
            <c:strRef>
              <c:f>'$ VaR Vol Adjust'!$G$22</c:f>
              <c:strCache>
                <c:ptCount val="1"/>
                <c:pt idx="0">
                  <c:v>ES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'$ VaR Vol Adjust'!$A$23:$A$42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VaR Vol Adjust'!$G$23:$G$42</c:f>
              <c:numCache>
                <c:formatCode>0.00</c:formatCode>
                <c:ptCount val="20"/>
                <c:pt idx="0">
                  <c:v>303.15516845899418</c:v>
                </c:pt>
                <c:pt idx="1">
                  <c:v>290.81750599689724</c:v>
                </c:pt>
                <c:pt idx="2">
                  <c:v>282.65451937394863</c:v>
                </c:pt>
                <c:pt idx="3">
                  <c:v>281.52675003141553</c:v>
                </c:pt>
                <c:pt idx="4">
                  <c:v>278.10246904032374</c:v>
                </c:pt>
                <c:pt idx="5">
                  <c:v>274.74178113976058</c:v>
                </c:pt>
                <c:pt idx="6">
                  <c:v>271.50964112228797</c:v>
                </c:pt>
                <c:pt idx="7">
                  <c:v>271.50964112228797</c:v>
                </c:pt>
                <c:pt idx="8">
                  <c:v>270.42145343071269</c:v>
                </c:pt>
                <c:pt idx="9">
                  <c:v>269.34833804578159</c:v>
                </c:pt>
                <c:pt idx="10">
                  <c:v>264.07432975785241</c:v>
                </c:pt>
                <c:pt idx="11">
                  <c:v>258.95785431185806</c:v>
                </c:pt>
                <c:pt idx="12">
                  <c:v>254.84592730524565</c:v>
                </c:pt>
                <c:pt idx="13">
                  <c:v>246.09471088228608</c:v>
                </c:pt>
                <c:pt idx="14">
                  <c:v>240.5994777864575</c:v>
                </c:pt>
                <c:pt idx="15">
                  <c:v>239.70938401982366</c:v>
                </c:pt>
                <c:pt idx="16">
                  <c:v>238.82300107715474</c:v>
                </c:pt>
                <c:pt idx="17">
                  <c:v>238.82300107715474</c:v>
                </c:pt>
                <c:pt idx="18">
                  <c:v>236.13627936288393</c:v>
                </c:pt>
                <c:pt idx="19">
                  <c:v>234.36372661361051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91-495B-A448-514CC07D5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087848"/>
        <c:axId val="2111091624"/>
      </c:scatterChart>
      <c:valAx>
        <c:axId val="2111087848"/>
        <c:scaling>
          <c:orientation val="minMax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091624"/>
        <c:crosses val="autoZero"/>
        <c:crossBetween val="midCat"/>
      </c:valAx>
      <c:valAx>
        <c:axId val="2111091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087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674620477002205E-2"/>
          <c:y val="5.0925925925925902E-2"/>
          <c:w val="0.78941160961746704"/>
          <c:h val="0.8416746864975209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'$ VaR Vol Adjust'!$F$22</c:f>
              <c:strCache>
                <c:ptCount val="1"/>
                <c:pt idx="0">
                  <c:v>C_Int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'$ VaR Vol Adjust'!$A$23:$A$42</c:f>
              <c:numCache>
                <c:formatCode>0.000</c:formatCode>
                <c:ptCount val="20"/>
                <c:pt idx="0">
                  <c:v>0.995</c:v>
                </c:pt>
                <c:pt idx="1">
                  <c:v>0.99</c:v>
                </c:pt>
                <c:pt idx="2">
                  <c:v>0.98499999999999999</c:v>
                </c:pt>
                <c:pt idx="3">
                  <c:v>0.98</c:v>
                </c:pt>
                <c:pt idx="4">
                  <c:v>0.97499999999999998</c:v>
                </c:pt>
                <c:pt idx="5">
                  <c:v>0.97</c:v>
                </c:pt>
                <c:pt idx="6">
                  <c:v>0.96499999999999997</c:v>
                </c:pt>
                <c:pt idx="7">
                  <c:v>0.96</c:v>
                </c:pt>
                <c:pt idx="8">
                  <c:v>0.95499999999999996</c:v>
                </c:pt>
                <c:pt idx="9">
                  <c:v>0.95</c:v>
                </c:pt>
                <c:pt idx="10">
                  <c:v>0.94499999999999995</c:v>
                </c:pt>
                <c:pt idx="11">
                  <c:v>0.94</c:v>
                </c:pt>
                <c:pt idx="12">
                  <c:v>0.93500000000000005</c:v>
                </c:pt>
                <c:pt idx="13">
                  <c:v>0.93</c:v>
                </c:pt>
                <c:pt idx="14">
                  <c:v>0.92500000000000004</c:v>
                </c:pt>
                <c:pt idx="15">
                  <c:v>0.92</c:v>
                </c:pt>
                <c:pt idx="16">
                  <c:v>0.91500000000000004</c:v>
                </c:pt>
                <c:pt idx="17">
                  <c:v>0.91</c:v>
                </c:pt>
                <c:pt idx="18">
                  <c:v>0.90500000000000003</c:v>
                </c:pt>
                <c:pt idx="19">
                  <c:v>0.9</c:v>
                </c:pt>
              </c:numCache>
            </c:numRef>
          </c:xVal>
          <c:yVal>
            <c:numRef>
              <c:f>'$ VaR Vol Adjust'!$F$23:$F$42</c:f>
              <c:numCache>
                <c:formatCode>0.00</c:formatCode>
                <c:ptCount val="20"/>
                <c:pt idx="0">
                  <c:v>51.244111825073389</c:v>
                </c:pt>
                <c:pt idx="1">
                  <c:v>39.218725673218387</c:v>
                </c:pt>
                <c:pt idx="2">
                  <c:v>33.718752596825141</c:v>
                </c:pt>
                <c:pt idx="3">
                  <c:v>30.375817396241985</c:v>
                </c:pt>
                <c:pt idx="4">
                  <c:v>28.062892531751402</c:v>
                </c:pt>
                <c:pt idx="5">
                  <c:v>26.337693333071172</c:v>
                </c:pt>
                <c:pt idx="6">
                  <c:v>24.985866367166693</c:v>
                </c:pt>
                <c:pt idx="7">
                  <c:v>23.889029198960941</c:v>
                </c:pt>
                <c:pt idx="8">
                  <c:v>22.975667198512667</c:v>
                </c:pt>
                <c:pt idx="9">
                  <c:v>22.199645426070447</c:v>
                </c:pt>
                <c:pt idx="10">
                  <c:v>21.529666204223304</c:v>
                </c:pt>
                <c:pt idx="11">
                  <c:v>20.943634942901355</c:v>
                </c:pt>
                <c:pt idx="12">
                  <c:v>20.425441527610275</c:v>
                </c:pt>
                <c:pt idx="13">
                  <c:v>19.963020526523422</c:v>
                </c:pt>
                <c:pt idx="14">
                  <c:v>19.54712952584083</c:v>
                </c:pt>
                <c:pt idx="15">
                  <c:v>19.170550857660942</c:v>
                </c:pt>
                <c:pt idx="16">
                  <c:v>18.827553385411221</c:v>
                </c:pt>
                <c:pt idx="17">
                  <c:v>18.513519704033371</c:v>
                </c:pt>
                <c:pt idx="18">
                  <c:v>18.224681781050407</c:v>
                </c:pt>
                <c:pt idx="19">
                  <c:v>17.957929587277533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E6-4897-858E-203B8F98B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3141560"/>
        <c:axId val="2113145368"/>
      </c:scatterChart>
      <c:valAx>
        <c:axId val="2113141560"/>
        <c:scaling>
          <c:orientation val="minMax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145368"/>
        <c:crosses val="autoZero"/>
        <c:crossBetween val="midCat"/>
      </c:valAx>
      <c:valAx>
        <c:axId val="211314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141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206373</xdr:colOff>
      <xdr:row>1</xdr:row>
      <xdr:rowOff>78317</xdr:rowOff>
    </xdr:from>
    <xdr:to>
      <xdr:col>23</xdr:col>
      <xdr:colOff>63499</xdr:colOff>
      <xdr:row>20</xdr:row>
      <xdr:rowOff>116417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3F8D26B-41AD-4530-B86A-6DBDF5AA92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238122</xdr:colOff>
      <xdr:row>1</xdr:row>
      <xdr:rowOff>99483</xdr:rowOff>
    </xdr:from>
    <xdr:to>
      <xdr:col>34</xdr:col>
      <xdr:colOff>518581</xdr:colOff>
      <xdr:row>20</xdr:row>
      <xdr:rowOff>116416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45EB0B9-58C1-4983-AF21-0DBA399B9E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343956</xdr:colOff>
      <xdr:row>22</xdr:row>
      <xdr:rowOff>35984</xdr:rowOff>
    </xdr:from>
    <xdr:to>
      <xdr:col>34</xdr:col>
      <xdr:colOff>560916</xdr:colOff>
      <xdr:row>41</xdr:row>
      <xdr:rowOff>52917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1E9CF5BD-B055-4C00-AAA0-FBFC3A9E58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238124</xdr:colOff>
      <xdr:row>22</xdr:row>
      <xdr:rowOff>99483</xdr:rowOff>
    </xdr:from>
    <xdr:to>
      <xdr:col>23</xdr:col>
      <xdr:colOff>158750</xdr:colOff>
      <xdr:row>42</xdr:row>
      <xdr:rowOff>21167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EA98863F-377B-4D61-8BB1-A3A7341F8C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365124</xdr:colOff>
      <xdr:row>42</xdr:row>
      <xdr:rowOff>184149</xdr:rowOff>
    </xdr:from>
    <xdr:to>
      <xdr:col>35</xdr:col>
      <xdr:colOff>10584</xdr:colOff>
      <xdr:row>63</xdr:row>
      <xdr:rowOff>84666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7EE5F3F6-8AC0-45D8-85BF-DAF3EBE79B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269875</xdr:colOff>
      <xdr:row>43</xdr:row>
      <xdr:rowOff>184149</xdr:rowOff>
    </xdr:from>
    <xdr:to>
      <xdr:col>23</xdr:col>
      <xdr:colOff>127000</xdr:colOff>
      <xdr:row>63</xdr:row>
      <xdr:rowOff>137582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D39007CD-9339-44FD-8659-26544809E3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284238</xdr:colOff>
      <xdr:row>65</xdr:row>
      <xdr:rowOff>33874</xdr:rowOff>
    </xdr:from>
    <xdr:to>
      <xdr:col>23</xdr:col>
      <xdr:colOff>205619</xdr:colOff>
      <xdr:row>82</xdr:row>
      <xdr:rowOff>60476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ED79EEA-9596-9AAE-CEED-6791DE3B77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105833</xdr:colOff>
      <xdr:row>18</xdr:row>
      <xdr:rowOff>42334</xdr:rowOff>
    </xdr:from>
    <xdr:to>
      <xdr:col>6</xdr:col>
      <xdr:colOff>423334</xdr:colOff>
      <xdr:row>35</xdr:row>
      <xdr:rowOff>105833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84667</xdr:colOff>
      <xdr:row>35</xdr:row>
      <xdr:rowOff>169334</xdr:rowOff>
    </xdr:from>
    <xdr:to>
      <xdr:col>6</xdr:col>
      <xdr:colOff>402168</xdr:colOff>
      <xdr:row>53</xdr:row>
      <xdr:rowOff>158751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228864</xdr:colOff>
      <xdr:row>57</xdr:row>
      <xdr:rowOff>142877</xdr:rowOff>
    </xdr:from>
    <xdr:to>
      <xdr:col>6</xdr:col>
      <xdr:colOff>546365</xdr:colOff>
      <xdr:row>80</xdr:row>
      <xdr:rowOff>18523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89958</xdr:colOff>
      <xdr:row>3</xdr:row>
      <xdr:rowOff>184149</xdr:rowOff>
    </xdr:from>
    <xdr:to>
      <xdr:col>24</xdr:col>
      <xdr:colOff>105834</xdr:colOff>
      <xdr:row>18</xdr:row>
      <xdr:rowOff>69849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89957</xdr:colOff>
      <xdr:row>18</xdr:row>
      <xdr:rowOff>136525</xdr:rowOff>
    </xdr:from>
    <xdr:to>
      <xdr:col>24</xdr:col>
      <xdr:colOff>116416</xdr:colOff>
      <xdr:row>33</xdr:row>
      <xdr:rowOff>22225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179916</xdr:colOff>
      <xdr:row>18</xdr:row>
      <xdr:rowOff>137583</xdr:rowOff>
    </xdr:from>
    <xdr:to>
      <xdr:col>30</xdr:col>
      <xdr:colOff>206375</xdr:colOff>
      <xdr:row>33</xdr:row>
      <xdr:rowOff>23283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74083</xdr:colOff>
      <xdr:row>33</xdr:row>
      <xdr:rowOff>84667</xdr:rowOff>
    </xdr:from>
    <xdr:to>
      <xdr:col>24</xdr:col>
      <xdr:colOff>100542</xdr:colOff>
      <xdr:row>47</xdr:row>
      <xdr:rowOff>160867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89958</xdr:colOff>
      <xdr:row>3</xdr:row>
      <xdr:rowOff>184149</xdr:rowOff>
    </xdr:from>
    <xdr:to>
      <xdr:col>28</xdr:col>
      <xdr:colOff>105834</xdr:colOff>
      <xdr:row>18</xdr:row>
      <xdr:rowOff>69849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89957</xdr:colOff>
      <xdr:row>18</xdr:row>
      <xdr:rowOff>136525</xdr:rowOff>
    </xdr:from>
    <xdr:to>
      <xdr:col>28</xdr:col>
      <xdr:colOff>116416</xdr:colOff>
      <xdr:row>33</xdr:row>
      <xdr:rowOff>22225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179916</xdr:colOff>
      <xdr:row>18</xdr:row>
      <xdr:rowOff>137583</xdr:rowOff>
    </xdr:from>
    <xdr:to>
      <xdr:col>34</xdr:col>
      <xdr:colOff>206375</xdr:colOff>
      <xdr:row>33</xdr:row>
      <xdr:rowOff>23283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74083</xdr:colOff>
      <xdr:row>33</xdr:row>
      <xdr:rowOff>84667</xdr:rowOff>
    </xdr:from>
    <xdr:to>
      <xdr:col>28</xdr:col>
      <xdr:colOff>100542</xdr:colOff>
      <xdr:row>47</xdr:row>
      <xdr:rowOff>160867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89958</xdr:colOff>
      <xdr:row>3</xdr:row>
      <xdr:rowOff>184149</xdr:rowOff>
    </xdr:from>
    <xdr:to>
      <xdr:col>30</xdr:col>
      <xdr:colOff>105834</xdr:colOff>
      <xdr:row>18</xdr:row>
      <xdr:rowOff>69849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89957</xdr:colOff>
      <xdr:row>18</xdr:row>
      <xdr:rowOff>136525</xdr:rowOff>
    </xdr:from>
    <xdr:to>
      <xdr:col>30</xdr:col>
      <xdr:colOff>116416</xdr:colOff>
      <xdr:row>33</xdr:row>
      <xdr:rowOff>22225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179916</xdr:colOff>
      <xdr:row>18</xdr:row>
      <xdr:rowOff>137583</xdr:rowOff>
    </xdr:from>
    <xdr:to>
      <xdr:col>36</xdr:col>
      <xdr:colOff>206375</xdr:colOff>
      <xdr:row>33</xdr:row>
      <xdr:rowOff>23283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74083</xdr:colOff>
      <xdr:row>33</xdr:row>
      <xdr:rowOff>84667</xdr:rowOff>
    </xdr:from>
    <xdr:to>
      <xdr:col>30</xdr:col>
      <xdr:colOff>100542</xdr:colOff>
      <xdr:row>47</xdr:row>
      <xdr:rowOff>160867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105833</xdr:colOff>
      <xdr:row>18</xdr:row>
      <xdr:rowOff>42334</xdr:rowOff>
    </xdr:from>
    <xdr:to>
      <xdr:col>6</xdr:col>
      <xdr:colOff>423334</xdr:colOff>
      <xdr:row>35</xdr:row>
      <xdr:rowOff>105833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95249</xdr:colOff>
      <xdr:row>35</xdr:row>
      <xdr:rowOff>157690</xdr:rowOff>
    </xdr:from>
    <xdr:to>
      <xdr:col>6</xdr:col>
      <xdr:colOff>423333</xdr:colOff>
      <xdr:row>53</xdr:row>
      <xdr:rowOff>21166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89958</xdr:colOff>
      <xdr:row>3</xdr:row>
      <xdr:rowOff>184149</xdr:rowOff>
    </xdr:from>
    <xdr:to>
      <xdr:col>28</xdr:col>
      <xdr:colOff>105834</xdr:colOff>
      <xdr:row>18</xdr:row>
      <xdr:rowOff>69849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89957</xdr:colOff>
      <xdr:row>18</xdr:row>
      <xdr:rowOff>136525</xdr:rowOff>
    </xdr:from>
    <xdr:to>
      <xdr:col>28</xdr:col>
      <xdr:colOff>116416</xdr:colOff>
      <xdr:row>33</xdr:row>
      <xdr:rowOff>22225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179916</xdr:colOff>
      <xdr:row>18</xdr:row>
      <xdr:rowOff>137583</xdr:rowOff>
    </xdr:from>
    <xdr:to>
      <xdr:col>34</xdr:col>
      <xdr:colOff>206375</xdr:colOff>
      <xdr:row>33</xdr:row>
      <xdr:rowOff>23283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74083</xdr:colOff>
      <xdr:row>33</xdr:row>
      <xdr:rowOff>84667</xdr:rowOff>
    </xdr:from>
    <xdr:to>
      <xdr:col>28</xdr:col>
      <xdr:colOff>100542</xdr:colOff>
      <xdr:row>47</xdr:row>
      <xdr:rowOff>160867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S103"/>
  <sheetViews>
    <sheetView zoomScaleNormal="100" workbookViewId="0">
      <selection activeCell="S4" sqref="S4"/>
    </sheetView>
  </sheetViews>
  <sheetFormatPr defaultColWidth="8.88671875" defaultRowHeight="14.4" x14ac:dyDescent="0.3"/>
  <cols>
    <col min="1" max="2" width="8.88671875" style="16"/>
    <col min="3" max="3" width="8.88671875" style="153"/>
    <col min="4" max="4" width="8.88671875" style="16"/>
    <col min="5" max="5" width="8.88671875" style="153"/>
    <col min="6" max="6" width="8.88671875" style="16"/>
    <col min="7" max="7" width="4.6640625" style="16" customWidth="1"/>
    <col min="8" max="8" width="8.109375" style="16" customWidth="1"/>
    <col min="9" max="9" width="8.88671875" style="16"/>
    <col min="10" max="10" width="8.88671875" style="33"/>
    <col min="11" max="13" width="8.88671875" style="16"/>
    <col min="14" max="14" width="3.88671875" style="16" customWidth="1"/>
    <col min="15" max="17" width="8.88671875" style="16"/>
    <col min="18" max="18" width="8.88671875" style="33"/>
    <col min="19" max="16384" width="8.88671875" style="16"/>
  </cols>
  <sheetData>
    <row r="2" spans="1:19" x14ac:dyDescent="0.3">
      <c r="A2" s="16">
        <f>COUNT(A4:$A$103)</f>
        <v>100</v>
      </c>
      <c r="C2" s="159" t="s">
        <v>88</v>
      </c>
      <c r="D2" s="160"/>
      <c r="E2" s="159" t="s">
        <v>89</v>
      </c>
      <c r="F2" s="160"/>
      <c r="H2" s="16">
        <f>COUNT($H$4:$H$13)</f>
        <v>10</v>
      </c>
      <c r="J2" s="159" t="s">
        <v>88</v>
      </c>
      <c r="K2" s="160"/>
      <c r="L2" s="159" t="s">
        <v>89</v>
      </c>
      <c r="M2" s="160"/>
      <c r="P2" s="159" t="s">
        <v>88</v>
      </c>
      <c r="Q2" s="160"/>
      <c r="R2" s="159" t="s">
        <v>89</v>
      </c>
      <c r="S2" s="160"/>
    </row>
    <row r="3" spans="1:19" s="134" customFormat="1" x14ac:dyDescent="0.3">
      <c r="A3" s="129" t="s">
        <v>90</v>
      </c>
      <c r="B3" s="130" t="s">
        <v>91</v>
      </c>
      <c r="C3" s="131" t="s">
        <v>92</v>
      </c>
      <c r="D3" s="132" t="s">
        <v>93</v>
      </c>
      <c r="E3" s="131" t="s">
        <v>92</v>
      </c>
      <c r="F3" s="133" t="s">
        <v>94</v>
      </c>
      <c r="H3" s="129" t="s">
        <v>90</v>
      </c>
      <c r="I3" s="129" t="s">
        <v>91</v>
      </c>
      <c r="J3" s="131" t="s">
        <v>92</v>
      </c>
      <c r="K3" s="132" t="s">
        <v>93</v>
      </c>
      <c r="L3" s="130" t="s">
        <v>92</v>
      </c>
      <c r="M3" s="133" t="s">
        <v>94</v>
      </c>
      <c r="O3" s="129" t="s">
        <v>92</v>
      </c>
      <c r="P3" s="132" t="s">
        <v>90</v>
      </c>
      <c r="Q3" s="132" t="s">
        <v>95</v>
      </c>
      <c r="R3" s="130" t="s">
        <v>90</v>
      </c>
      <c r="S3" s="133" t="s">
        <v>94</v>
      </c>
    </row>
    <row r="4" spans="1:19" x14ac:dyDescent="0.3">
      <c r="A4" s="135">
        <v>1</v>
      </c>
      <c r="B4" s="135">
        <v>1</v>
      </c>
      <c r="C4" s="136">
        <f t="shared" ref="C4:C67" si="0">(A4-1)/($A$2-1)</f>
        <v>0</v>
      </c>
      <c r="D4" s="137">
        <f t="shared" ref="D4:D67" si="1">_xlfn.PERCENTILE.INC($B$4:$B$103,C4)</f>
        <v>1</v>
      </c>
      <c r="E4" s="136">
        <f t="shared" ref="E4:E67" si="2">A4/($A$2+1)</f>
        <v>9.9009900990099011E-3</v>
      </c>
      <c r="F4" s="137">
        <f t="shared" ref="F4:F67" si="3">_xlfn.PERCENTILE.EXC($B$4:$B$103,E4)</f>
        <v>1</v>
      </c>
      <c r="H4" s="135">
        <v>1</v>
      </c>
      <c r="I4" s="135">
        <v>2</v>
      </c>
      <c r="J4" s="138">
        <f t="shared" ref="J4:J13" si="4">(H4-1)/($H$2-1)</f>
        <v>0</v>
      </c>
      <c r="K4" s="139">
        <f t="shared" ref="K4:K13" si="5">_xlfn.PERCENTILE.INC($I$4:$I$13,J4)</f>
        <v>2</v>
      </c>
      <c r="L4" s="138">
        <f t="shared" ref="L4:L13" si="6">H4/($H$2+1)</f>
        <v>9.0909090909090912E-2</v>
      </c>
      <c r="M4" s="139">
        <f t="shared" ref="M4:M13" si="7">_xlfn.PERCENTILE.EXC($I$4:$I$13,L4)</f>
        <v>2</v>
      </c>
      <c r="O4" s="140">
        <v>0.05</v>
      </c>
      <c r="P4" s="138">
        <f t="shared" ref="P4:P13" si="8">O4*($H$2-1)+1</f>
        <v>1.45</v>
      </c>
      <c r="Q4" s="139">
        <f t="shared" ref="Q4:Q13" si="9">_xlfn.PERCENTILE.INC($I$4:$I$13,O4)</f>
        <v>2.9</v>
      </c>
      <c r="R4" s="141">
        <f t="shared" ref="R4:R13" si="10">O4*($H$2+1)</f>
        <v>0.55000000000000004</v>
      </c>
      <c r="S4" s="142" t="e">
        <f t="shared" ref="S4:S13" si="11">_xlfn.PERCENTILE.EXC($I$4:$I$13,O4)</f>
        <v>#NUM!</v>
      </c>
    </row>
    <row r="5" spans="1:19" x14ac:dyDescent="0.3">
      <c r="A5" s="137">
        <v>2</v>
      </c>
      <c r="B5" s="137">
        <v>2</v>
      </c>
      <c r="C5" s="136">
        <f t="shared" si="0"/>
        <v>1.0101010101010102E-2</v>
      </c>
      <c r="D5" s="137">
        <f t="shared" si="1"/>
        <v>2</v>
      </c>
      <c r="E5" s="136">
        <f t="shared" si="2"/>
        <v>1.9801980198019802E-2</v>
      </c>
      <c r="F5" s="137">
        <f t="shared" si="3"/>
        <v>2</v>
      </c>
      <c r="H5" s="137">
        <v>2</v>
      </c>
      <c r="I5" s="137">
        <v>4</v>
      </c>
      <c r="J5" s="143">
        <f t="shared" si="4"/>
        <v>0.1111111111111111</v>
      </c>
      <c r="K5" s="144">
        <f t="shared" si="5"/>
        <v>4</v>
      </c>
      <c r="L5" s="143">
        <f t="shared" si="6"/>
        <v>0.18181818181818182</v>
      </c>
      <c r="M5" s="144">
        <f t="shared" si="7"/>
        <v>4</v>
      </c>
      <c r="O5" s="145">
        <v>0.1</v>
      </c>
      <c r="P5" s="143">
        <f t="shared" si="8"/>
        <v>1.9</v>
      </c>
      <c r="Q5" s="144">
        <f t="shared" si="9"/>
        <v>3.8</v>
      </c>
      <c r="R5" s="143">
        <f t="shared" si="10"/>
        <v>1.1000000000000001</v>
      </c>
      <c r="S5" s="144">
        <f t="shared" si="11"/>
        <v>2.2000000000000002</v>
      </c>
    </row>
    <row r="6" spans="1:19" x14ac:dyDescent="0.3">
      <c r="A6" s="137">
        <v>3</v>
      </c>
      <c r="B6" s="137">
        <v>3</v>
      </c>
      <c r="C6" s="136">
        <f t="shared" si="0"/>
        <v>2.0202020202020204E-2</v>
      </c>
      <c r="D6" s="137">
        <f t="shared" si="1"/>
        <v>3</v>
      </c>
      <c r="E6" s="136">
        <f t="shared" si="2"/>
        <v>2.9702970297029702E-2</v>
      </c>
      <c r="F6" s="137">
        <f t="shared" si="3"/>
        <v>3</v>
      </c>
      <c r="H6" s="137">
        <v>3</v>
      </c>
      <c r="I6" s="137">
        <v>6</v>
      </c>
      <c r="J6" s="143">
        <f t="shared" si="4"/>
        <v>0.22222222222222221</v>
      </c>
      <c r="K6" s="144">
        <f t="shared" si="5"/>
        <v>6</v>
      </c>
      <c r="L6" s="143">
        <f t="shared" si="6"/>
        <v>0.27272727272727271</v>
      </c>
      <c r="M6" s="144">
        <f t="shared" si="7"/>
        <v>6</v>
      </c>
      <c r="O6" s="145">
        <v>0.2</v>
      </c>
      <c r="P6" s="143">
        <f t="shared" si="8"/>
        <v>2.8</v>
      </c>
      <c r="Q6" s="144">
        <f t="shared" si="9"/>
        <v>5.6</v>
      </c>
      <c r="R6" s="143">
        <f t="shared" si="10"/>
        <v>2.2000000000000002</v>
      </c>
      <c r="S6" s="144">
        <f t="shared" si="11"/>
        <v>4.4000000000000004</v>
      </c>
    </row>
    <row r="7" spans="1:19" x14ac:dyDescent="0.3">
      <c r="A7" s="137">
        <v>4</v>
      </c>
      <c r="B7" s="137">
        <v>4</v>
      </c>
      <c r="C7" s="136">
        <f t="shared" si="0"/>
        <v>3.0303030303030304E-2</v>
      </c>
      <c r="D7" s="137">
        <f t="shared" si="1"/>
        <v>4</v>
      </c>
      <c r="E7" s="136">
        <f t="shared" si="2"/>
        <v>3.9603960396039604E-2</v>
      </c>
      <c r="F7" s="137">
        <f t="shared" si="3"/>
        <v>4</v>
      </c>
      <c r="H7" s="137">
        <v>4</v>
      </c>
      <c r="I7" s="137">
        <v>8</v>
      </c>
      <c r="J7" s="143">
        <f t="shared" si="4"/>
        <v>0.33333333333333331</v>
      </c>
      <c r="K7" s="144">
        <f t="shared" si="5"/>
        <v>8</v>
      </c>
      <c r="L7" s="143">
        <f t="shared" si="6"/>
        <v>0.36363636363636365</v>
      </c>
      <c r="M7" s="144">
        <f t="shared" si="7"/>
        <v>8</v>
      </c>
      <c r="O7" s="145">
        <v>0.4</v>
      </c>
      <c r="P7" s="143">
        <f t="shared" si="8"/>
        <v>4.5999999999999996</v>
      </c>
      <c r="Q7" s="144">
        <f t="shared" si="9"/>
        <v>9.1999999999999993</v>
      </c>
      <c r="R7" s="143">
        <f t="shared" si="10"/>
        <v>4.4000000000000004</v>
      </c>
      <c r="S7" s="144">
        <f t="shared" si="11"/>
        <v>8.8000000000000007</v>
      </c>
    </row>
    <row r="8" spans="1:19" x14ac:dyDescent="0.3">
      <c r="A8" s="137">
        <v>5</v>
      </c>
      <c r="B8" s="137">
        <v>5</v>
      </c>
      <c r="C8" s="136">
        <f t="shared" si="0"/>
        <v>4.0404040404040407E-2</v>
      </c>
      <c r="D8" s="137">
        <f t="shared" si="1"/>
        <v>5</v>
      </c>
      <c r="E8" s="136">
        <f t="shared" si="2"/>
        <v>4.9504950495049507E-2</v>
      </c>
      <c r="F8" s="137">
        <f t="shared" si="3"/>
        <v>5</v>
      </c>
      <c r="H8" s="137">
        <v>5</v>
      </c>
      <c r="I8" s="137">
        <v>10</v>
      </c>
      <c r="J8" s="143">
        <f t="shared" si="4"/>
        <v>0.44444444444444442</v>
      </c>
      <c r="K8" s="144">
        <f t="shared" si="5"/>
        <v>10</v>
      </c>
      <c r="L8" s="143">
        <f t="shared" si="6"/>
        <v>0.45454545454545453</v>
      </c>
      <c r="M8" s="144">
        <f t="shared" si="7"/>
        <v>10</v>
      </c>
      <c r="O8" s="145">
        <v>0.5</v>
      </c>
      <c r="P8" s="143">
        <f t="shared" si="8"/>
        <v>5.5</v>
      </c>
      <c r="Q8" s="144">
        <f t="shared" si="9"/>
        <v>11</v>
      </c>
      <c r="R8" s="143">
        <f t="shared" si="10"/>
        <v>5.5</v>
      </c>
      <c r="S8" s="144">
        <f t="shared" si="11"/>
        <v>11</v>
      </c>
    </row>
    <row r="9" spans="1:19" x14ac:dyDescent="0.3">
      <c r="A9" s="137">
        <v>6</v>
      </c>
      <c r="B9" s="137">
        <v>6</v>
      </c>
      <c r="C9" s="136">
        <f t="shared" si="0"/>
        <v>5.0505050505050504E-2</v>
      </c>
      <c r="D9" s="137">
        <f t="shared" si="1"/>
        <v>6</v>
      </c>
      <c r="E9" s="136">
        <f t="shared" si="2"/>
        <v>5.9405940594059403E-2</v>
      </c>
      <c r="F9" s="137">
        <f t="shared" si="3"/>
        <v>6</v>
      </c>
      <c r="H9" s="137">
        <v>6</v>
      </c>
      <c r="I9" s="137">
        <v>12</v>
      </c>
      <c r="J9" s="143">
        <f t="shared" si="4"/>
        <v>0.55555555555555558</v>
      </c>
      <c r="K9" s="144">
        <f t="shared" si="5"/>
        <v>12</v>
      </c>
      <c r="L9" s="143">
        <f t="shared" si="6"/>
        <v>0.54545454545454541</v>
      </c>
      <c r="M9" s="144">
        <f t="shared" si="7"/>
        <v>12</v>
      </c>
      <c r="O9" s="145">
        <v>0.6</v>
      </c>
      <c r="P9" s="143">
        <f t="shared" si="8"/>
        <v>6.3999999999999995</v>
      </c>
      <c r="Q9" s="144">
        <f t="shared" si="9"/>
        <v>12.799999999999999</v>
      </c>
      <c r="R9" s="143">
        <f t="shared" si="10"/>
        <v>6.6</v>
      </c>
      <c r="S9" s="144">
        <f t="shared" si="11"/>
        <v>13.2</v>
      </c>
    </row>
    <row r="10" spans="1:19" x14ac:dyDescent="0.3">
      <c r="A10" s="137">
        <v>7</v>
      </c>
      <c r="B10" s="137">
        <v>7</v>
      </c>
      <c r="C10" s="136">
        <f t="shared" si="0"/>
        <v>6.0606060606060608E-2</v>
      </c>
      <c r="D10" s="137">
        <f t="shared" si="1"/>
        <v>7</v>
      </c>
      <c r="E10" s="136">
        <f t="shared" si="2"/>
        <v>6.9306930693069313E-2</v>
      </c>
      <c r="F10" s="137">
        <f t="shared" si="3"/>
        <v>7.0000000000000009</v>
      </c>
      <c r="H10" s="137">
        <v>7</v>
      </c>
      <c r="I10" s="137">
        <v>14</v>
      </c>
      <c r="J10" s="143">
        <f t="shared" si="4"/>
        <v>0.66666666666666663</v>
      </c>
      <c r="K10" s="144">
        <f t="shared" si="5"/>
        <v>14</v>
      </c>
      <c r="L10" s="143">
        <f t="shared" si="6"/>
        <v>0.63636363636363635</v>
      </c>
      <c r="M10" s="144">
        <f t="shared" si="7"/>
        <v>14</v>
      </c>
      <c r="O10" s="145">
        <v>0.7</v>
      </c>
      <c r="P10" s="143">
        <f t="shared" si="8"/>
        <v>7.3</v>
      </c>
      <c r="Q10" s="144">
        <f t="shared" si="9"/>
        <v>14.6</v>
      </c>
      <c r="R10" s="143">
        <f t="shared" si="10"/>
        <v>7.6999999999999993</v>
      </c>
      <c r="S10" s="144">
        <f t="shared" si="11"/>
        <v>15.399999999999999</v>
      </c>
    </row>
    <row r="11" spans="1:19" x14ac:dyDescent="0.3">
      <c r="A11" s="137">
        <v>8</v>
      </c>
      <c r="B11" s="137">
        <v>8</v>
      </c>
      <c r="C11" s="136">
        <f t="shared" si="0"/>
        <v>7.0707070707070704E-2</v>
      </c>
      <c r="D11" s="137">
        <f t="shared" si="1"/>
        <v>8</v>
      </c>
      <c r="E11" s="136">
        <f t="shared" si="2"/>
        <v>7.9207920792079209E-2</v>
      </c>
      <c r="F11" s="137">
        <f t="shared" si="3"/>
        <v>8</v>
      </c>
      <c r="H11" s="137">
        <v>8</v>
      </c>
      <c r="I11" s="137">
        <v>16</v>
      </c>
      <c r="J11" s="143">
        <f t="shared" si="4"/>
        <v>0.77777777777777779</v>
      </c>
      <c r="K11" s="144">
        <f t="shared" si="5"/>
        <v>16</v>
      </c>
      <c r="L11" s="143">
        <f t="shared" si="6"/>
        <v>0.72727272727272729</v>
      </c>
      <c r="M11" s="144">
        <f t="shared" si="7"/>
        <v>16</v>
      </c>
      <c r="O11" s="145">
        <v>0.8</v>
      </c>
      <c r="P11" s="143">
        <f t="shared" si="8"/>
        <v>8.1999999999999993</v>
      </c>
      <c r="Q11" s="144">
        <f t="shared" si="9"/>
        <v>16.399999999999999</v>
      </c>
      <c r="R11" s="143">
        <f t="shared" si="10"/>
        <v>8.8000000000000007</v>
      </c>
      <c r="S11" s="144">
        <f t="shared" si="11"/>
        <v>17.600000000000001</v>
      </c>
    </row>
    <row r="12" spans="1:19" x14ac:dyDescent="0.3">
      <c r="A12" s="137">
        <v>9</v>
      </c>
      <c r="B12" s="137">
        <v>9</v>
      </c>
      <c r="C12" s="136">
        <f t="shared" si="0"/>
        <v>8.0808080808080815E-2</v>
      </c>
      <c r="D12" s="137">
        <f t="shared" si="1"/>
        <v>9</v>
      </c>
      <c r="E12" s="136">
        <f t="shared" si="2"/>
        <v>8.9108910891089105E-2</v>
      </c>
      <c r="F12" s="137">
        <f t="shared" si="3"/>
        <v>9</v>
      </c>
      <c r="H12" s="137">
        <v>9</v>
      </c>
      <c r="I12" s="137">
        <v>18</v>
      </c>
      <c r="J12" s="143">
        <f t="shared" si="4"/>
        <v>0.88888888888888884</v>
      </c>
      <c r="K12" s="144">
        <f t="shared" si="5"/>
        <v>18</v>
      </c>
      <c r="L12" s="143">
        <f t="shared" si="6"/>
        <v>0.81818181818181823</v>
      </c>
      <c r="M12" s="144">
        <f t="shared" si="7"/>
        <v>18</v>
      </c>
      <c r="O12" s="145">
        <v>0.9</v>
      </c>
      <c r="P12" s="143">
        <f t="shared" si="8"/>
        <v>9.1</v>
      </c>
      <c r="Q12" s="144">
        <f t="shared" si="9"/>
        <v>18.2</v>
      </c>
      <c r="R12" s="143">
        <f t="shared" si="10"/>
        <v>9.9</v>
      </c>
      <c r="S12" s="144">
        <f t="shared" si="11"/>
        <v>19.8</v>
      </c>
    </row>
    <row r="13" spans="1:19" x14ac:dyDescent="0.3">
      <c r="A13" s="137">
        <v>10</v>
      </c>
      <c r="B13" s="137">
        <v>10</v>
      </c>
      <c r="C13" s="136">
        <f t="shared" si="0"/>
        <v>9.0909090909090912E-2</v>
      </c>
      <c r="D13" s="137">
        <f t="shared" si="1"/>
        <v>10</v>
      </c>
      <c r="E13" s="136">
        <f t="shared" si="2"/>
        <v>9.9009900990099015E-2</v>
      </c>
      <c r="F13" s="137">
        <f t="shared" si="3"/>
        <v>10</v>
      </c>
      <c r="H13" s="146">
        <v>10</v>
      </c>
      <c r="I13" s="146">
        <v>20</v>
      </c>
      <c r="J13" s="147">
        <f t="shared" si="4"/>
        <v>1</v>
      </c>
      <c r="K13" s="148">
        <f t="shared" si="5"/>
        <v>20</v>
      </c>
      <c r="L13" s="147">
        <f t="shared" si="6"/>
        <v>0.90909090909090906</v>
      </c>
      <c r="M13" s="148">
        <f t="shared" si="7"/>
        <v>20</v>
      </c>
      <c r="O13" s="149">
        <v>0.95</v>
      </c>
      <c r="P13" s="147">
        <f t="shared" si="8"/>
        <v>9.5499999999999989</v>
      </c>
      <c r="Q13" s="148">
        <f t="shared" si="9"/>
        <v>19.099999999999998</v>
      </c>
      <c r="R13" s="150">
        <f t="shared" si="10"/>
        <v>10.45</v>
      </c>
      <c r="S13" s="151" t="e">
        <f t="shared" si="11"/>
        <v>#NUM!</v>
      </c>
    </row>
    <row r="14" spans="1:19" x14ac:dyDescent="0.3">
      <c r="A14" s="137">
        <v>11</v>
      </c>
      <c r="B14" s="137">
        <v>11</v>
      </c>
      <c r="C14" s="136">
        <f t="shared" si="0"/>
        <v>0.10101010101010101</v>
      </c>
      <c r="D14" s="137">
        <f t="shared" si="1"/>
        <v>11</v>
      </c>
      <c r="E14" s="136">
        <f t="shared" si="2"/>
        <v>0.10891089108910891</v>
      </c>
      <c r="F14" s="137">
        <f t="shared" si="3"/>
        <v>11</v>
      </c>
    </row>
    <row r="15" spans="1:19" x14ac:dyDescent="0.3">
      <c r="A15" s="137">
        <v>12</v>
      </c>
      <c r="B15" s="137">
        <v>12</v>
      </c>
      <c r="C15" s="136">
        <f t="shared" si="0"/>
        <v>0.1111111111111111</v>
      </c>
      <c r="D15" s="137">
        <f t="shared" si="1"/>
        <v>12</v>
      </c>
      <c r="E15" s="136">
        <f t="shared" si="2"/>
        <v>0.11881188118811881</v>
      </c>
      <c r="F15" s="137">
        <f t="shared" si="3"/>
        <v>12</v>
      </c>
    </row>
    <row r="16" spans="1:19" x14ac:dyDescent="0.3">
      <c r="A16" s="137">
        <v>13</v>
      </c>
      <c r="B16" s="137">
        <v>13</v>
      </c>
      <c r="C16" s="136">
        <f t="shared" si="0"/>
        <v>0.12121212121212122</v>
      </c>
      <c r="D16" s="137">
        <f t="shared" si="1"/>
        <v>13</v>
      </c>
      <c r="E16" s="136">
        <f t="shared" si="2"/>
        <v>0.12871287128712872</v>
      </c>
      <c r="F16" s="137">
        <f t="shared" si="3"/>
        <v>13</v>
      </c>
    </row>
    <row r="17" spans="1:6" x14ac:dyDescent="0.3">
      <c r="A17" s="137">
        <v>14</v>
      </c>
      <c r="B17" s="137">
        <v>14</v>
      </c>
      <c r="C17" s="136">
        <f t="shared" si="0"/>
        <v>0.13131313131313133</v>
      </c>
      <c r="D17" s="137">
        <f t="shared" si="1"/>
        <v>14.000000000000002</v>
      </c>
      <c r="E17" s="136">
        <f t="shared" si="2"/>
        <v>0.13861386138613863</v>
      </c>
      <c r="F17" s="137">
        <f t="shared" si="3"/>
        <v>14.000000000000002</v>
      </c>
    </row>
    <row r="18" spans="1:6" x14ac:dyDescent="0.3">
      <c r="A18" s="137">
        <v>15</v>
      </c>
      <c r="B18" s="137">
        <v>15</v>
      </c>
      <c r="C18" s="136">
        <f t="shared" si="0"/>
        <v>0.14141414141414141</v>
      </c>
      <c r="D18" s="137">
        <f t="shared" si="1"/>
        <v>15</v>
      </c>
      <c r="E18" s="136">
        <f t="shared" si="2"/>
        <v>0.14851485148514851</v>
      </c>
      <c r="F18" s="137">
        <f t="shared" si="3"/>
        <v>15</v>
      </c>
    </row>
    <row r="19" spans="1:6" x14ac:dyDescent="0.3">
      <c r="A19" s="137">
        <v>16</v>
      </c>
      <c r="B19" s="137">
        <v>16</v>
      </c>
      <c r="C19" s="136">
        <f t="shared" si="0"/>
        <v>0.15151515151515152</v>
      </c>
      <c r="D19" s="137">
        <f t="shared" si="1"/>
        <v>16</v>
      </c>
      <c r="E19" s="136">
        <f t="shared" si="2"/>
        <v>0.15841584158415842</v>
      </c>
      <c r="F19" s="137">
        <f t="shared" si="3"/>
        <v>16</v>
      </c>
    </row>
    <row r="20" spans="1:6" x14ac:dyDescent="0.3">
      <c r="A20" s="137">
        <v>17</v>
      </c>
      <c r="B20" s="137">
        <v>17</v>
      </c>
      <c r="C20" s="136">
        <f t="shared" si="0"/>
        <v>0.16161616161616163</v>
      </c>
      <c r="D20" s="137">
        <f t="shared" si="1"/>
        <v>17</v>
      </c>
      <c r="E20" s="136">
        <f t="shared" si="2"/>
        <v>0.16831683168316833</v>
      </c>
      <c r="F20" s="137">
        <f t="shared" si="3"/>
        <v>17</v>
      </c>
    </row>
    <row r="21" spans="1:6" x14ac:dyDescent="0.3">
      <c r="A21" s="137">
        <v>18</v>
      </c>
      <c r="B21" s="137">
        <v>18</v>
      </c>
      <c r="C21" s="136">
        <f t="shared" si="0"/>
        <v>0.17171717171717171</v>
      </c>
      <c r="D21" s="137">
        <f t="shared" si="1"/>
        <v>18</v>
      </c>
      <c r="E21" s="136">
        <f t="shared" si="2"/>
        <v>0.17821782178217821</v>
      </c>
      <c r="F21" s="137">
        <f t="shared" si="3"/>
        <v>18</v>
      </c>
    </row>
    <row r="22" spans="1:6" x14ac:dyDescent="0.3">
      <c r="A22" s="137">
        <v>19</v>
      </c>
      <c r="B22" s="137">
        <v>19</v>
      </c>
      <c r="C22" s="136">
        <f t="shared" si="0"/>
        <v>0.18181818181818182</v>
      </c>
      <c r="D22" s="137">
        <f t="shared" si="1"/>
        <v>19</v>
      </c>
      <c r="E22" s="136">
        <f t="shared" si="2"/>
        <v>0.18811881188118812</v>
      </c>
      <c r="F22" s="137">
        <f t="shared" si="3"/>
        <v>19</v>
      </c>
    </row>
    <row r="23" spans="1:6" x14ac:dyDescent="0.3">
      <c r="A23" s="137">
        <v>20</v>
      </c>
      <c r="B23" s="137">
        <v>20</v>
      </c>
      <c r="C23" s="136">
        <f t="shared" si="0"/>
        <v>0.19191919191919191</v>
      </c>
      <c r="D23" s="137">
        <f t="shared" si="1"/>
        <v>20</v>
      </c>
      <c r="E23" s="136">
        <f t="shared" si="2"/>
        <v>0.19801980198019803</v>
      </c>
      <c r="F23" s="137">
        <f t="shared" si="3"/>
        <v>20</v>
      </c>
    </row>
    <row r="24" spans="1:6" x14ac:dyDescent="0.3">
      <c r="A24" s="137">
        <v>21</v>
      </c>
      <c r="B24" s="137">
        <v>21</v>
      </c>
      <c r="C24" s="136">
        <f t="shared" si="0"/>
        <v>0.20202020202020202</v>
      </c>
      <c r="D24" s="137">
        <f t="shared" si="1"/>
        <v>21</v>
      </c>
      <c r="E24" s="136">
        <f t="shared" si="2"/>
        <v>0.20792079207920791</v>
      </c>
      <c r="F24" s="137">
        <f t="shared" si="3"/>
        <v>21</v>
      </c>
    </row>
    <row r="25" spans="1:6" x14ac:dyDescent="0.3">
      <c r="A25" s="137">
        <v>22</v>
      </c>
      <c r="B25" s="137">
        <v>22</v>
      </c>
      <c r="C25" s="136">
        <f t="shared" si="0"/>
        <v>0.21212121212121213</v>
      </c>
      <c r="D25" s="137">
        <f t="shared" si="1"/>
        <v>22</v>
      </c>
      <c r="E25" s="136">
        <f t="shared" si="2"/>
        <v>0.21782178217821782</v>
      </c>
      <c r="F25" s="137">
        <f t="shared" si="3"/>
        <v>22</v>
      </c>
    </row>
    <row r="26" spans="1:6" x14ac:dyDescent="0.3">
      <c r="A26" s="137">
        <v>23</v>
      </c>
      <c r="B26" s="137">
        <v>23</v>
      </c>
      <c r="C26" s="136">
        <f t="shared" si="0"/>
        <v>0.22222222222222221</v>
      </c>
      <c r="D26" s="137">
        <f t="shared" si="1"/>
        <v>23</v>
      </c>
      <c r="E26" s="136">
        <f t="shared" si="2"/>
        <v>0.22772277227722773</v>
      </c>
      <c r="F26" s="137">
        <f t="shared" si="3"/>
        <v>23</v>
      </c>
    </row>
    <row r="27" spans="1:6" x14ac:dyDescent="0.3">
      <c r="A27" s="137">
        <v>24</v>
      </c>
      <c r="B27" s="137">
        <v>24</v>
      </c>
      <c r="C27" s="136">
        <f t="shared" si="0"/>
        <v>0.23232323232323232</v>
      </c>
      <c r="D27" s="137">
        <f t="shared" si="1"/>
        <v>24</v>
      </c>
      <c r="E27" s="136">
        <f t="shared" si="2"/>
        <v>0.23762376237623761</v>
      </c>
      <c r="F27" s="137">
        <f t="shared" si="3"/>
        <v>24</v>
      </c>
    </row>
    <row r="28" spans="1:6" x14ac:dyDescent="0.3">
      <c r="A28" s="137">
        <v>25</v>
      </c>
      <c r="B28" s="137">
        <v>25</v>
      </c>
      <c r="C28" s="136">
        <f t="shared" si="0"/>
        <v>0.24242424242424243</v>
      </c>
      <c r="D28" s="137">
        <f t="shared" si="1"/>
        <v>25</v>
      </c>
      <c r="E28" s="136">
        <f t="shared" si="2"/>
        <v>0.24752475247524752</v>
      </c>
      <c r="F28" s="137">
        <f t="shared" si="3"/>
        <v>25</v>
      </c>
    </row>
    <row r="29" spans="1:6" x14ac:dyDescent="0.3">
      <c r="A29" s="137">
        <v>26</v>
      </c>
      <c r="B29" s="137">
        <v>26</v>
      </c>
      <c r="C29" s="136">
        <f t="shared" si="0"/>
        <v>0.25252525252525254</v>
      </c>
      <c r="D29" s="137">
        <f t="shared" si="1"/>
        <v>26</v>
      </c>
      <c r="E29" s="136">
        <f t="shared" si="2"/>
        <v>0.25742574257425743</v>
      </c>
      <c r="F29" s="137">
        <f t="shared" si="3"/>
        <v>26</v>
      </c>
    </row>
    <row r="30" spans="1:6" x14ac:dyDescent="0.3">
      <c r="A30" s="137">
        <v>27</v>
      </c>
      <c r="B30" s="137">
        <v>27</v>
      </c>
      <c r="C30" s="136">
        <f t="shared" si="0"/>
        <v>0.26262626262626265</v>
      </c>
      <c r="D30" s="137">
        <f t="shared" si="1"/>
        <v>27.000000000000004</v>
      </c>
      <c r="E30" s="136">
        <f t="shared" si="2"/>
        <v>0.26732673267326734</v>
      </c>
      <c r="F30" s="137">
        <f t="shared" si="3"/>
        <v>27</v>
      </c>
    </row>
    <row r="31" spans="1:6" x14ac:dyDescent="0.3">
      <c r="A31" s="137">
        <v>28</v>
      </c>
      <c r="B31" s="137">
        <v>28</v>
      </c>
      <c r="C31" s="136">
        <f t="shared" si="0"/>
        <v>0.27272727272727271</v>
      </c>
      <c r="D31" s="137">
        <f t="shared" si="1"/>
        <v>27.999999999999996</v>
      </c>
      <c r="E31" s="136">
        <f t="shared" si="2"/>
        <v>0.27722772277227725</v>
      </c>
      <c r="F31" s="137">
        <f t="shared" si="3"/>
        <v>28.000000000000004</v>
      </c>
    </row>
    <row r="32" spans="1:6" x14ac:dyDescent="0.3">
      <c r="A32" s="137">
        <v>29</v>
      </c>
      <c r="B32" s="137">
        <v>29</v>
      </c>
      <c r="C32" s="136">
        <f t="shared" si="0"/>
        <v>0.28282828282828282</v>
      </c>
      <c r="D32" s="137">
        <f t="shared" si="1"/>
        <v>29</v>
      </c>
      <c r="E32" s="136">
        <f t="shared" si="2"/>
        <v>0.28712871287128711</v>
      </c>
      <c r="F32" s="137">
        <f t="shared" si="3"/>
        <v>28.999999999999996</v>
      </c>
    </row>
    <row r="33" spans="1:6" x14ac:dyDescent="0.3">
      <c r="A33" s="137">
        <v>30</v>
      </c>
      <c r="B33" s="137">
        <v>30</v>
      </c>
      <c r="C33" s="136">
        <f t="shared" si="0"/>
        <v>0.29292929292929293</v>
      </c>
      <c r="D33" s="137">
        <f t="shared" si="1"/>
        <v>30</v>
      </c>
      <c r="E33" s="136">
        <f t="shared" si="2"/>
        <v>0.29702970297029702</v>
      </c>
      <c r="F33" s="137">
        <f t="shared" si="3"/>
        <v>30</v>
      </c>
    </row>
    <row r="34" spans="1:6" x14ac:dyDescent="0.3">
      <c r="A34" s="137">
        <v>31</v>
      </c>
      <c r="B34" s="137">
        <v>31</v>
      </c>
      <c r="C34" s="136">
        <f t="shared" si="0"/>
        <v>0.30303030303030304</v>
      </c>
      <c r="D34" s="137">
        <f t="shared" si="1"/>
        <v>31</v>
      </c>
      <c r="E34" s="136">
        <f t="shared" si="2"/>
        <v>0.30693069306930693</v>
      </c>
      <c r="F34" s="137">
        <f t="shared" si="3"/>
        <v>31</v>
      </c>
    </row>
    <row r="35" spans="1:6" x14ac:dyDescent="0.3">
      <c r="A35" s="137">
        <v>32</v>
      </c>
      <c r="B35" s="137">
        <v>32</v>
      </c>
      <c r="C35" s="136">
        <f t="shared" si="0"/>
        <v>0.31313131313131315</v>
      </c>
      <c r="D35" s="137">
        <f t="shared" si="1"/>
        <v>32</v>
      </c>
      <c r="E35" s="136">
        <f t="shared" si="2"/>
        <v>0.31683168316831684</v>
      </c>
      <c r="F35" s="137">
        <f t="shared" si="3"/>
        <v>32</v>
      </c>
    </row>
    <row r="36" spans="1:6" x14ac:dyDescent="0.3">
      <c r="A36" s="137">
        <v>33</v>
      </c>
      <c r="B36" s="137">
        <v>33</v>
      </c>
      <c r="C36" s="136">
        <f t="shared" si="0"/>
        <v>0.32323232323232326</v>
      </c>
      <c r="D36" s="137">
        <f t="shared" si="1"/>
        <v>33</v>
      </c>
      <c r="E36" s="136">
        <f t="shared" si="2"/>
        <v>0.32673267326732675</v>
      </c>
      <c r="F36" s="137">
        <f t="shared" si="3"/>
        <v>33</v>
      </c>
    </row>
    <row r="37" spans="1:6" x14ac:dyDescent="0.3">
      <c r="A37" s="137">
        <v>34</v>
      </c>
      <c r="B37" s="137">
        <v>34</v>
      </c>
      <c r="C37" s="136">
        <f t="shared" si="0"/>
        <v>0.33333333333333331</v>
      </c>
      <c r="D37" s="137">
        <f t="shared" si="1"/>
        <v>34</v>
      </c>
      <c r="E37" s="136">
        <f t="shared" si="2"/>
        <v>0.33663366336633666</v>
      </c>
      <c r="F37" s="137">
        <f t="shared" si="3"/>
        <v>34</v>
      </c>
    </row>
    <row r="38" spans="1:6" x14ac:dyDescent="0.3">
      <c r="A38" s="137">
        <v>35</v>
      </c>
      <c r="B38" s="137">
        <v>35</v>
      </c>
      <c r="C38" s="136">
        <f t="shared" si="0"/>
        <v>0.34343434343434343</v>
      </c>
      <c r="D38" s="137">
        <f t="shared" si="1"/>
        <v>35</v>
      </c>
      <c r="E38" s="136">
        <f t="shared" si="2"/>
        <v>0.34653465346534651</v>
      </c>
      <c r="F38" s="137">
        <f t="shared" si="3"/>
        <v>35</v>
      </c>
    </row>
    <row r="39" spans="1:6" x14ac:dyDescent="0.3">
      <c r="A39" s="137">
        <v>36</v>
      </c>
      <c r="B39" s="137">
        <v>36</v>
      </c>
      <c r="C39" s="136">
        <f t="shared" si="0"/>
        <v>0.35353535353535354</v>
      </c>
      <c r="D39" s="137">
        <f t="shared" si="1"/>
        <v>36</v>
      </c>
      <c r="E39" s="136">
        <f t="shared" si="2"/>
        <v>0.35643564356435642</v>
      </c>
      <c r="F39" s="137">
        <f t="shared" si="3"/>
        <v>36</v>
      </c>
    </row>
    <row r="40" spans="1:6" x14ac:dyDescent="0.3">
      <c r="A40" s="137">
        <v>37</v>
      </c>
      <c r="B40" s="137">
        <v>37</v>
      </c>
      <c r="C40" s="136">
        <f t="shared" si="0"/>
        <v>0.36363636363636365</v>
      </c>
      <c r="D40" s="137">
        <f t="shared" si="1"/>
        <v>37</v>
      </c>
      <c r="E40" s="136">
        <f t="shared" si="2"/>
        <v>0.36633663366336633</v>
      </c>
      <c r="F40" s="137">
        <f t="shared" si="3"/>
        <v>37</v>
      </c>
    </row>
    <row r="41" spans="1:6" x14ac:dyDescent="0.3">
      <c r="A41" s="137">
        <v>38</v>
      </c>
      <c r="B41" s="137">
        <v>38</v>
      </c>
      <c r="C41" s="136">
        <f t="shared" si="0"/>
        <v>0.37373737373737376</v>
      </c>
      <c r="D41" s="137">
        <f t="shared" si="1"/>
        <v>38</v>
      </c>
      <c r="E41" s="136">
        <f t="shared" si="2"/>
        <v>0.37623762376237624</v>
      </c>
      <c r="F41" s="137">
        <f t="shared" si="3"/>
        <v>38</v>
      </c>
    </row>
    <row r="42" spans="1:6" x14ac:dyDescent="0.3">
      <c r="A42" s="137">
        <v>39</v>
      </c>
      <c r="B42" s="137">
        <v>39</v>
      </c>
      <c r="C42" s="136">
        <f t="shared" si="0"/>
        <v>0.38383838383838381</v>
      </c>
      <c r="D42" s="137">
        <f t="shared" si="1"/>
        <v>39</v>
      </c>
      <c r="E42" s="136">
        <f t="shared" si="2"/>
        <v>0.38613861386138615</v>
      </c>
      <c r="F42" s="137">
        <f t="shared" si="3"/>
        <v>39</v>
      </c>
    </row>
    <row r="43" spans="1:6" x14ac:dyDescent="0.3">
      <c r="A43" s="137">
        <v>40</v>
      </c>
      <c r="B43" s="137">
        <v>40</v>
      </c>
      <c r="C43" s="136">
        <f t="shared" si="0"/>
        <v>0.39393939393939392</v>
      </c>
      <c r="D43" s="137">
        <f t="shared" si="1"/>
        <v>40</v>
      </c>
      <c r="E43" s="136">
        <f t="shared" si="2"/>
        <v>0.39603960396039606</v>
      </c>
      <c r="F43" s="137">
        <f t="shared" si="3"/>
        <v>40</v>
      </c>
    </row>
    <row r="44" spans="1:6" x14ac:dyDescent="0.3">
      <c r="A44" s="137">
        <v>41</v>
      </c>
      <c r="B44" s="137">
        <v>41</v>
      </c>
      <c r="C44" s="136">
        <f t="shared" si="0"/>
        <v>0.40404040404040403</v>
      </c>
      <c r="D44" s="137">
        <f t="shared" si="1"/>
        <v>41</v>
      </c>
      <c r="E44" s="136">
        <f t="shared" si="2"/>
        <v>0.40594059405940597</v>
      </c>
      <c r="F44" s="137">
        <f t="shared" si="3"/>
        <v>41</v>
      </c>
    </row>
    <row r="45" spans="1:6" x14ac:dyDescent="0.3">
      <c r="A45" s="137">
        <v>42</v>
      </c>
      <c r="B45" s="137">
        <v>42</v>
      </c>
      <c r="C45" s="136">
        <f t="shared" si="0"/>
        <v>0.41414141414141414</v>
      </c>
      <c r="D45" s="137">
        <f t="shared" si="1"/>
        <v>42</v>
      </c>
      <c r="E45" s="136">
        <f t="shared" si="2"/>
        <v>0.41584158415841582</v>
      </c>
      <c r="F45" s="137">
        <f t="shared" si="3"/>
        <v>42</v>
      </c>
    </row>
    <row r="46" spans="1:6" x14ac:dyDescent="0.3">
      <c r="A46" s="137">
        <v>43</v>
      </c>
      <c r="B46" s="137">
        <v>43</v>
      </c>
      <c r="C46" s="136">
        <f t="shared" si="0"/>
        <v>0.42424242424242425</v>
      </c>
      <c r="D46" s="137">
        <f t="shared" si="1"/>
        <v>43</v>
      </c>
      <c r="E46" s="136">
        <f t="shared" si="2"/>
        <v>0.42574257425742573</v>
      </c>
      <c r="F46" s="137">
        <f t="shared" si="3"/>
        <v>43</v>
      </c>
    </row>
    <row r="47" spans="1:6" x14ac:dyDescent="0.3">
      <c r="A47" s="137">
        <v>44</v>
      </c>
      <c r="B47" s="137">
        <v>44</v>
      </c>
      <c r="C47" s="136">
        <f t="shared" si="0"/>
        <v>0.43434343434343436</v>
      </c>
      <c r="D47" s="137">
        <f t="shared" si="1"/>
        <v>44</v>
      </c>
      <c r="E47" s="136">
        <f t="shared" si="2"/>
        <v>0.43564356435643564</v>
      </c>
      <c r="F47" s="137">
        <f t="shared" si="3"/>
        <v>44</v>
      </c>
    </row>
    <row r="48" spans="1:6" x14ac:dyDescent="0.3">
      <c r="A48" s="137">
        <v>45</v>
      </c>
      <c r="B48" s="137">
        <v>45</v>
      </c>
      <c r="C48" s="136">
        <f t="shared" si="0"/>
        <v>0.44444444444444442</v>
      </c>
      <c r="D48" s="137">
        <f t="shared" si="1"/>
        <v>45</v>
      </c>
      <c r="E48" s="136">
        <f t="shared" si="2"/>
        <v>0.44554455445544555</v>
      </c>
      <c r="F48" s="137">
        <f t="shared" si="3"/>
        <v>45</v>
      </c>
    </row>
    <row r="49" spans="1:6" x14ac:dyDescent="0.3">
      <c r="A49" s="137">
        <v>46</v>
      </c>
      <c r="B49" s="137">
        <v>46</v>
      </c>
      <c r="C49" s="136">
        <f t="shared" si="0"/>
        <v>0.45454545454545453</v>
      </c>
      <c r="D49" s="137">
        <f t="shared" si="1"/>
        <v>46</v>
      </c>
      <c r="E49" s="136">
        <f t="shared" si="2"/>
        <v>0.45544554455445546</v>
      </c>
      <c r="F49" s="137">
        <f t="shared" si="3"/>
        <v>46</v>
      </c>
    </row>
    <row r="50" spans="1:6" x14ac:dyDescent="0.3">
      <c r="A50" s="137">
        <v>47</v>
      </c>
      <c r="B50" s="137">
        <v>47</v>
      </c>
      <c r="C50" s="136">
        <f t="shared" si="0"/>
        <v>0.46464646464646464</v>
      </c>
      <c r="D50" s="137">
        <f t="shared" si="1"/>
        <v>47</v>
      </c>
      <c r="E50" s="136">
        <f t="shared" si="2"/>
        <v>0.46534653465346537</v>
      </c>
      <c r="F50" s="137">
        <f t="shared" si="3"/>
        <v>47</v>
      </c>
    </row>
    <row r="51" spans="1:6" x14ac:dyDescent="0.3">
      <c r="A51" s="137">
        <v>48</v>
      </c>
      <c r="B51" s="137">
        <v>48</v>
      </c>
      <c r="C51" s="136">
        <f t="shared" si="0"/>
        <v>0.47474747474747475</v>
      </c>
      <c r="D51" s="137">
        <f t="shared" si="1"/>
        <v>48</v>
      </c>
      <c r="E51" s="136">
        <f t="shared" si="2"/>
        <v>0.47524752475247523</v>
      </c>
      <c r="F51" s="137">
        <f t="shared" si="3"/>
        <v>48</v>
      </c>
    </row>
    <row r="52" spans="1:6" x14ac:dyDescent="0.3">
      <c r="A52" s="137">
        <v>49</v>
      </c>
      <c r="B52" s="137">
        <v>49</v>
      </c>
      <c r="C52" s="136">
        <f t="shared" si="0"/>
        <v>0.48484848484848486</v>
      </c>
      <c r="D52" s="137">
        <f t="shared" si="1"/>
        <v>49</v>
      </c>
      <c r="E52" s="136">
        <f t="shared" si="2"/>
        <v>0.48514851485148514</v>
      </c>
      <c r="F52" s="137">
        <f t="shared" si="3"/>
        <v>49</v>
      </c>
    </row>
    <row r="53" spans="1:6" x14ac:dyDescent="0.3">
      <c r="A53" s="137">
        <v>50</v>
      </c>
      <c r="B53" s="137">
        <v>50</v>
      </c>
      <c r="C53" s="136">
        <f t="shared" si="0"/>
        <v>0.49494949494949497</v>
      </c>
      <c r="D53" s="137">
        <f t="shared" si="1"/>
        <v>50</v>
      </c>
      <c r="E53" s="136">
        <f t="shared" si="2"/>
        <v>0.49504950495049505</v>
      </c>
      <c r="F53" s="137">
        <f t="shared" si="3"/>
        <v>50</v>
      </c>
    </row>
    <row r="54" spans="1:6" x14ac:dyDescent="0.3">
      <c r="A54" s="137">
        <v>51</v>
      </c>
      <c r="B54" s="137">
        <v>51</v>
      </c>
      <c r="C54" s="136">
        <f t="shared" si="0"/>
        <v>0.50505050505050508</v>
      </c>
      <c r="D54" s="137">
        <f t="shared" si="1"/>
        <v>51</v>
      </c>
      <c r="E54" s="136">
        <f t="shared" si="2"/>
        <v>0.50495049504950495</v>
      </c>
      <c r="F54" s="137">
        <f t="shared" si="3"/>
        <v>51</v>
      </c>
    </row>
    <row r="55" spans="1:6" x14ac:dyDescent="0.3">
      <c r="A55" s="137">
        <v>52</v>
      </c>
      <c r="B55" s="137">
        <v>52</v>
      </c>
      <c r="C55" s="136">
        <f t="shared" si="0"/>
        <v>0.51515151515151514</v>
      </c>
      <c r="D55" s="137">
        <f t="shared" si="1"/>
        <v>52</v>
      </c>
      <c r="E55" s="136">
        <f t="shared" si="2"/>
        <v>0.51485148514851486</v>
      </c>
      <c r="F55" s="137">
        <f t="shared" si="3"/>
        <v>52</v>
      </c>
    </row>
    <row r="56" spans="1:6" x14ac:dyDescent="0.3">
      <c r="A56" s="137">
        <v>53</v>
      </c>
      <c r="B56" s="137">
        <v>53</v>
      </c>
      <c r="C56" s="136">
        <f t="shared" si="0"/>
        <v>0.5252525252525253</v>
      </c>
      <c r="D56" s="137">
        <f t="shared" si="1"/>
        <v>53.000000000000007</v>
      </c>
      <c r="E56" s="136">
        <f t="shared" si="2"/>
        <v>0.52475247524752477</v>
      </c>
      <c r="F56" s="137">
        <f t="shared" si="3"/>
        <v>53</v>
      </c>
    </row>
    <row r="57" spans="1:6" x14ac:dyDescent="0.3">
      <c r="A57" s="137">
        <v>54</v>
      </c>
      <c r="B57" s="137">
        <v>54</v>
      </c>
      <c r="C57" s="136">
        <f t="shared" si="0"/>
        <v>0.53535353535353536</v>
      </c>
      <c r="D57" s="137">
        <f t="shared" si="1"/>
        <v>54</v>
      </c>
      <c r="E57" s="136">
        <f t="shared" si="2"/>
        <v>0.53465346534653468</v>
      </c>
      <c r="F57" s="137">
        <f t="shared" si="3"/>
        <v>54</v>
      </c>
    </row>
    <row r="58" spans="1:6" x14ac:dyDescent="0.3">
      <c r="A58" s="137">
        <v>55</v>
      </c>
      <c r="B58" s="137">
        <v>55</v>
      </c>
      <c r="C58" s="136">
        <f t="shared" si="0"/>
        <v>0.54545454545454541</v>
      </c>
      <c r="D58" s="137">
        <f t="shared" si="1"/>
        <v>54.999999999999993</v>
      </c>
      <c r="E58" s="136">
        <f t="shared" si="2"/>
        <v>0.54455445544554459</v>
      </c>
      <c r="F58" s="137">
        <f t="shared" si="3"/>
        <v>55.000000000000007</v>
      </c>
    </row>
    <row r="59" spans="1:6" x14ac:dyDescent="0.3">
      <c r="A59" s="137">
        <v>56</v>
      </c>
      <c r="B59" s="137">
        <v>56</v>
      </c>
      <c r="C59" s="136">
        <f t="shared" si="0"/>
        <v>0.55555555555555558</v>
      </c>
      <c r="D59" s="137">
        <f t="shared" si="1"/>
        <v>56</v>
      </c>
      <c r="E59" s="136">
        <f t="shared" si="2"/>
        <v>0.5544554455445545</v>
      </c>
      <c r="F59" s="137">
        <f t="shared" si="3"/>
        <v>56.000000000000007</v>
      </c>
    </row>
    <row r="60" spans="1:6" x14ac:dyDescent="0.3">
      <c r="A60" s="137">
        <v>57</v>
      </c>
      <c r="B60" s="137">
        <v>57</v>
      </c>
      <c r="C60" s="136">
        <f t="shared" si="0"/>
        <v>0.56565656565656564</v>
      </c>
      <c r="D60" s="137">
        <f t="shared" si="1"/>
        <v>57</v>
      </c>
      <c r="E60" s="136">
        <f t="shared" si="2"/>
        <v>0.5643564356435643</v>
      </c>
      <c r="F60" s="137">
        <f t="shared" si="3"/>
        <v>56.999999999999993</v>
      </c>
    </row>
    <row r="61" spans="1:6" x14ac:dyDescent="0.3">
      <c r="A61" s="137">
        <v>58</v>
      </c>
      <c r="B61" s="137">
        <v>58</v>
      </c>
      <c r="C61" s="136">
        <f t="shared" si="0"/>
        <v>0.5757575757575758</v>
      </c>
      <c r="D61" s="137">
        <f t="shared" si="1"/>
        <v>58.000000000000007</v>
      </c>
      <c r="E61" s="136">
        <f t="shared" si="2"/>
        <v>0.57425742574257421</v>
      </c>
      <c r="F61" s="137">
        <f t="shared" si="3"/>
        <v>57.999999999999993</v>
      </c>
    </row>
    <row r="62" spans="1:6" x14ac:dyDescent="0.3">
      <c r="A62" s="137">
        <v>59</v>
      </c>
      <c r="B62" s="137">
        <v>59</v>
      </c>
      <c r="C62" s="136">
        <f t="shared" si="0"/>
        <v>0.58585858585858586</v>
      </c>
      <c r="D62" s="137">
        <f t="shared" si="1"/>
        <v>59</v>
      </c>
      <c r="E62" s="136">
        <f t="shared" si="2"/>
        <v>0.58415841584158412</v>
      </c>
      <c r="F62" s="137">
        <f t="shared" si="3"/>
        <v>58.999999999999993</v>
      </c>
    </row>
    <row r="63" spans="1:6" x14ac:dyDescent="0.3">
      <c r="A63" s="137">
        <v>60</v>
      </c>
      <c r="B63" s="137">
        <v>60</v>
      </c>
      <c r="C63" s="136">
        <f t="shared" si="0"/>
        <v>0.59595959595959591</v>
      </c>
      <c r="D63" s="137">
        <f t="shared" si="1"/>
        <v>59.999999999999993</v>
      </c>
      <c r="E63" s="136">
        <f t="shared" si="2"/>
        <v>0.59405940594059403</v>
      </c>
      <c r="F63" s="137">
        <f t="shared" si="3"/>
        <v>60</v>
      </c>
    </row>
    <row r="64" spans="1:6" x14ac:dyDescent="0.3">
      <c r="A64" s="137">
        <v>61</v>
      </c>
      <c r="B64" s="137">
        <v>61</v>
      </c>
      <c r="C64" s="136">
        <f t="shared" si="0"/>
        <v>0.60606060606060608</v>
      </c>
      <c r="D64" s="137">
        <f t="shared" si="1"/>
        <v>61</v>
      </c>
      <c r="E64" s="136">
        <f t="shared" si="2"/>
        <v>0.60396039603960394</v>
      </c>
      <c r="F64" s="137">
        <f t="shared" si="3"/>
        <v>61</v>
      </c>
    </row>
    <row r="65" spans="1:6" x14ac:dyDescent="0.3">
      <c r="A65" s="137">
        <v>62</v>
      </c>
      <c r="B65" s="137">
        <v>62</v>
      </c>
      <c r="C65" s="136">
        <f t="shared" si="0"/>
        <v>0.61616161616161613</v>
      </c>
      <c r="D65" s="137">
        <f t="shared" si="1"/>
        <v>62</v>
      </c>
      <c r="E65" s="136">
        <f t="shared" si="2"/>
        <v>0.61386138613861385</v>
      </c>
      <c r="F65" s="137">
        <f t="shared" si="3"/>
        <v>62</v>
      </c>
    </row>
    <row r="66" spans="1:6" x14ac:dyDescent="0.3">
      <c r="A66" s="137">
        <v>63</v>
      </c>
      <c r="B66" s="137">
        <v>63</v>
      </c>
      <c r="C66" s="136">
        <f t="shared" si="0"/>
        <v>0.6262626262626263</v>
      </c>
      <c r="D66" s="137">
        <f t="shared" si="1"/>
        <v>63</v>
      </c>
      <c r="E66" s="136">
        <f t="shared" si="2"/>
        <v>0.62376237623762376</v>
      </c>
      <c r="F66" s="137">
        <f t="shared" si="3"/>
        <v>63</v>
      </c>
    </row>
    <row r="67" spans="1:6" x14ac:dyDescent="0.3">
      <c r="A67" s="137">
        <v>64</v>
      </c>
      <c r="B67" s="137">
        <v>64</v>
      </c>
      <c r="C67" s="136">
        <f t="shared" si="0"/>
        <v>0.63636363636363635</v>
      </c>
      <c r="D67" s="137">
        <f t="shared" si="1"/>
        <v>64</v>
      </c>
      <c r="E67" s="136">
        <f t="shared" si="2"/>
        <v>0.63366336633663367</v>
      </c>
      <c r="F67" s="137">
        <f t="shared" si="3"/>
        <v>64</v>
      </c>
    </row>
    <row r="68" spans="1:6" x14ac:dyDescent="0.3">
      <c r="A68" s="137">
        <v>65</v>
      </c>
      <c r="B68" s="137">
        <v>65</v>
      </c>
      <c r="C68" s="136">
        <f t="shared" ref="C68:C103" si="12">(A68-1)/($A$2-1)</f>
        <v>0.64646464646464652</v>
      </c>
      <c r="D68" s="137">
        <f t="shared" ref="D68:D103" si="13">_xlfn.PERCENTILE.INC($B$4:$B$103,C68)</f>
        <v>65</v>
      </c>
      <c r="E68" s="136">
        <f t="shared" ref="E68:E103" si="14">A68/($A$2+1)</f>
        <v>0.64356435643564358</v>
      </c>
      <c r="F68" s="137">
        <f t="shared" ref="F68:F103" si="15">_xlfn.PERCENTILE.EXC($B$4:$B$103,E68)</f>
        <v>65</v>
      </c>
    </row>
    <row r="69" spans="1:6" x14ac:dyDescent="0.3">
      <c r="A69" s="137">
        <v>66</v>
      </c>
      <c r="B69" s="137">
        <v>66</v>
      </c>
      <c r="C69" s="136">
        <f t="shared" si="12"/>
        <v>0.65656565656565657</v>
      </c>
      <c r="D69" s="137">
        <f t="shared" si="13"/>
        <v>66</v>
      </c>
      <c r="E69" s="136">
        <f t="shared" si="14"/>
        <v>0.65346534653465349</v>
      </c>
      <c r="F69" s="137">
        <f t="shared" si="15"/>
        <v>66</v>
      </c>
    </row>
    <row r="70" spans="1:6" x14ac:dyDescent="0.3">
      <c r="A70" s="137">
        <v>67</v>
      </c>
      <c r="B70" s="137">
        <v>67</v>
      </c>
      <c r="C70" s="136">
        <f t="shared" si="12"/>
        <v>0.66666666666666663</v>
      </c>
      <c r="D70" s="137">
        <f t="shared" si="13"/>
        <v>67</v>
      </c>
      <c r="E70" s="136">
        <f t="shared" si="14"/>
        <v>0.6633663366336634</v>
      </c>
      <c r="F70" s="137">
        <f t="shared" si="15"/>
        <v>67</v>
      </c>
    </row>
    <row r="71" spans="1:6" x14ac:dyDescent="0.3">
      <c r="A71" s="137">
        <v>68</v>
      </c>
      <c r="B71" s="137">
        <v>68</v>
      </c>
      <c r="C71" s="136">
        <f t="shared" si="12"/>
        <v>0.6767676767676768</v>
      </c>
      <c r="D71" s="137">
        <f t="shared" si="13"/>
        <v>68</v>
      </c>
      <c r="E71" s="136">
        <f t="shared" si="14"/>
        <v>0.67326732673267331</v>
      </c>
      <c r="F71" s="137">
        <f t="shared" si="15"/>
        <v>68</v>
      </c>
    </row>
    <row r="72" spans="1:6" x14ac:dyDescent="0.3">
      <c r="A72" s="137">
        <v>69</v>
      </c>
      <c r="B72" s="137">
        <v>69</v>
      </c>
      <c r="C72" s="136">
        <f t="shared" si="12"/>
        <v>0.68686868686868685</v>
      </c>
      <c r="D72" s="137">
        <f t="shared" si="13"/>
        <v>69</v>
      </c>
      <c r="E72" s="136">
        <f t="shared" si="14"/>
        <v>0.68316831683168322</v>
      </c>
      <c r="F72" s="137">
        <f t="shared" si="15"/>
        <v>69</v>
      </c>
    </row>
    <row r="73" spans="1:6" x14ac:dyDescent="0.3">
      <c r="A73" s="137">
        <v>70</v>
      </c>
      <c r="B73" s="137">
        <v>70</v>
      </c>
      <c r="C73" s="136">
        <f t="shared" si="12"/>
        <v>0.69696969696969702</v>
      </c>
      <c r="D73" s="137">
        <f t="shared" si="13"/>
        <v>70</v>
      </c>
      <c r="E73" s="136">
        <f t="shared" si="14"/>
        <v>0.69306930693069302</v>
      </c>
      <c r="F73" s="137">
        <f t="shared" si="15"/>
        <v>70</v>
      </c>
    </row>
    <row r="74" spans="1:6" x14ac:dyDescent="0.3">
      <c r="A74" s="137">
        <v>71</v>
      </c>
      <c r="B74" s="137">
        <v>71</v>
      </c>
      <c r="C74" s="136">
        <f t="shared" si="12"/>
        <v>0.70707070707070707</v>
      </c>
      <c r="D74" s="137">
        <f t="shared" si="13"/>
        <v>71</v>
      </c>
      <c r="E74" s="136">
        <f t="shared" si="14"/>
        <v>0.70297029702970293</v>
      </c>
      <c r="F74" s="137">
        <f t="shared" si="15"/>
        <v>71</v>
      </c>
    </row>
    <row r="75" spans="1:6" x14ac:dyDescent="0.3">
      <c r="A75" s="137">
        <v>72</v>
      </c>
      <c r="B75" s="137">
        <v>72</v>
      </c>
      <c r="C75" s="136">
        <f t="shared" si="12"/>
        <v>0.71717171717171713</v>
      </c>
      <c r="D75" s="137">
        <f t="shared" si="13"/>
        <v>72</v>
      </c>
      <c r="E75" s="136">
        <f t="shared" si="14"/>
        <v>0.71287128712871284</v>
      </c>
      <c r="F75" s="137">
        <f t="shared" si="15"/>
        <v>72</v>
      </c>
    </row>
    <row r="76" spans="1:6" x14ac:dyDescent="0.3">
      <c r="A76" s="137">
        <v>73</v>
      </c>
      <c r="B76" s="137">
        <v>73</v>
      </c>
      <c r="C76" s="136">
        <f t="shared" si="12"/>
        <v>0.72727272727272729</v>
      </c>
      <c r="D76" s="137">
        <f t="shared" si="13"/>
        <v>73</v>
      </c>
      <c r="E76" s="136">
        <f t="shared" si="14"/>
        <v>0.72277227722772275</v>
      </c>
      <c r="F76" s="137">
        <f t="shared" si="15"/>
        <v>73</v>
      </c>
    </row>
    <row r="77" spans="1:6" x14ac:dyDescent="0.3">
      <c r="A77" s="137">
        <v>74</v>
      </c>
      <c r="B77" s="137">
        <v>74</v>
      </c>
      <c r="C77" s="136">
        <f t="shared" si="12"/>
        <v>0.73737373737373735</v>
      </c>
      <c r="D77" s="137">
        <f t="shared" si="13"/>
        <v>74</v>
      </c>
      <c r="E77" s="136">
        <f t="shared" si="14"/>
        <v>0.73267326732673266</v>
      </c>
      <c r="F77" s="137">
        <f t="shared" si="15"/>
        <v>74</v>
      </c>
    </row>
    <row r="78" spans="1:6" x14ac:dyDescent="0.3">
      <c r="A78" s="137">
        <v>75</v>
      </c>
      <c r="B78" s="137">
        <v>75</v>
      </c>
      <c r="C78" s="136">
        <f t="shared" si="12"/>
        <v>0.74747474747474751</v>
      </c>
      <c r="D78" s="137">
        <f t="shared" si="13"/>
        <v>75</v>
      </c>
      <c r="E78" s="136">
        <f t="shared" si="14"/>
        <v>0.74257425742574257</v>
      </c>
      <c r="F78" s="137">
        <f t="shared" si="15"/>
        <v>75</v>
      </c>
    </row>
    <row r="79" spans="1:6" x14ac:dyDescent="0.3">
      <c r="A79" s="137">
        <v>76</v>
      </c>
      <c r="B79" s="137">
        <v>76</v>
      </c>
      <c r="C79" s="136">
        <f t="shared" si="12"/>
        <v>0.75757575757575757</v>
      </c>
      <c r="D79" s="137">
        <f t="shared" si="13"/>
        <v>76</v>
      </c>
      <c r="E79" s="136">
        <f t="shared" si="14"/>
        <v>0.75247524752475248</v>
      </c>
      <c r="F79" s="137">
        <f t="shared" si="15"/>
        <v>76</v>
      </c>
    </row>
    <row r="80" spans="1:6" x14ac:dyDescent="0.3">
      <c r="A80" s="137">
        <v>77</v>
      </c>
      <c r="B80" s="137">
        <v>77</v>
      </c>
      <c r="C80" s="136">
        <f t="shared" si="12"/>
        <v>0.76767676767676762</v>
      </c>
      <c r="D80" s="137">
        <f t="shared" si="13"/>
        <v>77</v>
      </c>
      <c r="E80" s="136">
        <f t="shared" si="14"/>
        <v>0.76237623762376239</v>
      </c>
      <c r="F80" s="137">
        <f t="shared" si="15"/>
        <v>77</v>
      </c>
    </row>
    <row r="81" spans="1:6" x14ac:dyDescent="0.3">
      <c r="A81" s="137">
        <v>78</v>
      </c>
      <c r="B81" s="137">
        <v>78</v>
      </c>
      <c r="C81" s="136">
        <f t="shared" si="12"/>
        <v>0.77777777777777779</v>
      </c>
      <c r="D81" s="137">
        <f t="shared" si="13"/>
        <v>78</v>
      </c>
      <c r="E81" s="136">
        <f t="shared" si="14"/>
        <v>0.7722772277227723</v>
      </c>
      <c r="F81" s="137">
        <f t="shared" si="15"/>
        <v>78</v>
      </c>
    </row>
    <row r="82" spans="1:6" x14ac:dyDescent="0.3">
      <c r="A82" s="137">
        <v>79</v>
      </c>
      <c r="B82" s="137">
        <v>79</v>
      </c>
      <c r="C82" s="136">
        <f t="shared" si="12"/>
        <v>0.78787878787878785</v>
      </c>
      <c r="D82" s="137">
        <f t="shared" si="13"/>
        <v>79</v>
      </c>
      <c r="E82" s="136">
        <f t="shared" si="14"/>
        <v>0.78217821782178221</v>
      </c>
      <c r="F82" s="137">
        <f t="shared" si="15"/>
        <v>79</v>
      </c>
    </row>
    <row r="83" spans="1:6" x14ac:dyDescent="0.3">
      <c r="A83" s="137">
        <v>80</v>
      </c>
      <c r="B83" s="137">
        <v>80</v>
      </c>
      <c r="C83" s="136">
        <f t="shared" si="12"/>
        <v>0.79797979797979801</v>
      </c>
      <c r="D83" s="137">
        <f t="shared" si="13"/>
        <v>80</v>
      </c>
      <c r="E83" s="136">
        <f t="shared" si="14"/>
        <v>0.79207920792079212</v>
      </c>
      <c r="F83" s="137">
        <f t="shared" si="15"/>
        <v>80</v>
      </c>
    </row>
    <row r="84" spans="1:6" x14ac:dyDescent="0.3">
      <c r="A84" s="137">
        <v>81</v>
      </c>
      <c r="B84" s="137">
        <v>81</v>
      </c>
      <c r="C84" s="136">
        <f t="shared" si="12"/>
        <v>0.80808080808080807</v>
      </c>
      <c r="D84" s="137">
        <f t="shared" si="13"/>
        <v>81</v>
      </c>
      <c r="E84" s="136">
        <f t="shared" si="14"/>
        <v>0.80198019801980203</v>
      </c>
      <c r="F84" s="137">
        <f t="shared" si="15"/>
        <v>81</v>
      </c>
    </row>
    <row r="85" spans="1:6" x14ac:dyDescent="0.3">
      <c r="A85" s="137">
        <v>82</v>
      </c>
      <c r="B85" s="137">
        <v>82</v>
      </c>
      <c r="C85" s="136">
        <f t="shared" si="12"/>
        <v>0.81818181818181823</v>
      </c>
      <c r="D85" s="137">
        <f t="shared" si="13"/>
        <v>82</v>
      </c>
      <c r="E85" s="136">
        <f t="shared" si="14"/>
        <v>0.81188118811881194</v>
      </c>
      <c r="F85" s="137">
        <f t="shared" si="15"/>
        <v>82</v>
      </c>
    </row>
    <row r="86" spans="1:6" x14ac:dyDescent="0.3">
      <c r="A86" s="137">
        <v>83</v>
      </c>
      <c r="B86" s="137">
        <v>83</v>
      </c>
      <c r="C86" s="136">
        <f t="shared" si="12"/>
        <v>0.82828282828282829</v>
      </c>
      <c r="D86" s="137">
        <f t="shared" si="13"/>
        <v>83</v>
      </c>
      <c r="E86" s="136">
        <f t="shared" si="14"/>
        <v>0.82178217821782173</v>
      </c>
      <c r="F86" s="137">
        <f t="shared" si="15"/>
        <v>83</v>
      </c>
    </row>
    <row r="87" spans="1:6" x14ac:dyDescent="0.3">
      <c r="A87" s="137">
        <v>84</v>
      </c>
      <c r="B87" s="137">
        <v>84</v>
      </c>
      <c r="C87" s="136">
        <f t="shared" si="12"/>
        <v>0.83838383838383834</v>
      </c>
      <c r="D87" s="137">
        <f t="shared" si="13"/>
        <v>84</v>
      </c>
      <c r="E87" s="136">
        <f t="shared" si="14"/>
        <v>0.83168316831683164</v>
      </c>
      <c r="F87" s="137">
        <f t="shared" si="15"/>
        <v>84</v>
      </c>
    </row>
    <row r="88" spans="1:6" x14ac:dyDescent="0.3">
      <c r="A88" s="137">
        <v>85</v>
      </c>
      <c r="B88" s="137">
        <v>85</v>
      </c>
      <c r="C88" s="136">
        <f t="shared" si="12"/>
        <v>0.84848484848484851</v>
      </c>
      <c r="D88" s="137">
        <f t="shared" si="13"/>
        <v>85</v>
      </c>
      <c r="E88" s="136">
        <f t="shared" si="14"/>
        <v>0.84158415841584155</v>
      </c>
      <c r="F88" s="137">
        <f t="shared" si="15"/>
        <v>85</v>
      </c>
    </row>
    <row r="89" spans="1:6" x14ac:dyDescent="0.3">
      <c r="A89" s="137">
        <v>86</v>
      </c>
      <c r="B89" s="137">
        <v>86</v>
      </c>
      <c r="C89" s="136">
        <f t="shared" si="12"/>
        <v>0.85858585858585856</v>
      </c>
      <c r="D89" s="137">
        <f t="shared" si="13"/>
        <v>86</v>
      </c>
      <c r="E89" s="136">
        <f t="shared" si="14"/>
        <v>0.85148514851485146</v>
      </c>
      <c r="F89" s="137">
        <f t="shared" si="15"/>
        <v>86</v>
      </c>
    </row>
    <row r="90" spans="1:6" x14ac:dyDescent="0.3">
      <c r="A90" s="137">
        <v>87</v>
      </c>
      <c r="B90" s="137">
        <v>87</v>
      </c>
      <c r="C90" s="136">
        <f t="shared" si="12"/>
        <v>0.86868686868686873</v>
      </c>
      <c r="D90" s="137">
        <f t="shared" si="13"/>
        <v>87</v>
      </c>
      <c r="E90" s="136">
        <f t="shared" si="14"/>
        <v>0.86138613861386137</v>
      </c>
      <c r="F90" s="137">
        <f t="shared" si="15"/>
        <v>87</v>
      </c>
    </row>
    <row r="91" spans="1:6" x14ac:dyDescent="0.3">
      <c r="A91" s="137">
        <v>88</v>
      </c>
      <c r="B91" s="137">
        <v>88</v>
      </c>
      <c r="C91" s="136">
        <f t="shared" si="12"/>
        <v>0.87878787878787878</v>
      </c>
      <c r="D91" s="137">
        <f t="shared" si="13"/>
        <v>88</v>
      </c>
      <c r="E91" s="136">
        <f t="shared" si="14"/>
        <v>0.87128712871287128</v>
      </c>
      <c r="F91" s="137">
        <f t="shared" si="15"/>
        <v>88</v>
      </c>
    </row>
    <row r="92" spans="1:6" x14ac:dyDescent="0.3">
      <c r="A92" s="137">
        <v>89</v>
      </c>
      <c r="B92" s="137">
        <v>89</v>
      </c>
      <c r="C92" s="136">
        <f t="shared" si="12"/>
        <v>0.88888888888888884</v>
      </c>
      <c r="D92" s="137">
        <f t="shared" si="13"/>
        <v>89</v>
      </c>
      <c r="E92" s="136">
        <f t="shared" si="14"/>
        <v>0.88118811881188119</v>
      </c>
      <c r="F92" s="137">
        <f t="shared" si="15"/>
        <v>89</v>
      </c>
    </row>
    <row r="93" spans="1:6" x14ac:dyDescent="0.3">
      <c r="A93" s="137">
        <v>90</v>
      </c>
      <c r="B93" s="137">
        <v>90</v>
      </c>
      <c r="C93" s="136">
        <f t="shared" si="12"/>
        <v>0.89898989898989901</v>
      </c>
      <c r="D93" s="137">
        <f t="shared" si="13"/>
        <v>90</v>
      </c>
      <c r="E93" s="136">
        <f t="shared" si="14"/>
        <v>0.8910891089108911</v>
      </c>
      <c r="F93" s="137">
        <f t="shared" si="15"/>
        <v>90</v>
      </c>
    </row>
    <row r="94" spans="1:6" x14ac:dyDescent="0.3">
      <c r="A94" s="137">
        <v>91</v>
      </c>
      <c r="B94" s="137">
        <v>91</v>
      </c>
      <c r="C94" s="136">
        <f t="shared" si="12"/>
        <v>0.90909090909090906</v>
      </c>
      <c r="D94" s="137">
        <f t="shared" si="13"/>
        <v>91</v>
      </c>
      <c r="E94" s="136">
        <f t="shared" si="14"/>
        <v>0.90099009900990101</v>
      </c>
      <c r="F94" s="137">
        <f t="shared" si="15"/>
        <v>91</v>
      </c>
    </row>
    <row r="95" spans="1:6" x14ac:dyDescent="0.3">
      <c r="A95" s="137">
        <v>92</v>
      </c>
      <c r="B95" s="137">
        <v>92</v>
      </c>
      <c r="C95" s="136">
        <f t="shared" si="12"/>
        <v>0.91919191919191923</v>
      </c>
      <c r="D95" s="137">
        <f t="shared" si="13"/>
        <v>92</v>
      </c>
      <c r="E95" s="136">
        <f t="shared" si="14"/>
        <v>0.91089108910891092</v>
      </c>
      <c r="F95" s="137">
        <f t="shared" si="15"/>
        <v>92</v>
      </c>
    </row>
    <row r="96" spans="1:6" x14ac:dyDescent="0.3">
      <c r="A96" s="137">
        <v>93</v>
      </c>
      <c r="B96" s="137">
        <v>93</v>
      </c>
      <c r="C96" s="136">
        <f t="shared" si="12"/>
        <v>0.92929292929292928</v>
      </c>
      <c r="D96" s="137">
        <f t="shared" si="13"/>
        <v>93</v>
      </c>
      <c r="E96" s="136">
        <f t="shared" si="14"/>
        <v>0.92079207920792083</v>
      </c>
      <c r="F96" s="137">
        <f t="shared" si="15"/>
        <v>93</v>
      </c>
    </row>
    <row r="97" spans="1:6" x14ac:dyDescent="0.3">
      <c r="A97" s="137">
        <v>94</v>
      </c>
      <c r="B97" s="137">
        <v>94</v>
      </c>
      <c r="C97" s="136">
        <f t="shared" si="12"/>
        <v>0.93939393939393945</v>
      </c>
      <c r="D97" s="137">
        <f t="shared" si="13"/>
        <v>94</v>
      </c>
      <c r="E97" s="136">
        <f t="shared" si="14"/>
        <v>0.93069306930693074</v>
      </c>
      <c r="F97" s="137">
        <f t="shared" si="15"/>
        <v>94</v>
      </c>
    </row>
    <row r="98" spans="1:6" x14ac:dyDescent="0.3">
      <c r="A98" s="137">
        <v>95</v>
      </c>
      <c r="B98" s="137">
        <v>95</v>
      </c>
      <c r="C98" s="136">
        <f t="shared" si="12"/>
        <v>0.9494949494949495</v>
      </c>
      <c r="D98" s="137">
        <f t="shared" si="13"/>
        <v>95</v>
      </c>
      <c r="E98" s="136">
        <f t="shared" si="14"/>
        <v>0.94059405940594054</v>
      </c>
      <c r="F98" s="137">
        <f t="shared" si="15"/>
        <v>95</v>
      </c>
    </row>
    <row r="99" spans="1:6" x14ac:dyDescent="0.3">
      <c r="A99" s="137">
        <v>96</v>
      </c>
      <c r="B99" s="137">
        <v>96</v>
      </c>
      <c r="C99" s="136">
        <f t="shared" si="12"/>
        <v>0.95959595959595956</v>
      </c>
      <c r="D99" s="137">
        <f t="shared" si="13"/>
        <v>96</v>
      </c>
      <c r="E99" s="136">
        <f t="shared" si="14"/>
        <v>0.95049504950495045</v>
      </c>
      <c r="F99" s="137">
        <f t="shared" si="15"/>
        <v>96</v>
      </c>
    </row>
    <row r="100" spans="1:6" x14ac:dyDescent="0.3">
      <c r="A100" s="137">
        <v>97</v>
      </c>
      <c r="B100" s="137">
        <v>97</v>
      </c>
      <c r="C100" s="136">
        <f t="shared" si="12"/>
        <v>0.96969696969696972</v>
      </c>
      <c r="D100" s="137">
        <f t="shared" si="13"/>
        <v>97</v>
      </c>
      <c r="E100" s="136">
        <f t="shared" si="14"/>
        <v>0.96039603960396036</v>
      </c>
      <c r="F100" s="137">
        <f t="shared" si="15"/>
        <v>97</v>
      </c>
    </row>
    <row r="101" spans="1:6" x14ac:dyDescent="0.3">
      <c r="A101" s="137">
        <v>98</v>
      </c>
      <c r="B101" s="137">
        <v>98</v>
      </c>
      <c r="C101" s="136">
        <f t="shared" si="12"/>
        <v>0.97979797979797978</v>
      </c>
      <c r="D101" s="137">
        <f t="shared" si="13"/>
        <v>98</v>
      </c>
      <c r="E101" s="136">
        <f t="shared" si="14"/>
        <v>0.97029702970297027</v>
      </c>
      <c r="F101" s="137">
        <f t="shared" si="15"/>
        <v>98</v>
      </c>
    </row>
    <row r="102" spans="1:6" x14ac:dyDescent="0.3">
      <c r="A102" s="137">
        <v>99</v>
      </c>
      <c r="B102" s="137">
        <v>99</v>
      </c>
      <c r="C102" s="136">
        <f t="shared" si="12"/>
        <v>0.98989898989898994</v>
      </c>
      <c r="D102" s="137">
        <f t="shared" si="13"/>
        <v>99</v>
      </c>
      <c r="E102" s="136">
        <f t="shared" si="14"/>
        <v>0.98019801980198018</v>
      </c>
      <c r="F102" s="137">
        <f t="shared" si="15"/>
        <v>99</v>
      </c>
    </row>
    <row r="103" spans="1:6" x14ac:dyDescent="0.3">
      <c r="A103" s="146">
        <v>100</v>
      </c>
      <c r="B103" s="146">
        <v>100</v>
      </c>
      <c r="C103" s="152">
        <f t="shared" si="12"/>
        <v>1</v>
      </c>
      <c r="D103" s="146">
        <f t="shared" si="13"/>
        <v>100</v>
      </c>
      <c r="E103" s="152">
        <f t="shared" si="14"/>
        <v>0.99009900990099009</v>
      </c>
      <c r="F103" s="146">
        <f t="shared" si="15"/>
        <v>100</v>
      </c>
    </row>
  </sheetData>
  <mergeCells count="6">
    <mergeCell ref="R2:S2"/>
    <mergeCell ref="C2:D2"/>
    <mergeCell ref="E2:F2"/>
    <mergeCell ref="J2:K2"/>
    <mergeCell ref="L2:M2"/>
    <mergeCell ref="P2:Q2"/>
  </mergeCells>
  <pageMargins left="0.7" right="0.7" top="0.75" bottom="0.75" header="0.3" footer="0.3"/>
  <pageSetup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R543"/>
  <sheetViews>
    <sheetView zoomScale="99" zoomScaleNormal="99" zoomScalePageLayoutView="90" workbookViewId="0">
      <pane ySplit="1" topLeftCell="A2" activePane="bottomLeft" state="frozen"/>
      <selection pane="bottomLeft" activeCell="F1" sqref="F1"/>
    </sheetView>
  </sheetViews>
  <sheetFormatPr defaultColWidth="8.88671875" defaultRowHeight="14.4" x14ac:dyDescent="0.3"/>
  <cols>
    <col min="1" max="1" width="8.88671875" style="20"/>
    <col min="2" max="2" width="11.44140625" style="22" bestFit="1" customWidth="1"/>
    <col min="3" max="3" width="8.88671875" style="8"/>
    <col min="4" max="4" width="12" style="13" customWidth="1"/>
    <col min="5" max="5" width="8.88671875" style="13"/>
    <col min="6" max="6" width="12.88671875" style="18" bestFit="1" customWidth="1"/>
    <col min="7" max="8" width="8.88671875" style="13"/>
    <col min="9" max="9" width="11.44140625" style="18" bestFit="1" customWidth="1"/>
    <col min="10" max="11" width="8.88671875" style="13"/>
    <col min="12" max="12" width="10.88671875" style="18" bestFit="1" customWidth="1"/>
    <col min="13" max="13" width="4.44140625" style="35" customWidth="1"/>
    <col min="14" max="14" width="10.44140625" style="16" bestFit="1" customWidth="1"/>
    <col min="15" max="16" width="8.88671875" style="16"/>
    <col min="17" max="18" width="9.6640625" style="16" bestFit="1" customWidth="1"/>
    <col min="19" max="19" width="10.44140625" style="16" bestFit="1" customWidth="1"/>
    <col min="20" max="22" width="8.88671875" style="16"/>
    <col min="23" max="23" width="12" style="16" bestFit="1" customWidth="1"/>
    <col min="24" max="16384" width="8.88671875" style="16"/>
  </cols>
  <sheetData>
    <row r="1" spans="1:14" s="11" customFormat="1" x14ac:dyDescent="0.3">
      <c r="A1" s="19" t="s">
        <v>1</v>
      </c>
      <c r="B1" s="21" t="s">
        <v>15</v>
      </c>
      <c r="C1" s="6" t="s">
        <v>102</v>
      </c>
      <c r="D1" s="10" t="s">
        <v>104</v>
      </c>
      <c r="E1" s="10" t="s">
        <v>103</v>
      </c>
      <c r="F1" s="17" t="s">
        <v>105</v>
      </c>
      <c r="G1" s="10" t="s">
        <v>106</v>
      </c>
      <c r="H1" s="10" t="s">
        <v>9</v>
      </c>
      <c r="I1" s="17" t="s">
        <v>107</v>
      </c>
      <c r="J1" s="10" t="s">
        <v>10</v>
      </c>
      <c r="K1" s="10" t="s">
        <v>11</v>
      </c>
      <c r="L1" s="17" t="s">
        <v>16</v>
      </c>
      <c r="M1" s="34"/>
    </row>
    <row r="2" spans="1:14" x14ac:dyDescent="0.3">
      <c r="A2" s="20">
        <v>0</v>
      </c>
      <c r="B2" s="4">
        <v>43138</v>
      </c>
      <c r="C2">
        <v>2681.6599120000001</v>
      </c>
      <c r="D2">
        <v>30323.199218999998</v>
      </c>
      <c r="E2" s="14">
        <v>7.82</v>
      </c>
      <c r="F2" s="18">
        <f>D2/E2</f>
        <v>3877.6469589514063</v>
      </c>
      <c r="G2">
        <v>12590.429688</v>
      </c>
      <c r="H2">
        <v>1.2307999999999999</v>
      </c>
      <c r="I2" s="18">
        <f>G2*H2</f>
        <v>15496.300859990399</v>
      </c>
      <c r="J2">
        <v>21645.369140999999</v>
      </c>
      <c r="K2" s="15">
        <v>115</v>
      </c>
      <c r="L2">
        <f>J2/K2</f>
        <v>188.22060122608696</v>
      </c>
      <c r="N2" s="32">
        <f>MIN($B$2:$B$502)</f>
        <v>43138</v>
      </c>
    </row>
    <row r="3" spans="1:14" x14ac:dyDescent="0.3">
      <c r="A3" s="20">
        <v>1</v>
      </c>
      <c r="B3" s="4">
        <v>43139</v>
      </c>
      <c r="C3">
        <v>2581</v>
      </c>
      <c r="D3">
        <v>30451.269531000002</v>
      </c>
      <c r="E3" s="14">
        <v>7.82</v>
      </c>
      <c r="F3" s="18">
        <f t="shared" ref="F3:F66" si="0">D3/E3</f>
        <v>3894.0242367007672</v>
      </c>
      <c r="G3">
        <v>12260.290039</v>
      </c>
      <c r="H3">
        <v>1.2234</v>
      </c>
      <c r="I3" s="18">
        <f t="shared" ref="I3:I66" si="1">G3*H3</f>
        <v>14999.238833712599</v>
      </c>
      <c r="J3">
        <v>21890.859375</v>
      </c>
      <c r="K3" s="15">
        <v>115.08</v>
      </c>
      <c r="L3">
        <f t="shared" ref="L3:L66" si="2">J3/K3</f>
        <v>190.22296989051094</v>
      </c>
      <c r="N3" s="32">
        <f>MAX($B$2:$B$502)</f>
        <v>43864</v>
      </c>
    </row>
    <row r="4" spans="1:14" x14ac:dyDescent="0.3">
      <c r="A4" s="20">
        <v>2</v>
      </c>
      <c r="B4" s="4">
        <v>43140</v>
      </c>
      <c r="C4">
        <v>2619.5500489999999</v>
      </c>
      <c r="D4">
        <v>29507.419922000001</v>
      </c>
      <c r="E4" s="14">
        <v>7.82</v>
      </c>
      <c r="F4" s="18">
        <f t="shared" si="0"/>
        <v>3773.3273557544758</v>
      </c>
      <c r="G4">
        <v>12107.480469</v>
      </c>
      <c r="H4">
        <v>1.2199</v>
      </c>
      <c r="I4" s="18">
        <f t="shared" si="1"/>
        <v>14769.9154241331</v>
      </c>
      <c r="J4">
        <v>21382.619140999999</v>
      </c>
      <c r="K4" s="15">
        <v>115.17</v>
      </c>
      <c r="L4">
        <f t="shared" si="2"/>
        <v>185.6613626899366</v>
      </c>
    </row>
    <row r="5" spans="1:14" x14ac:dyDescent="0.3">
      <c r="A5" s="20">
        <v>3</v>
      </c>
      <c r="B5" s="4">
        <v>43143</v>
      </c>
      <c r="C5">
        <v>2656</v>
      </c>
      <c r="D5">
        <v>29459.630859000001</v>
      </c>
      <c r="E5" s="14">
        <v>7.82</v>
      </c>
      <c r="F5" s="18">
        <f t="shared" si="0"/>
        <v>3767.2162223785167</v>
      </c>
      <c r="G5">
        <v>12282.769531</v>
      </c>
      <c r="H5">
        <v>1.2255</v>
      </c>
      <c r="I5" s="18">
        <f t="shared" si="1"/>
        <v>15052.534060240499</v>
      </c>
      <c r="J5">
        <v>21382.619140999999</v>
      </c>
      <c r="K5" s="15">
        <v>115.41</v>
      </c>
      <c r="L5">
        <f t="shared" si="2"/>
        <v>185.27527199549434</v>
      </c>
    </row>
    <row r="6" spans="1:14" x14ac:dyDescent="0.3">
      <c r="A6" s="20">
        <v>4</v>
      </c>
      <c r="B6" s="4">
        <v>43144</v>
      </c>
      <c r="C6">
        <v>2662.9399410000001</v>
      </c>
      <c r="D6">
        <v>29839.529297000001</v>
      </c>
      <c r="E6" s="14">
        <v>7.82</v>
      </c>
      <c r="F6" s="18">
        <f t="shared" si="0"/>
        <v>3815.7965852941174</v>
      </c>
      <c r="G6">
        <v>12196.5</v>
      </c>
      <c r="H6">
        <v>1.2323999999999999</v>
      </c>
      <c r="I6" s="18">
        <f t="shared" si="1"/>
        <v>15030.9666</v>
      </c>
      <c r="J6">
        <v>21244.679688</v>
      </c>
      <c r="K6" s="15">
        <v>116.07</v>
      </c>
      <c r="L6">
        <f t="shared" si="2"/>
        <v>183.03333926079091</v>
      </c>
    </row>
    <row r="7" spans="1:14" x14ac:dyDescent="0.3">
      <c r="A7" s="20">
        <v>5</v>
      </c>
      <c r="B7" s="4">
        <v>43145</v>
      </c>
      <c r="C7">
        <v>2698.6298830000001</v>
      </c>
      <c r="D7">
        <v>30515.599609000001</v>
      </c>
      <c r="E7" s="14">
        <v>7.82</v>
      </c>
      <c r="F7" s="18">
        <f t="shared" si="0"/>
        <v>3902.2505893861894</v>
      </c>
      <c r="G7">
        <v>12339.160156</v>
      </c>
      <c r="H7">
        <v>1.2327999999999999</v>
      </c>
      <c r="I7" s="18">
        <f t="shared" si="1"/>
        <v>15211.716640316799</v>
      </c>
      <c r="J7">
        <v>21154.169922000001</v>
      </c>
      <c r="K7" s="15">
        <v>116.45</v>
      </c>
      <c r="L7">
        <f t="shared" si="2"/>
        <v>181.6588228595964</v>
      </c>
    </row>
    <row r="8" spans="1:14" x14ac:dyDescent="0.3">
      <c r="A8" s="20">
        <v>6</v>
      </c>
      <c r="B8" s="4">
        <v>43146</v>
      </c>
      <c r="C8">
        <v>2731.1999510000001</v>
      </c>
      <c r="D8">
        <v>31115.429688</v>
      </c>
      <c r="E8" s="14">
        <v>7.82</v>
      </c>
      <c r="F8" s="18">
        <f t="shared" si="0"/>
        <v>3978.9552030690534</v>
      </c>
      <c r="G8">
        <v>12346.169921999999</v>
      </c>
      <c r="H8">
        <v>1.24</v>
      </c>
      <c r="I8" s="18">
        <f t="shared" si="1"/>
        <v>15309.250703279999</v>
      </c>
      <c r="J8">
        <v>21464.980468999998</v>
      </c>
      <c r="K8" s="15">
        <v>116.02</v>
      </c>
      <c r="L8">
        <f t="shared" si="2"/>
        <v>185.01103662299602</v>
      </c>
    </row>
    <row r="9" spans="1:14" x14ac:dyDescent="0.3">
      <c r="A9" s="20">
        <v>7</v>
      </c>
      <c r="B9" s="4">
        <v>43147</v>
      </c>
      <c r="C9">
        <v>2732.219971</v>
      </c>
      <c r="D9">
        <v>30873.630859000001</v>
      </c>
      <c r="E9" s="14">
        <v>7.82</v>
      </c>
      <c r="F9" s="18">
        <f t="shared" si="0"/>
        <v>3948.0346367007674</v>
      </c>
      <c r="G9">
        <v>12451.959961</v>
      </c>
      <c r="H9">
        <v>1.2403</v>
      </c>
      <c r="I9" s="18">
        <f t="shared" si="1"/>
        <v>15444.165939628299</v>
      </c>
      <c r="J9">
        <v>21720.25</v>
      </c>
      <c r="K9" s="15">
        <v>115.78</v>
      </c>
      <c r="L9">
        <f t="shared" si="2"/>
        <v>187.59932630851614</v>
      </c>
    </row>
    <row r="10" spans="1:14" x14ac:dyDescent="0.3">
      <c r="A10" s="20">
        <v>8</v>
      </c>
      <c r="B10" s="4">
        <v>43151</v>
      </c>
      <c r="C10">
        <v>2716.26001</v>
      </c>
      <c r="D10">
        <v>31431.890625</v>
      </c>
      <c r="E10" s="14">
        <v>7.82</v>
      </c>
      <c r="F10" s="18">
        <f t="shared" si="0"/>
        <v>4019.4233535805624</v>
      </c>
      <c r="G10">
        <v>12487.900390999999</v>
      </c>
      <c r="H10">
        <v>1.2301</v>
      </c>
      <c r="I10" s="18">
        <f t="shared" si="1"/>
        <v>15361.366270969098</v>
      </c>
      <c r="J10">
        <v>22149.210938</v>
      </c>
      <c r="K10" s="15">
        <v>115.53</v>
      </c>
      <c r="L10">
        <f t="shared" si="2"/>
        <v>191.7182631178049</v>
      </c>
    </row>
    <row r="11" spans="1:14" x14ac:dyDescent="0.3">
      <c r="A11" s="20">
        <v>9</v>
      </c>
      <c r="B11" s="4">
        <v>43152</v>
      </c>
      <c r="C11">
        <v>2701.330078</v>
      </c>
      <c r="D11">
        <v>30965.679688</v>
      </c>
      <c r="E11" s="14">
        <v>7.82</v>
      </c>
      <c r="F11" s="18">
        <f t="shared" si="0"/>
        <v>3959.805586700767</v>
      </c>
      <c r="G11">
        <v>12470.490234000001</v>
      </c>
      <c r="H11">
        <v>1.2305999999999999</v>
      </c>
      <c r="I11" s="18">
        <f t="shared" si="1"/>
        <v>15346.185281960399</v>
      </c>
      <c r="J11">
        <v>21925.099609000001</v>
      </c>
      <c r="K11" s="15">
        <v>115.74</v>
      </c>
      <c r="L11">
        <f t="shared" si="2"/>
        <v>189.43407299982721</v>
      </c>
    </row>
    <row r="12" spans="1:14" x14ac:dyDescent="0.3">
      <c r="A12" s="20">
        <v>10</v>
      </c>
      <c r="B12" s="4">
        <v>43153</v>
      </c>
      <c r="C12">
        <v>2703.959961</v>
      </c>
      <c r="D12">
        <v>31267.169922000001</v>
      </c>
      <c r="E12" s="14">
        <v>7.82</v>
      </c>
      <c r="F12" s="18">
        <f t="shared" si="0"/>
        <v>3998.3593250639387</v>
      </c>
      <c r="G12">
        <v>12461.910156</v>
      </c>
      <c r="H12">
        <v>1.2337</v>
      </c>
      <c r="I12" s="18">
        <f t="shared" si="1"/>
        <v>15374.258559457199</v>
      </c>
      <c r="J12">
        <v>21970.810547000001</v>
      </c>
      <c r="K12" s="15">
        <v>115.86</v>
      </c>
      <c r="L12">
        <f t="shared" si="2"/>
        <v>189.63240589504576</v>
      </c>
    </row>
    <row r="13" spans="1:14" x14ac:dyDescent="0.3">
      <c r="A13" s="20">
        <v>11</v>
      </c>
      <c r="B13" s="4">
        <v>43154</v>
      </c>
      <c r="C13">
        <v>2747.3000489999999</v>
      </c>
      <c r="D13">
        <v>31498.599609000001</v>
      </c>
      <c r="E13" s="14">
        <v>7.82</v>
      </c>
      <c r="F13" s="18">
        <f t="shared" si="0"/>
        <v>4027.9539141943733</v>
      </c>
      <c r="G13">
        <v>12483.790039</v>
      </c>
      <c r="H13">
        <v>1.2395</v>
      </c>
      <c r="I13" s="18">
        <f t="shared" si="1"/>
        <v>15473.6577533405</v>
      </c>
      <c r="J13">
        <v>21736.439452999999</v>
      </c>
      <c r="K13" s="15">
        <v>116.46</v>
      </c>
      <c r="L13">
        <f t="shared" si="2"/>
        <v>186.64296284561223</v>
      </c>
    </row>
    <row r="14" spans="1:14" x14ac:dyDescent="0.3">
      <c r="A14" s="20">
        <v>12</v>
      </c>
      <c r="B14" s="4">
        <v>43157</v>
      </c>
      <c r="C14">
        <v>2779.6000979999999</v>
      </c>
      <c r="D14">
        <v>31268.660156000002</v>
      </c>
      <c r="E14" s="14">
        <v>7.82</v>
      </c>
      <c r="F14" s="18">
        <f t="shared" si="0"/>
        <v>3998.5498920716113</v>
      </c>
      <c r="G14">
        <v>12527.040039</v>
      </c>
      <c r="H14">
        <v>1.2371000000000001</v>
      </c>
      <c r="I14" s="18">
        <f t="shared" si="1"/>
        <v>15497.2012322469</v>
      </c>
      <c r="J14">
        <v>21892.779297000001</v>
      </c>
      <c r="K14" s="15">
        <v>116.53</v>
      </c>
      <c r="L14">
        <f t="shared" si="2"/>
        <v>187.87247315712693</v>
      </c>
    </row>
    <row r="15" spans="1:14" x14ac:dyDescent="0.3">
      <c r="A15" s="20">
        <v>13</v>
      </c>
      <c r="B15" s="4">
        <v>43158</v>
      </c>
      <c r="C15">
        <v>2744.280029</v>
      </c>
      <c r="D15">
        <v>30844.720702999999</v>
      </c>
      <c r="E15" s="14">
        <v>7.82</v>
      </c>
      <c r="F15" s="18">
        <f t="shared" si="0"/>
        <v>3944.3376858056263</v>
      </c>
      <c r="G15">
        <v>12490.730469</v>
      </c>
      <c r="H15">
        <v>1.2301</v>
      </c>
      <c r="I15" s="18">
        <f t="shared" si="1"/>
        <v>15364.8475499169</v>
      </c>
      <c r="J15">
        <v>22153.630859000001</v>
      </c>
      <c r="K15" s="15">
        <v>116.32</v>
      </c>
      <c r="L15">
        <f t="shared" si="2"/>
        <v>190.45418551409907</v>
      </c>
    </row>
    <row r="16" spans="1:14" x14ac:dyDescent="0.3">
      <c r="A16" s="20">
        <v>14</v>
      </c>
      <c r="B16" s="4">
        <v>43159</v>
      </c>
      <c r="C16">
        <v>2713.830078</v>
      </c>
      <c r="D16">
        <v>30944.4853515</v>
      </c>
      <c r="E16" s="14">
        <v>7.82</v>
      </c>
      <c r="F16" s="18">
        <f t="shared" si="0"/>
        <v>3957.0953134910483</v>
      </c>
      <c r="G16">
        <v>12435.849609000001</v>
      </c>
      <c r="H16">
        <v>1.2286999999999999</v>
      </c>
      <c r="I16" s="18">
        <f t="shared" si="1"/>
        <v>15279.9284145783</v>
      </c>
      <c r="J16">
        <v>22389.859375</v>
      </c>
      <c r="K16" s="15">
        <v>117.3</v>
      </c>
      <c r="L16">
        <f t="shared" si="2"/>
        <v>190.87689151747657</v>
      </c>
    </row>
    <row r="17" spans="1:18" x14ac:dyDescent="0.3">
      <c r="A17" s="20">
        <v>15</v>
      </c>
      <c r="B17" s="4">
        <v>43160</v>
      </c>
      <c r="C17">
        <v>2677.669922</v>
      </c>
      <c r="D17">
        <v>31044.25</v>
      </c>
      <c r="E17" s="14">
        <v>7.82</v>
      </c>
      <c r="F17" s="18">
        <f t="shared" si="0"/>
        <v>3969.8529411764703</v>
      </c>
      <c r="G17">
        <v>12190.940430000001</v>
      </c>
      <c r="H17">
        <v>1.2339</v>
      </c>
      <c r="I17" s="18">
        <f t="shared" si="1"/>
        <v>15042.401396577001</v>
      </c>
      <c r="J17">
        <v>22068.240234000001</v>
      </c>
      <c r="K17" s="15">
        <v>116.92</v>
      </c>
      <c r="L17">
        <f t="shared" si="2"/>
        <v>188.74649533014028</v>
      </c>
    </row>
    <row r="18" spans="1:18" x14ac:dyDescent="0.3">
      <c r="A18" s="20">
        <v>16</v>
      </c>
      <c r="B18" s="4">
        <v>43161</v>
      </c>
      <c r="C18">
        <v>2691.25</v>
      </c>
      <c r="D18">
        <v>30583.449218999998</v>
      </c>
      <c r="E18" s="14">
        <v>7.82</v>
      </c>
      <c r="F18" s="18">
        <f t="shared" si="0"/>
        <v>3910.9270101023012</v>
      </c>
      <c r="G18">
        <v>11913.709961</v>
      </c>
      <c r="H18">
        <v>1.2254</v>
      </c>
      <c r="I18" s="18">
        <f t="shared" si="1"/>
        <v>14599.060186209401</v>
      </c>
      <c r="J18">
        <v>21724.470702999999</v>
      </c>
      <c r="K18" s="15">
        <v>117.05</v>
      </c>
      <c r="L18">
        <f t="shared" si="2"/>
        <v>185.59992057240495</v>
      </c>
    </row>
    <row r="19" spans="1:18" x14ac:dyDescent="0.3">
      <c r="A19" s="20">
        <v>17</v>
      </c>
      <c r="B19" s="4">
        <v>43164</v>
      </c>
      <c r="C19">
        <v>2720.9399410000001</v>
      </c>
      <c r="D19">
        <v>29886.390625</v>
      </c>
      <c r="E19" s="14">
        <v>7.82</v>
      </c>
      <c r="F19" s="18">
        <f t="shared" si="0"/>
        <v>3821.7890824808183</v>
      </c>
      <c r="G19">
        <v>12090.870117</v>
      </c>
      <c r="H19">
        <v>1.2334000000000001</v>
      </c>
      <c r="I19" s="18">
        <f t="shared" si="1"/>
        <v>14912.8792023078</v>
      </c>
      <c r="J19">
        <v>21181.640625</v>
      </c>
      <c r="K19" s="15">
        <v>117.3</v>
      </c>
      <c r="L19">
        <f t="shared" si="2"/>
        <v>180.57664641943734</v>
      </c>
    </row>
    <row r="20" spans="1:18" x14ac:dyDescent="0.3">
      <c r="A20" s="20">
        <v>18</v>
      </c>
      <c r="B20" s="4">
        <v>43165</v>
      </c>
      <c r="C20">
        <v>2728.1201169999999</v>
      </c>
      <c r="D20">
        <v>30510.730468999998</v>
      </c>
      <c r="E20" s="14">
        <v>7.82</v>
      </c>
      <c r="F20" s="18">
        <f t="shared" si="0"/>
        <v>3901.6279372122758</v>
      </c>
      <c r="G20">
        <v>12113.870117</v>
      </c>
      <c r="H20">
        <v>1.2305999999999999</v>
      </c>
      <c r="I20" s="18">
        <f t="shared" si="1"/>
        <v>14907.328565980199</v>
      </c>
      <c r="J20">
        <v>21042.089843999998</v>
      </c>
      <c r="K20" s="15">
        <v>117.32</v>
      </c>
      <c r="L20">
        <f t="shared" si="2"/>
        <v>179.35637439481758</v>
      </c>
    </row>
    <row r="21" spans="1:18" x14ac:dyDescent="0.3">
      <c r="A21" s="20">
        <v>19</v>
      </c>
      <c r="B21" s="4">
        <v>43166</v>
      </c>
      <c r="C21">
        <v>2726.8000489999999</v>
      </c>
      <c r="D21">
        <v>30196.919922000001</v>
      </c>
      <c r="E21" s="14">
        <v>7.82</v>
      </c>
      <c r="F21" s="18">
        <f t="shared" si="0"/>
        <v>3861.4987112531967</v>
      </c>
      <c r="G21">
        <v>12245.360352</v>
      </c>
      <c r="H21">
        <v>1.2358</v>
      </c>
      <c r="I21" s="18">
        <f t="shared" si="1"/>
        <v>15132.8163230016</v>
      </c>
      <c r="J21">
        <v>21417.759765999999</v>
      </c>
      <c r="K21" s="15">
        <v>116.1</v>
      </c>
      <c r="L21">
        <f t="shared" si="2"/>
        <v>184.47682830318692</v>
      </c>
    </row>
    <row r="22" spans="1:18" x14ac:dyDescent="0.3">
      <c r="A22" s="20">
        <v>20</v>
      </c>
      <c r="B22" s="4">
        <v>43167</v>
      </c>
      <c r="C22">
        <v>2738.969971</v>
      </c>
      <c r="D22">
        <v>30654.519531000002</v>
      </c>
      <c r="E22" s="14">
        <v>7.82</v>
      </c>
      <c r="F22" s="18">
        <f t="shared" si="0"/>
        <v>3920.0152852941178</v>
      </c>
      <c r="G22">
        <v>12355.570313</v>
      </c>
      <c r="H22">
        <v>1.2453000000000001</v>
      </c>
      <c r="I22" s="18">
        <f t="shared" si="1"/>
        <v>15386.3917107789</v>
      </c>
      <c r="J22">
        <v>21252.720702999999</v>
      </c>
      <c r="K22" s="15">
        <v>116.63</v>
      </c>
      <c r="L22">
        <f t="shared" si="2"/>
        <v>182.22344768069965</v>
      </c>
    </row>
    <row r="23" spans="1:18" x14ac:dyDescent="0.3">
      <c r="A23" s="20">
        <v>21</v>
      </c>
      <c r="B23" s="4">
        <v>43168</v>
      </c>
      <c r="C23">
        <v>2786.570068</v>
      </c>
      <c r="D23">
        <v>30996.210938</v>
      </c>
      <c r="E23" s="14">
        <v>7.82</v>
      </c>
      <c r="F23" s="18">
        <f t="shared" si="0"/>
        <v>3963.7098386189259</v>
      </c>
      <c r="G23">
        <v>12346.679688</v>
      </c>
      <c r="H23">
        <v>1.2402</v>
      </c>
      <c r="I23" s="18">
        <f t="shared" si="1"/>
        <v>15312.3521490576</v>
      </c>
      <c r="J23">
        <v>21368.070313</v>
      </c>
      <c r="K23" s="15">
        <v>116.45</v>
      </c>
      <c r="L23">
        <f t="shared" si="2"/>
        <v>183.49566606268783</v>
      </c>
      <c r="R23" s="33"/>
    </row>
    <row r="24" spans="1:18" x14ac:dyDescent="0.3">
      <c r="A24" s="20">
        <v>22</v>
      </c>
      <c r="B24" s="4">
        <v>43171</v>
      </c>
      <c r="C24">
        <v>2783.0200199999999</v>
      </c>
      <c r="D24">
        <v>31594.330077999999</v>
      </c>
      <c r="E24" s="14">
        <v>7.82</v>
      </c>
      <c r="F24" s="18">
        <f t="shared" si="0"/>
        <v>4040.1956621483373</v>
      </c>
      <c r="G24">
        <v>12418.389648</v>
      </c>
      <c r="H24">
        <v>1.2307999999999999</v>
      </c>
      <c r="I24" s="18">
        <f t="shared" si="1"/>
        <v>15284.553978758398</v>
      </c>
      <c r="J24">
        <v>21469.199218999998</v>
      </c>
      <c r="K24" s="15">
        <v>116.74</v>
      </c>
      <c r="L24">
        <f t="shared" si="2"/>
        <v>183.90610946547883</v>
      </c>
      <c r="R24" s="32"/>
    </row>
    <row r="25" spans="1:18" x14ac:dyDescent="0.3">
      <c r="A25" s="20">
        <v>23</v>
      </c>
      <c r="B25" s="4">
        <v>43172</v>
      </c>
      <c r="C25">
        <v>2765.3100589999999</v>
      </c>
      <c r="D25">
        <v>31601.449218999998</v>
      </c>
      <c r="E25" s="14">
        <v>7.82</v>
      </c>
      <c r="F25" s="18">
        <f t="shared" si="0"/>
        <v>4041.1060382352939</v>
      </c>
      <c r="G25">
        <v>12221.030273</v>
      </c>
      <c r="H25">
        <v>1.2303999999999999</v>
      </c>
      <c r="I25" s="18">
        <f t="shared" si="1"/>
        <v>15036.755647899199</v>
      </c>
      <c r="J25">
        <v>21824.029297000001</v>
      </c>
      <c r="K25" s="15">
        <v>117.74</v>
      </c>
      <c r="L25">
        <f t="shared" si="2"/>
        <v>185.35781634958386</v>
      </c>
    </row>
    <row r="26" spans="1:18" x14ac:dyDescent="0.3">
      <c r="A26" s="20">
        <v>24</v>
      </c>
      <c r="B26" s="4">
        <v>43173</v>
      </c>
      <c r="C26">
        <v>2749.4799800000001</v>
      </c>
      <c r="D26">
        <v>31435.009765999999</v>
      </c>
      <c r="E26" s="14">
        <v>7.82</v>
      </c>
      <c r="F26" s="18">
        <f t="shared" si="0"/>
        <v>4019.8222207161125</v>
      </c>
      <c r="G26">
        <v>12237.740234000001</v>
      </c>
      <c r="H26">
        <v>1.2323</v>
      </c>
      <c r="I26" s="18">
        <f t="shared" si="1"/>
        <v>15080.5672903582</v>
      </c>
      <c r="J26">
        <v>21968.099609000001</v>
      </c>
      <c r="K26" s="15">
        <v>117.77</v>
      </c>
      <c r="L26">
        <f t="shared" si="2"/>
        <v>186.53391873142567</v>
      </c>
    </row>
    <row r="27" spans="1:18" x14ac:dyDescent="0.3">
      <c r="A27" s="20">
        <v>25</v>
      </c>
      <c r="B27" s="4">
        <v>43174</v>
      </c>
      <c r="C27">
        <v>2747.330078</v>
      </c>
      <c r="D27">
        <v>31541.099609000001</v>
      </c>
      <c r="E27" s="14">
        <v>7.82</v>
      </c>
      <c r="F27" s="18">
        <f t="shared" si="0"/>
        <v>4033.3886968030688</v>
      </c>
      <c r="G27">
        <v>12345.559569999999</v>
      </c>
      <c r="H27">
        <v>1.23</v>
      </c>
      <c r="I27" s="18">
        <f t="shared" si="1"/>
        <v>15185.038271099998</v>
      </c>
      <c r="J27">
        <v>21777.289063</v>
      </c>
      <c r="K27" s="15">
        <v>117.67</v>
      </c>
      <c r="L27">
        <f t="shared" si="2"/>
        <v>185.07086821619785</v>
      </c>
    </row>
    <row r="28" spans="1:18" x14ac:dyDescent="0.3">
      <c r="A28" s="20">
        <v>26</v>
      </c>
      <c r="B28" s="4">
        <v>43175</v>
      </c>
      <c r="C28">
        <v>2752.01001</v>
      </c>
      <c r="D28">
        <v>31501.970702999999</v>
      </c>
      <c r="E28" s="14">
        <v>7.82</v>
      </c>
      <c r="F28" s="18">
        <f t="shared" si="0"/>
        <v>4028.3850003836314</v>
      </c>
      <c r="G28">
        <v>12389.580078000001</v>
      </c>
      <c r="H28">
        <v>1.2270000000000001</v>
      </c>
      <c r="I28" s="18">
        <f t="shared" si="1"/>
        <v>15202.014755706003</v>
      </c>
      <c r="J28">
        <v>21803.949218999998</v>
      </c>
      <c r="K28" s="15">
        <v>117.41</v>
      </c>
      <c r="L28">
        <f t="shared" si="2"/>
        <v>185.70776951707691</v>
      </c>
    </row>
    <row r="29" spans="1:18" x14ac:dyDescent="0.3">
      <c r="A29" s="20">
        <v>27</v>
      </c>
      <c r="B29" s="4">
        <v>43178</v>
      </c>
      <c r="C29">
        <v>2712.919922</v>
      </c>
      <c r="D29">
        <v>31513.759765999999</v>
      </c>
      <c r="E29" s="14">
        <v>7.82</v>
      </c>
      <c r="F29" s="18">
        <f t="shared" si="0"/>
        <v>4029.8925531969307</v>
      </c>
      <c r="G29">
        <v>12217.019531</v>
      </c>
      <c r="H29">
        <v>1.2281</v>
      </c>
      <c r="I29" s="18">
        <f t="shared" si="1"/>
        <v>15003.721686021099</v>
      </c>
      <c r="J29">
        <v>21676.509765999999</v>
      </c>
      <c r="K29" s="15">
        <v>117.59</v>
      </c>
      <c r="L29">
        <f t="shared" si="2"/>
        <v>184.33973778382514</v>
      </c>
    </row>
    <row r="30" spans="1:18" x14ac:dyDescent="0.3">
      <c r="A30" s="20">
        <v>28</v>
      </c>
      <c r="B30" s="4">
        <v>43179</v>
      </c>
      <c r="C30">
        <v>2716.9399410000001</v>
      </c>
      <c r="D30">
        <v>31549.929688</v>
      </c>
      <c r="E30" s="14">
        <v>7.82</v>
      </c>
      <c r="F30" s="18">
        <f t="shared" si="0"/>
        <v>4034.5178629156007</v>
      </c>
      <c r="G30">
        <v>12307.330078000001</v>
      </c>
      <c r="H30">
        <v>1.2232000000000001</v>
      </c>
      <c r="I30" s="18">
        <f t="shared" si="1"/>
        <v>15054.326151409601</v>
      </c>
      <c r="J30">
        <v>21480.900390999999</v>
      </c>
      <c r="K30" s="15">
        <v>117.18</v>
      </c>
      <c r="L30">
        <f t="shared" si="2"/>
        <v>183.3154155231268</v>
      </c>
    </row>
    <row r="31" spans="1:18" x14ac:dyDescent="0.3">
      <c r="A31" s="20">
        <v>29</v>
      </c>
      <c r="B31" s="4">
        <v>43180</v>
      </c>
      <c r="C31">
        <v>2711.929932</v>
      </c>
      <c r="D31">
        <v>31414.519531000002</v>
      </c>
      <c r="E31" s="14">
        <v>7.82</v>
      </c>
      <c r="F31" s="18">
        <f t="shared" si="0"/>
        <v>4017.2019860613814</v>
      </c>
      <c r="G31">
        <v>12309.150390999999</v>
      </c>
      <c r="H31">
        <v>1.2287999999999999</v>
      </c>
      <c r="I31" s="18">
        <f t="shared" si="1"/>
        <v>15125.484000460798</v>
      </c>
      <c r="J31">
        <v>21380.970702999999</v>
      </c>
      <c r="K31" s="15">
        <v>117.25</v>
      </c>
      <c r="L31">
        <f t="shared" si="2"/>
        <v>182.35369469509595</v>
      </c>
    </row>
    <row r="32" spans="1:18" x14ac:dyDescent="0.3">
      <c r="A32" s="20">
        <v>30</v>
      </c>
      <c r="B32" s="4">
        <v>43181</v>
      </c>
      <c r="C32">
        <v>2643.6899410000001</v>
      </c>
      <c r="D32">
        <v>31071.050781000002</v>
      </c>
      <c r="E32" s="14">
        <v>7.82</v>
      </c>
      <c r="F32" s="18">
        <f t="shared" si="0"/>
        <v>3973.2801510230179</v>
      </c>
      <c r="G32">
        <v>12100.080078000001</v>
      </c>
      <c r="H32">
        <v>1.2318</v>
      </c>
      <c r="I32" s="18">
        <f t="shared" si="1"/>
        <v>14904.878640080402</v>
      </c>
      <c r="J32">
        <v>21486.480468499998</v>
      </c>
      <c r="K32" s="15">
        <v>116.78</v>
      </c>
      <c r="L32">
        <f t="shared" si="2"/>
        <v>183.99109837729063</v>
      </c>
    </row>
    <row r="33" spans="1:12" x14ac:dyDescent="0.3">
      <c r="A33" s="20">
        <v>31</v>
      </c>
      <c r="B33" s="4">
        <v>43182</v>
      </c>
      <c r="C33">
        <v>2588.26001</v>
      </c>
      <c r="D33">
        <v>30309.289063</v>
      </c>
      <c r="E33" s="14">
        <v>7.82</v>
      </c>
      <c r="F33" s="18">
        <f t="shared" si="0"/>
        <v>3875.8681666240409</v>
      </c>
      <c r="G33">
        <v>11886.309569999999</v>
      </c>
      <c r="H33">
        <v>1.2359</v>
      </c>
      <c r="I33" s="18">
        <f t="shared" si="1"/>
        <v>14690.289997562999</v>
      </c>
      <c r="J33">
        <v>21591.990234000001</v>
      </c>
      <c r="K33" s="15">
        <v>116.38</v>
      </c>
      <c r="L33">
        <f t="shared" si="2"/>
        <v>185.53007590651316</v>
      </c>
    </row>
    <row r="34" spans="1:12" x14ac:dyDescent="0.3">
      <c r="A34" s="20">
        <v>32</v>
      </c>
      <c r="B34" s="4">
        <v>43185</v>
      </c>
      <c r="C34">
        <v>2658.5500489999999</v>
      </c>
      <c r="D34">
        <v>30548.769531000002</v>
      </c>
      <c r="E34" s="14">
        <v>7.82</v>
      </c>
      <c r="F34" s="18">
        <f t="shared" si="0"/>
        <v>3906.4922673913043</v>
      </c>
      <c r="G34">
        <v>11787.259765999999</v>
      </c>
      <c r="H34">
        <v>1.2362</v>
      </c>
      <c r="I34" s="18">
        <f t="shared" si="1"/>
        <v>14571.410522729198</v>
      </c>
      <c r="J34">
        <v>20617.859375</v>
      </c>
      <c r="K34" s="15">
        <v>116.49</v>
      </c>
      <c r="L34">
        <f t="shared" si="2"/>
        <v>176.99252618250495</v>
      </c>
    </row>
    <row r="35" spans="1:12" x14ac:dyDescent="0.3">
      <c r="A35" s="20">
        <v>33</v>
      </c>
      <c r="B35" s="4">
        <v>43186</v>
      </c>
      <c r="C35">
        <v>2612.6201169999999</v>
      </c>
      <c r="D35">
        <v>30790.830077999999</v>
      </c>
      <c r="E35" s="14">
        <v>7.82</v>
      </c>
      <c r="F35" s="18">
        <f t="shared" si="0"/>
        <v>3937.4463015345268</v>
      </c>
      <c r="G35">
        <v>11970.830078000001</v>
      </c>
      <c r="H35">
        <v>1.2330000000000001</v>
      </c>
      <c r="I35" s="18">
        <f t="shared" si="1"/>
        <v>14760.033486174003</v>
      </c>
      <c r="J35">
        <v>20766.099609000001</v>
      </c>
      <c r="K35" s="15">
        <v>117.04</v>
      </c>
      <c r="L35">
        <f t="shared" si="2"/>
        <v>177.42737191558442</v>
      </c>
    </row>
    <row r="36" spans="1:12" x14ac:dyDescent="0.3">
      <c r="A36" s="20">
        <v>34</v>
      </c>
      <c r="B36" s="4">
        <v>43187</v>
      </c>
      <c r="C36">
        <v>2605</v>
      </c>
      <c r="D36">
        <v>30022.529297000001</v>
      </c>
      <c r="E36" s="14">
        <v>7.82</v>
      </c>
      <c r="F36" s="18">
        <f t="shared" si="0"/>
        <v>3839.1981198209719</v>
      </c>
      <c r="G36">
        <v>11940.709961</v>
      </c>
      <c r="H36">
        <v>1.2338</v>
      </c>
      <c r="I36" s="18">
        <f t="shared" si="1"/>
        <v>14732.4479498818</v>
      </c>
      <c r="J36">
        <v>21317.320313</v>
      </c>
      <c r="K36" s="15">
        <v>117.37</v>
      </c>
      <c r="L36">
        <f t="shared" si="2"/>
        <v>181.62494941637556</v>
      </c>
    </row>
    <row r="37" spans="1:12" x14ac:dyDescent="0.3">
      <c r="A37" s="20">
        <v>35</v>
      </c>
      <c r="B37" s="4">
        <v>43188</v>
      </c>
      <c r="C37">
        <v>2640.8701169999999</v>
      </c>
      <c r="D37">
        <v>30093.380859000001</v>
      </c>
      <c r="E37" s="14">
        <v>7.82</v>
      </c>
      <c r="F37" s="18">
        <f t="shared" si="0"/>
        <v>3848.2584218670077</v>
      </c>
      <c r="G37">
        <v>12096.730469</v>
      </c>
      <c r="H37">
        <v>1.2375</v>
      </c>
      <c r="I37" s="18">
        <f t="shared" si="1"/>
        <v>14969.7039553875</v>
      </c>
      <c r="J37">
        <v>21031.310547000001</v>
      </c>
      <c r="K37" s="15">
        <v>117.85</v>
      </c>
      <c r="L37">
        <f t="shared" si="2"/>
        <v>178.45829908358084</v>
      </c>
    </row>
    <row r="38" spans="1:12" x14ac:dyDescent="0.3">
      <c r="A38" s="20">
        <v>36</v>
      </c>
      <c r="B38" s="4">
        <v>43192</v>
      </c>
      <c r="C38">
        <v>2581.8798830000001</v>
      </c>
      <c r="D38">
        <v>30180.099609000001</v>
      </c>
      <c r="E38" s="14">
        <v>7.82</v>
      </c>
      <c r="F38" s="18">
        <f t="shared" si="0"/>
        <v>3859.3477760869564</v>
      </c>
      <c r="G38">
        <v>12002.450194999999</v>
      </c>
      <c r="H38">
        <v>1.2363999999999999</v>
      </c>
      <c r="I38" s="18">
        <f t="shared" si="1"/>
        <v>14839.829421097998</v>
      </c>
      <c r="J38">
        <v>21159.080077999999</v>
      </c>
      <c r="K38" s="15">
        <v>118.09</v>
      </c>
      <c r="L38">
        <f t="shared" si="2"/>
        <v>179.17757708527392</v>
      </c>
    </row>
    <row r="39" spans="1:12" x14ac:dyDescent="0.3">
      <c r="A39" s="20">
        <v>37</v>
      </c>
      <c r="B39" s="4">
        <v>43193</v>
      </c>
      <c r="C39">
        <v>2614.4499510000001</v>
      </c>
      <c r="D39">
        <v>29518.689452999999</v>
      </c>
      <c r="E39" s="14">
        <v>7.82</v>
      </c>
      <c r="F39" s="18">
        <f t="shared" si="0"/>
        <v>3774.7684722506392</v>
      </c>
      <c r="G39">
        <v>11957.900390999999</v>
      </c>
      <c r="H39">
        <v>1.2372000000000001</v>
      </c>
      <c r="I39" s="18">
        <f t="shared" si="1"/>
        <v>14794.314363745199</v>
      </c>
      <c r="J39">
        <v>21454.300781000002</v>
      </c>
      <c r="K39" s="15">
        <v>117.73</v>
      </c>
      <c r="L39">
        <f t="shared" si="2"/>
        <v>182.23308231546761</v>
      </c>
    </row>
    <row r="40" spans="1:12" x14ac:dyDescent="0.3">
      <c r="A40" s="20">
        <v>38</v>
      </c>
      <c r="B40" s="4">
        <v>43194</v>
      </c>
      <c r="C40">
        <v>2644.6899410000001</v>
      </c>
      <c r="D40">
        <v>29844.939452999999</v>
      </c>
      <c r="E40" s="14">
        <v>7.82</v>
      </c>
      <c r="F40" s="18">
        <f t="shared" si="0"/>
        <v>3816.4884210997438</v>
      </c>
      <c r="G40">
        <v>12305.190430000001</v>
      </c>
      <c r="H40">
        <v>1.2344999999999999</v>
      </c>
      <c r="I40" s="18">
        <f t="shared" si="1"/>
        <v>15190.757585834999</v>
      </c>
      <c r="J40">
        <v>21388.580077999999</v>
      </c>
      <c r="K40" s="15">
        <v>117.89</v>
      </c>
      <c r="L40">
        <f t="shared" si="2"/>
        <v>181.42828126219356</v>
      </c>
    </row>
    <row r="41" spans="1:12" x14ac:dyDescent="0.3">
      <c r="A41" s="20">
        <v>39</v>
      </c>
      <c r="B41" s="4">
        <v>43195</v>
      </c>
      <c r="C41">
        <v>2662.8400879999999</v>
      </c>
      <c r="D41">
        <v>30229.580077999999</v>
      </c>
      <c r="E41" s="14">
        <v>7.82</v>
      </c>
      <c r="F41" s="18">
        <f t="shared" si="0"/>
        <v>3865.6752017902809</v>
      </c>
      <c r="G41">
        <v>12241.269531</v>
      </c>
      <c r="H41">
        <v>1.2281</v>
      </c>
      <c r="I41" s="18">
        <f t="shared" si="1"/>
        <v>15033.5031110211</v>
      </c>
      <c r="J41">
        <v>21292.289063</v>
      </c>
      <c r="K41" s="15">
        <v>117.98</v>
      </c>
      <c r="L41">
        <f t="shared" si="2"/>
        <v>180.47371641803696</v>
      </c>
    </row>
    <row r="42" spans="1:12" x14ac:dyDescent="0.3">
      <c r="A42" s="20">
        <v>40</v>
      </c>
      <c r="B42" s="4">
        <v>43196</v>
      </c>
      <c r="C42">
        <v>2604.469971</v>
      </c>
      <c r="D42">
        <v>30728.740234000001</v>
      </c>
      <c r="E42" s="14">
        <v>7.82</v>
      </c>
      <c r="F42" s="18">
        <f t="shared" si="0"/>
        <v>3929.5064237851661</v>
      </c>
      <c r="G42">
        <v>12261.75</v>
      </c>
      <c r="H42">
        <v>1.2204999999999999</v>
      </c>
      <c r="I42" s="18">
        <f t="shared" si="1"/>
        <v>14965.465875</v>
      </c>
      <c r="J42">
        <v>21319.550781000002</v>
      </c>
      <c r="K42" s="15">
        <v>117.69</v>
      </c>
      <c r="L42">
        <f t="shared" si="2"/>
        <v>181.15006186591896</v>
      </c>
    </row>
    <row r="43" spans="1:12" x14ac:dyDescent="0.3">
      <c r="A43" s="20">
        <v>41</v>
      </c>
      <c r="B43" s="4">
        <v>43199</v>
      </c>
      <c r="C43">
        <v>2613.1599120000001</v>
      </c>
      <c r="D43">
        <v>30897.710938</v>
      </c>
      <c r="E43" s="14">
        <v>7.82</v>
      </c>
      <c r="F43" s="18">
        <f t="shared" si="0"/>
        <v>3951.113930690537</v>
      </c>
      <c r="G43">
        <v>12397.320313</v>
      </c>
      <c r="H43">
        <v>1.2236</v>
      </c>
      <c r="I43" s="18">
        <f t="shared" si="1"/>
        <v>15169.361134986801</v>
      </c>
      <c r="J43">
        <v>21645.419922000001</v>
      </c>
      <c r="K43" s="15">
        <v>118.99</v>
      </c>
      <c r="L43">
        <f t="shared" si="2"/>
        <v>181.9095715774435</v>
      </c>
    </row>
    <row r="44" spans="1:12" x14ac:dyDescent="0.3">
      <c r="A44" s="20">
        <v>42</v>
      </c>
      <c r="B44" s="4">
        <v>43200</v>
      </c>
      <c r="C44">
        <v>2656.8701169999999</v>
      </c>
      <c r="D44">
        <v>30831.279297000001</v>
      </c>
      <c r="E44" s="14">
        <v>7.82</v>
      </c>
      <c r="F44" s="18">
        <f t="shared" si="0"/>
        <v>3942.6188359335038</v>
      </c>
      <c r="G44">
        <v>12293.969727</v>
      </c>
      <c r="H44">
        <v>1.2175</v>
      </c>
      <c r="I44" s="18">
        <f t="shared" si="1"/>
        <v>14967.9081426225</v>
      </c>
      <c r="J44">
        <v>21567.519531000002</v>
      </c>
      <c r="K44" s="15">
        <v>119.65</v>
      </c>
      <c r="L44">
        <f t="shared" si="2"/>
        <v>180.2550733890514</v>
      </c>
    </row>
    <row r="45" spans="1:12" x14ac:dyDescent="0.3">
      <c r="A45" s="20">
        <v>43</v>
      </c>
      <c r="B45" s="4">
        <v>43201</v>
      </c>
      <c r="C45">
        <v>2642.1899410000001</v>
      </c>
      <c r="D45">
        <v>30808.380859000001</v>
      </c>
      <c r="E45" s="14">
        <v>7.82</v>
      </c>
      <c r="F45" s="18">
        <f t="shared" si="0"/>
        <v>3939.6906469309461</v>
      </c>
      <c r="G45">
        <v>12415.009765999999</v>
      </c>
      <c r="H45">
        <v>1.2104999999999999</v>
      </c>
      <c r="I45" s="18">
        <f t="shared" si="1"/>
        <v>15028.369321742997</v>
      </c>
      <c r="J45">
        <v>21678.259765999999</v>
      </c>
      <c r="K45" s="15">
        <v>119.59</v>
      </c>
      <c r="L45">
        <f t="shared" si="2"/>
        <v>181.27150903921731</v>
      </c>
    </row>
    <row r="46" spans="1:12" x14ac:dyDescent="0.3">
      <c r="A46" s="20">
        <v>44</v>
      </c>
      <c r="B46" s="4">
        <v>43202</v>
      </c>
      <c r="C46">
        <v>2663.98999</v>
      </c>
      <c r="D46">
        <v>30315.589843999998</v>
      </c>
      <c r="E46" s="14">
        <v>7.82</v>
      </c>
      <c r="F46" s="18">
        <f t="shared" si="0"/>
        <v>3876.673893094629</v>
      </c>
      <c r="G46">
        <v>12442.400390999999</v>
      </c>
      <c r="H46">
        <v>1.2122999999999999</v>
      </c>
      <c r="I46" s="18">
        <f t="shared" si="1"/>
        <v>15083.921994009299</v>
      </c>
      <c r="J46">
        <v>21794.320313</v>
      </c>
      <c r="K46" s="15">
        <v>119.51</v>
      </c>
      <c r="L46">
        <f t="shared" si="2"/>
        <v>182.36398889632667</v>
      </c>
    </row>
    <row r="47" spans="1:12" x14ac:dyDescent="0.3">
      <c r="A47" s="20">
        <v>45</v>
      </c>
      <c r="B47" s="4">
        <v>43203</v>
      </c>
      <c r="C47">
        <v>2656.3000489999999</v>
      </c>
      <c r="D47">
        <v>30062.75</v>
      </c>
      <c r="E47" s="14">
        <v>7.82</v>
      </c>
      <c r="F47" s="18">
        <f t="shared" si="0"/>
        <v>3844.3414322250637</v>
      </c>
      <c r="G47">
        <v>12391.410156</v>
      </c>
      <c r="H47">
        <v>1.2081999999999999</v>
      </c>
      <c r="I47" s="18">
        <f t="shared" si="1"/>
        <v>14971.301750479199</v>
      </c>
      <c r="J47">
        <v>21687.099609000001</v>
      </c>
      <c r="K47" s="15">
        <v>119.87</v>
      </c>
      <c r="L47">
        <f t="shared" si="2"/>
        <v>180.921828722783</v>
      </c>
    </row>
    <row r="48" spans="1:12" x14ac:dyDescent="0.3">
      <c r="A48" s="20">
        <v>46</v>
      </c>
      <c r="B48" s="4">
        <v>43206</v>
      </c>
      <c r="C48">
        <v>2677.8400879999999</v>
      </c>
      <c r="D48">
        <v>30284.25</v>
      </c>
      <c r="E48" s="14">
        <v>7.82</v>
      </c>
      <c r="F48" s="18">
        <f t="shared" si="0"/>
        <v>3872.6662404092071</v>
      </c>
      <c r="G48">
        <v>12585.570313</v>
      </c>
      <c r="H48">
        <v>1.1995</v>
      </c>
      <c r="I48" s="18">
        <f t="shared" si="1"/>
        <v>15096.3915904435</v>
      </c>
      <c r="J48">
        <v>21660.279297000001</v>
      </c>
      <c r="K48" s="15">
        <v>119.25</v>
      </c>
      <c r="L48">
        <f t="shared" si="2"/>
        <v>181.63756223899372</v>
      </c>
    </row>
    <row r="49" spans="1:12" x14ac:dyDescent="0.3">
      <c r="A49" s="20">
        <v>47</v>
      </c>
      <c r="B49" s="4">
        <v>43207</v>
      </c>
      <c r="C49">
        <v>2706.389893</v>
      </c>
      <c r="D49">
        <v>30708.439452999999</v>
      </c>
      <c r="E49" s="14">
        <v>7.82</v>
      </c>
      <c r="F49" s="18">
        <f t="shared" si="0"/>
        <v>3926.9104159846543</v>
      </c>
      <c r="G49">
        <v>12590.830078000001</v>
      </c>
      <c r="H49">
        <v>1.1946000000000001</v>
      </c>
      <c r="I49" s="18">
        <f t="shared" si="1"/>
        <v>15041.005611178802</v>
      </c>
      <c r="J49">
        <v>21778.740234000001</v>
      </c>
      <c r="K49" s="15">
        <v>118.7</v>
      </c>
      <c r="L49">
        <f t="shared" si="2"/>
        <v>183.47717130581299</v>
      </c>
    </row>
    <row r="50" spans="1:12" x14ac:dyDescent="0.3">
      <c r="A50" s="20">
        <v>48</v>
      </c>
      <c r="B50" s="4">
        <v>43208</v>
      </c>
      <c r="C50">
        <v>2708.639893</v>
      </c>
      <c r="D50">
        <v>30418.330077999999</v>
      </c>
      <c r="E50" s="14">
        <v>7.82</v>
      </c>
      <c r="F50" s="18">
        <f t="shared" si="0"/>
        <v>3889.8120304347822</v>
      </c>
      <c r="G50">
        <v>12567.419921999999</v>
      </c>
      <c r="H50">
        <v>1.1994</v>
      </c>
      <c r="I50" s="18">
        <f t="shared" si="1"/>
        <v>15073.363454446799</v>
      </c>
      <c r="J50">
        <v>21835.529297000001</v>
      </c>
      <c r="K50" s="15">
        <v>119.08</v>
      </c>
      <c r="L50">
        <f t="shared" si="2"/>
        <v>183.3685698438025</v>
      </c>
    </row>
    <row r="51" spans="1:12" x14ac:dyDescent="0.3">
      <c r="A51" s="20">
        <v>49</v>
      </c>
      <c r="B51" s="4">
        <v>43209</v>
      </c>
      <c r="C51">
        <v>2693.1298830000001</v>
      </c>
      <c r="D51">
        <v>30254.400390999999</v>
      </c>
      <c r="E51" s="14">
        <v>7.82</v>
      </c>
      <c r="F51" s="18">
        <f t="shared" si="0"/>
        <v>3868.8491548593347</v>
      </c>
      <c r="G51">
        <v>12540.5</v>
      </c>
      <c r="H51">
        <v>1.1961999999999999</v>
      </c>
      <c r="I51" s="18">
        <f t="shared" si="1"/>
        <v>15000.946099999999</v>
      </c>
      <c r="J51">
        <v>21847.589843999998</v>
      </c>
      <c r="K51" s="15">
        <v>118.31</v>
      </c>
      <c r="L51">
        <f t="shared" si="2"/>
        <v>184.66393241484235</v>
      </c>
    </row>
    <row r="52" spans="1:12" x14ac:dyDescent="0.3">
      <c r="A52" s="20">
        <v>50</v>
      </c>
      <c r="B52" s="4">
        <v>43210</v>
      </c>
      <c r="C52">
        <v>2670.139893</v>
      </c>
      <c r="D52">
        <v>30636.240234000001</v>
      </c>
      <c r="E52" s="14">
        <v>7.82</v>
      </c>
      <c r="F52" s="18">
        <f t="shared" si="0"/>
        <v>3917.6777792838875</v>
      </c>
      <c r="G52">
        <v>12572.389648</v>
      </c>
      <c r="H52">
        <v>1.1923999999999999</v>
      </c>
      <c r="I52" s="18">
        <f t="shared" si="1"/>
        <v>14991.317416275198</v>
      </c>
      <c r="J52">
        <v>22158.199218999998</v>
      </c>
      <c r="K52" s="15">
        <v>118.77</v>
      </c>
      <c r="L52">
        <f t="shared" si="2"/>
        <v>186.56394054896018</v>
      </c>
    </row>
    <row r="53" spans="1:12" x14ac:dyDescent="0.3">
      <c r="A53" s="20">
        <v>51</v>
      </c>
      <c r="B53" s="4">
        <v>43213</v>
      </c>
      <c r="C53">
        <v>2670.290039</v>
      </c>
      <c r="D53">
        <v>30328.150390999999</v>
      </c>
      <c r="E53" s="14">
        <v>7.82</v>
      </c>
      <c r="F53" s="18">
        <f t="shared" si="0"/>
        <v>3878.280101150895</v>
      </c>
      <c r="G53">
        <v>12550.820313</v>
      </c>
      <c r="H53">
        <v>1.1859</v>
      </c>
      <c r="I53" s="18">
        <f t="shared" si="1"/>
        <v>14884.0178091867</v>
      </c>
      <c r="J53">
        <v>22191.179688</v>
      </c>
      <c r="K53" s="15">
        <v>119.31</v>
      </c>
      <c r="L53">
        <f t="shared" si="2"/>
        <v>185.9959742519487</v>
      </c>
    </row>
    <row r="54" spans="1:12" x14ac:dyDescent="0.3">
      <c r="A54" s="20">
        <v>52</v>
      </c>
      <c r="B54" s="4">
        <v>43214</v>
      </c>
      <c r="C54">
        <v>2634.5600589999999</v>
      </c>
      <c r="D54">
        <v>30171.575195500001</v>
      </c>
      <c r="E54" s="14">
        <v>7.82</v>
      </c>
      <c r="F54" s="18">
        <f t="shared" si="0"/>
        <v>3858.2576976342712</v>
      </c>
      <c r="G54">
        <v>12422.299805000001</v>
      </c>
      <c r="H54">
        <v>1.1859999999999999</v>
      </c>
      <c r="I54" s="18">
        <f t="shared" si="1"/>
        <v>14732.84756873</v>
      </c>
      <c r="J54">
        <v>22162.240234000001</v>
      </c>
      <c r="K54" s="15">
        <v>119.47</v>
      </c>
      <c r="L54">
        <f t="shared" si="2"/>
        <v>185.50464747635391</v>
      </c>
    </row>
    <row r="55" spans="1:12" x14ac:dyDescent="0.3">
      <c r="A55" s="20">
        <v>53</v>
      </c>
      <c r="B55" s="4">
        <v>43215</v>
      </c>
      <c r="C55">
        <v>2639.3999020000001</v>
      </c>
      <c r="D55">
        <v>30015</v>
      </c>
      <c r="E55" s="14">
        <v>7.82</v>
      </c>
      <c r="F55" s="18">
        <f t="shared" si="0"/>
        <v>3838.2352941176468</v>
      </c>
      <c r="G55">
        <v>12500.469727</v>
      </c>
      <c r="H55">
        <v>1.1922999999999999</v>
      </c>
      <c r="I55" s="18">
        <f t="shared" si="1"/>
        <v>14904.310055502099</v>
      </c>
      <c r="J55">
        <v>22088.039063</v>
      </c>
      <c r="K55" s="15">
        <v>119.13</v>
      </c>
      <c r="L55">
        <f t="shared" si="2"/>
        <v>185.41122356249477</v>
      </c>
    </row>
    <row r="56" spans="1:12" x14ac:dyDescent="0.3">
      <c r="A56" s="20">
        <v>54</v>
      </c>
      <c r="B56" s="4">
        <v>43216</v>
      </c>
      <c r="C56">
        <v>2666.9399410000001</v>
      </c>
      <c r="D56">
        <v>30007.679688</v>
      </c>
      <c r="E56" s="14">
        <v>7.82</v>
      </c>
      <c r="F56" s="18">
        <f t="shared" si="0"/>
        <v>3837.2991928388747</v>
      </c>
      <c r="G56">
        <v>12580.870117</v>
      </c>
      <c r="H56">
        <v>1.1944999999999999</v>
      </c>
      <c r="I56" s="18">
        <f t="shared" si="1"/>
        <v>15027.849354756499</v>
      </c>
      <c r="J56">
        <v>22278.119140999999</v>
      </c>
      <c r="K56" s="15">
        <v>118.6</v>
      </c>
      <c r="L56">
        <f t="shared" si="2"/>
        <v>187.84248854131536</v>
      </c>
    </row>
    <row r="57" spans="1:12" x14ac:dyDescent="0.3">
      <c r="A57" s="20">
        <v>55</v>
      </c>
      <c r="B57" s="4">
        <v>43217</v>
      </c>
      <c r="C57">
        <v>2669.9099120000001</v>
      </c>
      <c r="D57">
        <v>30280.669922000001</v>
      </c>
      <c r="E57" s="14">
        <v>7.82</v>
      </c>
      <c r="F57" s="18">
        <f t="shared" si="0"/>
        <v>3872.2084299232738</v>
      </c>
      <c r="G57">
        <v>12612.110352</v>
      </c>
      <c r="H57">
        <v>1.1942999999999999</v>
      </c>
      <c r="I57" s="18">
        <f t="shared" si="1"/>
        <v>15062.643393393599</v>
      </c>
      <c r="J57">
        <v>22215.320313</v>
      </c>
      <c r="K57" s="15">
        <v>117.61</v>
      </c>
      <c r="L57">
        <f t="shared" si="2"/>
        <v>188.88972292322083</v>
      </c>
    </row>
    <row r="58" spans="1:12" x14ac:dyDescent="0.3">
      <c r="A58" s="20">
        <v>56</v>
      </c>
      <c r="B58" s="4">
        <v>43220</v>
      </c>
      <c r="C58">
        <v>2648.0500489999999</v>
      </c>
      <c r="D58">
        <v>30808.449218999998</v>
      </c>
      <c r="E58" s="14">
        <v>7.82</v>
      </c>
      <c r="F58" s="18">
        <f t="shared" si="0"/>
        <v>3939.6993886189252</v>
      </c>
      <c r="G58">
        <v>12802.25</v>
      </c>
      <c r="H58">
        <v>1.1847000000000001</v>
      </c>
      <c r="I58" s="18">
        <f t="shared" si="1"/>
        <v>15166.825575000001</v>
      </c>
      <c r="J58">
        <v>22319.609375</v>
      </c>
      <c r="K58" s="15">
        <v>117.48</v>
      </c>
      <c r="L58">
        <f t="shared" si="2"/>
        <v>189.98646046135511</v>
      </c>
    </row>
    <row r="59" spans="1:12" x14ac:dyDescent="0.3">
      <c r="A59" s="20">
        <v>57</v>
      </c>
      <c r="B59" s="4">
        <v>43221</v>
      </c>
      <c r="C59">
        <v>2654.8000489999999</v>
      </c>
      <c r="D59">
        <v>30766.165039</v>
      </c>
      <c r="E59" s="14">
        <v>7.82</v>
      </c>
      <c r="F59" s="18">
        <f t="shared" si="0"/>
        <v>3934.2922044757033</v>
      </c>
      <c r="G59">
        <v>12690.150390999999</v>
      </c>
      <c r="H59">
        <v>1.1798</v>
      </c>
      <c r="I59" s="18">
        <f t="shared" si="1"/>
        <v>14971.839431301798</v>
      </c>
      <c r="J59">
        <v>22467.869140999999</v>
      </c>
      <c r="K59" s="15">
        <v>117.15</v>
      </c>
      <c r="L59">
        <f t="shared" si="2"/>
        <v>191.78718857020911</v>
      </c>
    </row>
    <row r="60" spans="1:12" x14ac:dyDescent="0.3">
      <c r="A60" s="20">
        <v>58</v>
      </c>
      <c r="B60" s="4">
        <v>43222</v>
      </c>
      <c r="C60">
        <v>2635.669922</v>
      </c>
      <c r="D60">
        <v>30723.880859000001</v>
      </c>
      <c r="E60" s="14">
        <v>7.82</v>
      </c>
      <c r="F60" s="18">
        <f t="shared" si="0"/>
        <v>3928.885020332481</v>
      </c>
      <c r="G60">
        <v>12819.599609000001</v>
      </c>
      <c r="H60">
        <v>1.1796</v>
      </c>
      <c r="I60" s="18">
        <f t="shared" si="1"/>
        <v>15121.999698776401</v>
      </c>
      <c r="J60">
        <v>22487.949219000002</v>
      </c>
      <c r="K60" s="15">
        <v>116.97</v>
      </c>
      <c r="L60">
        <f t="shared" si="2"/>
        <v>192.25399007437807</v>
      </c>
    </row>
    <row r="61" spans="1:12" x14ac:dyDescent="0.3">
      <c r="A61" s="20">
        <v>59</v>
      </c>
      <c r="B61" s="4">
        <v>43223</v>
      </c>
      <c r="C61">
        <v>2629.7299800000001</v>
      </c>
      <c r="D61">
        <v>30313.369140999999</v>
      </c>
      <c r="E61" s="14">
        <v>7.82</v>
      </c>
      <c r="F61" s="18">
        <f t="shared" si="0"/>
        <v>3876.3899157289002</v>
      </c>
      <c r="G61">
        <v>12948.139648</v>
      </c>
      <c r="H61">
        <v>1.1775</v>
      </c>
      <c r="I61" s="18">
        <f t="shared" si="1"/>
        <v>15246.434435520001</v>
      </c>
      <c r="J61">
        <v>22508.029297000001</v>
      </c>
      <c r="K61" s="15">
        <v>117.11</v>
      </c>
      <c r="L61">
        <f t="shared" si="2"/>
        <v>192.19562203910854</v>
      </c>
    </row>
    <row r="62" spans="1:12" x14ac:dyDescent="0.3">
      <c r="A62" s="20">
        <v>60</v>
      </c>
      <c r="B62" s="4">
        <v>43224</v>
      </c>
      <c r="C62">
        <v>2663.419922</v>
      </c>
      <c r="D62">
        <v>29926.5</v>
      </c>
      <c r="E62" s="14">
        <v>7.82</v>
      </c>
      <c r="F62" s="18">
        <f t="shared" si="0"/>
        <v>3826.9181585677748</v>
      </c>
      <c r="G62">
        <v>12912.209961</v>
      </c>
      <c r="H62">
        <v>1.1772</v>
      </c>
      <c r="I62" s="18">
        <f t="shared" si="1"/>
        <v>15200.253566089201</v>
      </c>
      <c r="J62">
        <v>22472.779297000001</v>
      </c>
      <c r="K62" s="15">
        <v>118.36</v>
      </c>
      <c r="L62">
        <f t="shared" si="2"/>
        <v>189.86802380027038</v>
      </c>
    </row>
    <row r="63" spans="1:12" x14ac:dyDescent="0.3">
      <c r="A63" s="20">
        <v>61</v>
      </c>
      <c r="B63" s="4">
        <v>43227</v>
      </c>
      <c r="C63">
        <v>2672.6298830000001</v>
      </c>
      <c r="D63">
        <v>29994.259765999999</v>
      </c>
      <c r="E63" s="14">
        <v>7.82</v>
      </c>
      <c r="F63" s="18">
        <f t="shared" si="0"/>
        <v>3835.5830902813295</v>
      </c>
      <c r="G63">
        <v>12943.059569999999</v>
      </c>
      <c r="H63">
        <v>1.1780999999999999</v>
      </c>
      <c r="I63" s="18">
        <f t="shared" si="1"/>
        <v>15248.218479416999</v>
      </c>
      <c r="J63">
        <v>22469.9697265</v>
      </c>
      <c r="K63" s="15">
        <v>117.45</v>
      </c>
      <c r="L63">
        <f t="shared" si="2"/>
        <v>191.31519562792676</v>
      </c>
    </row>
    <row r="64" spans="1:12" x14ac:dyDescent="0.3">
      <c r="A64" s="20">
        <v>62</v>
      </c>
      <c r="B64" s="4">
        <v>43228</v>
      </c>
      <c r="C64">
        <v>2671.919922</v>
      </c>
      <c r="D64">
        <v>30402.810547000001</v>
      </c>
      <c r="E64" s="14">
        <v>7.82</v>
      </c>
      <c r="F64" s="18">
        <f t="shared" si="0"/>
        <v>3887.8274356777492</v>
      </c>
      <c r="G64">
        <v>13022.870117</v>
      </c>
      <c r="H64">
        <v>1.1707000000000001</v>
      </c>
      <c r="I64" s="18">
        <f t="shared" si="1"/>
        <v>15245.874045971901</v>
      </c>
      <c r="J64">
        <v>22467.160156000002</v>
      </c>
      <c r="K64" s="15">
        <v>117.92</v>
      </c>
      <c r="L64">
        <f t="shared" si="2"/>
        <v>190.52883443012212</v>
      </c>
    </row>
    <row r="65" spans="1:12" x14ac:dyDescent="0.3">
      <c r="A65" s="20">
        <v>63</v>
      </c>
      <c r="B65" s="4">
        <v>43229</v>
      </c>
      <c r="C65">
        <v>2697.790039</v>
      </c>
      <c r="D65">
        <v>30536.140625</v>
      </c>
      <c r="E65" s="14">
        <v>7.82</v>
      </c>
      <c r="F65" s="18">
        <f t="shared" si="0"/>
        <v>3904.8773177749358</v>
      </c>
      <c r="G65">
        <v>13001.240234000001</v>
      </c>
      <c r="H65">
        <v>1.1725000000000001</v>
      </c>
      <c r="I65" s="18">
        <f t="shared" si="1"/>
        <v>15243.954174365002</v>
      </c>
      <c r="J65">
        <v>22467.160156000002</v>
      </c>
      <c r="K65" s="15">
        <v>118.29</v>
      </c>
      <c r="L65">
        <f t="shared" si="2"/>
        <v>189.93287814692704</v>
      </c>
    </row>
    <row r="66" spans="1:12" x14ac:dyDescent="0.3">
      <c r="A66" s="20">
        <v>64</v>
      </c>
      <c r="B66" s="4">
        <v>43230</v>
      </c>
      <c r="C66">
        <v>2723.070068</v>
      </c>
      <c r="D66">
        <v>30809.220702999999</v>
      </c>
      <c r="E66" s="14">
        <v>7.82</v>
      </c>
      <c r="F66" s="18">
        <f t="shared" si="0"/>
        <v>3939.7980438618924</v>
      </c>
      <c r="G66">
        <v>12977.709961</v>
      </c>
      <c r="H66">
        <v>1.1668000000000001</v>
      </c>
      <c r="I66" s="18">
        <f t="shared" si="1"/>
        <v>15142.391982494801</v>
      </c>
      <c r="J66">
        <v>22508.689452999999</v>
      </c>
      <c r="K66" s="15">
        <v>117.47</v>
      </c>
      <c r="L66">
        <f t="shared" si="2"/>
        <v>191.61223676683409</v>
      </c>
    </row>
    <row r="67" spans="1:12" x14ac:dyDescent="0.3">
      <c r="A67" s="20">
        <v>65</v>
      </c>
      <c r="B67" s="4">
        <v>43231</v>
      </c>
      <c r="C67">
        <v>2727.719971</v>
      </c>
      <c r="D67">
        <v>31122.060547000001</v>
      </c>
      <c r="E67" s="14">
        <v>7.82</v>
      </c>
      <c r="F67" s="18">
        <f t="shared" ref="F67:F130" si="3">D67/E67</f>
        <v>3979.8031390025576</v>
      </c>
      <c r="G67">
        <v>12970.040039</v>
      </c>
      <c r="H67">
        <v>1.1629</v>
      </c>
      <c r="I67" s="18">
        <f t="shared" ref="I67:I130" si="4">G67*H67</f>
        <v>15082.8595613531</v>
      </c>
      <c r="J67">
        <v>22408.880859000001</v>
      </c>
      <c r="K67" s="15">
        <v>118.11</v>
      </c>
      <c r="L67">
        <f t="shared" ref="L67:L130" si="5">J67/K67</f>
        <v>189.72890406400813</v>
      </c>
    </row>
    <row r="68" spans="1:12" x14ac:dyDescent="0.3">
      <c r="A68" s="20">
        <v>66</v>
      </c>
      <c r="B68" s="4">
        <v>43234</v>
      </c>
      <c r="C68">
        <v>2730.1298830000001</v>
      </c>
      <c r="D68">
        <v>31541.080077999999</v>
      </c>
      <c r="E68" s="14">
        <v>7.82</v>
      </c>
      <c r="F68" s="18">
        <f t="shared" si="3"/>
        <v>4033.3861992327361</v>
      </c>
      <c r="G68">
        <v>12996.330078000001</v>
      </c>
      <c r="H68">
        <v>1.1533</v>
      </c>
      <c r="I68" s="18">
        <f t="shared" si="4"/>
        <v>14988.667478957401</v>
      </c>
      <c r="J68">
        <v>22497.179688</v>
      </c>
      <c r="K68" s="15">
        <v>117.73</v>
      </c>
      <c r="L68">
        <f t="shared" si="5"/>
        <v>191.09130797587702</v>
      </c>
    </row>
    <row r="69" spans="1:12" x14ac:dyDescent="0.3">
      <c r="A69" s="20">
        <v>67</v>
      </c>
      <c r="B69" s="4">
        <v>43235</v>
      </c>
      <c r="C69">
        <v>2711.4499510000001</v>
      </c>
      <c r="D69">
        <v>31152.029297000001</v>
      </c>
      <c r="E69" s="14">
        <v>7.82</v>
      </c>
      <c r="F69" s="18">
        <f t="shared" si="3"/>
        <v>3983.6354599744245</v>
      </c>
      <c r="G69">
        <v>13114.610352</v>
      </c>
      <c r="H69">
        <v>1.1654</v>
      </c>
      <c r="I69" s="18">
        <f t="shared" si="4"/>
        <v>15283.7669042208</v>
      </c>
      <c r="J69">
        <v>22758.480468999998</v>
      </c>
      <c r="K69" s="15">
        <v>118.1</v>
      </c>
      <c r="L69">
        <f t="shared" si="5"/>
        <v>192.70516908552074</v>
      </c>
    </row>
    <row r="70" spans="1:12" x14ac:dyDescent="0.3">
      <c r="A70" s="20">
        <v>68</v>
      </c>
      <c r="B70" s="4">
        <v>43236</v>
      </c>
      <c r="C70">
        <v>2722.459961</v>
      </c>
      <c r="D70">
        <v>31110.199218999998</v>
      </c>
      <c r="E70" s="14">
        <v>7.82</v>
      </c>
      <c r="F70" s="18">
        <f t="shared" si="3"/>
        <v>3978.2863451406647</v>
      </c>
      <c r="G70">
        <v>13077.719727</v>
      </c>
      <c r="H70">
        <v>1.1685000000000001</v>
      </c>
      <c r="I70" s="18">
        <f t="shared" si="4"/>
        <v>15281.315500999501</v>
      </c>
      <c r="J70">
        <v>22865.859375</v>
      </c>
      <c r="K70" s="15">
        <v>118.12</v>
      </c>
      <c r="L70">
        <f t="shared" si="5"/>
        <v>193.581606628852</v>
      </c>
    </row>
    <row r="71" spans="1:12" x14ac:dyDescent="0.3">
      <c r="A71" s="20">
        <v>69</v>
      </c>
      <c r="B71" s="4">
        <v>43237</v>
      </c>
      <c r="C71">
        <v>2720.1298830000001</v>
      </c>
      <c r="D71">
        <v>30942.150390999999</v>
      </c>
      <c r="E71" s="14">
        <v>7.82</v>
      </c>
      <c r="F71" s="18">
        <f t="shared" si="3"/>
        <v>3956.7967251918158</v>
      </c>
      <c r="G71">
        <v>13123.819824499999</v>
      </c>
      <c r="H71">
        <v>1.1659999999999999</v>
      </c>
      <c r="I71" s="18">
        <f t="shared" si="4"/>
        <v>15302.373915366998</v>
      </c>
      <c r="J71">
        <v>22818.019531000002</v>
      </c>
      <c r="K71" s="15">
        <v>117.68</v>
      </c>
      <c r="L71">
        <f t="shared" si="5"/>
        <v>193.89887432868798</v>
      </c>
    </row>
    <row r="72" spans="1:12" x14ac:dyDescent="0.3">
      <c r="A72" s="20">
        <v>70</v>
      </c>
      <c r="B72" s="4">
        <v>43238</v>
      </c>
      <c r="C72">
        <v>2712.969971</v>
      </c>
      <c r="D72">
        <v>31047.910156000002</v>
      </c>
      <c r="E72" s="14">
        <v>7.82</v>
      </c>
      <c r="F72" s="18">
        <f t="shared" si="3"/>
        <v>3970.3209918158568</v>
      </c>
      <c r="G72">
        <v>13169.919921999999</v>
      </c>
      <c r="H72">
        <v>1.17</v>
      </c>
      <c r="I72" s="18">
        <f t="shared" si="4"/>
        <v>15408.806308739999</v>
      </c>
      <c r="J72">
        <v>22717.230468999998</v>
      </c>
      <c r="K72" s="15">
        <v>118.18</v>
      </c>
      <c r="L72">
        <f t="shared" si="5"/>
        <v>192.22567667117954</v>
      </c>
    </row>
    <row r="73" spans="1:12" x14ac:dyDescent="0.3">
      <c r="A73" s="20">
        <v>71</v>
      </c>
      <c r="B73" s="4">
        <v>43241</v>
      </c>
      <c r="C73">
        <v>2733.01001</v>
      </c>
      <c r="D73">
        <v>31234.349609000001</v>
      </c>
      <c r="E73" s="14">
        <v>7.82</v>
      </c>
      <c r="F73" s="18">
        <f t="shared" si="3"/>
        <v>3994.1623540920714</v>
      </c>
      <c r="G73">
        <v>12976.839844</v>
      </c>
      <c r="H73">
        <v>1.1716</v>
      </c>
      <c r="I73" s="18">
        <f t="shared" si="4"/>
        <v>15203.6655612304</v>
      </c>
      <c r="J73">
        <v>22838.369140999999</v>
      </c>
      <c r="K73" s="15">
        <v>117.9</v>
      </c>
      <c r="L73">
        <f t="shared" si="5"/>
        <v>193.70966192536045</v>
      </c>
    </row>
    <row r="74" spans="1:12" x14ac:dyDescent="0.3">
      <c r="A74" s="20">
        <v>72</v>
      </c>
      <c r="B74" s="4">
        <v>43242</v>
      </c>
      <c r="C74">
        <v>2724.4399410000001</v>
      </c>
      <c r="D74">
        <v>30665.640625</v>
      </c>
      <c r="E74" s="14">
        <v>7.82</v>
      </c>
      <c r="F74" s="18">
        <f t="shared" si="3"/>
        <v>3921.4374200767261</v>
      </c>
      <c r="G74">
        <v>12855.089844</v>
      </c>
      <c r="H74">
        <v>1.1767000000000001</v>
      </c>
      <c r="I74" s="18">
        <f t="shared" si="4"/>
        <v>15126.584219434801</v>
      </c>
      <c r="J74">
        <v>22930.359375</v>
      </c>
      <c r="K74" s="15">
        <v>116.62</v>
      </c>
      <c r="L74">
        <f t="shared" si="5"/>
        <v>196.62458733493398</v>
      </c>
    </row>
    <row r="75" spans="1:12" x14ac:dyDescent="0.3">
      <c r="A75" s="20">
        <v>73</v>
      </c>
      <c r="B75" s="4">
        <v>43243</v>
      </c>
      <c r="C75">
        <v>2733.290039</v>
      </c>
      <c r="D75">
        <v>30760.410156000002</v>
      </c>
      <c r="E75" s="14">
        <v>7.82</v>
      </c>
      <c r="F75" s="18">
        <f t="shared" si="3"/>
        <v>3933.5562859335041</v>
      </c>
      <c r="G75">
        <v>12938.009765999999</v>
      </c>
      <c r="H75">
        <v>1.1813</v>
      </c>
      <c r="I75" s="18">
        <f t="shared" si="4"/>
        <v>15283.6709365758</v>
      </c>
      <c r="J75">
        <v>23002.369140999999</v>
      </c>
      <c r="K75" s="15">
        <v>115.86</v>
      </c>
      <c r="L75">
        <f t="shared" si="5"/>
        <v>198.53589798895217</v>
      </c>
    </row>
    <row r="76" spans="1:12" x14ac:dyDescent="0.3">
      <c r="A76" s="20">
        <v>74</v>
      </c>
      <c r="B76" s="4">
        <v>43244</v>
      </c>
      <c r="C76">
        <v>2727.76001</v>
      </c>
      <c r="D76">
        <v>30588.039063</v>
      </c>
      <c r="E76" s="14">
        <v>7.82</v>
      </c>
      <c r="F76" s="18">
        <f t="shared" si="3"/>
        <v>3911.5139466751916</v>
      </c>
      <c r="G76">
        <v>12863.459961</v>
      </c>
      <c r="H76">
        <v>1.1768000000000001</v>
      </c>
      <c r="I76" s="18">
        <f t="shared" si="4"/>
        <v>15137.719682104802</v>
      </c>
      <c r="J76">
        <v>22960.339843999998</v>
      </c>
      <c r="K76" s="15">
        <v>116.09</v>
      </c>
      <c r="L76">
        <f t="shared" si="5"/>
        <v>197.78051377379617</v>
      </c>
    </row>
    <row r="77" spans="1:12" x14ac:dyDescent="0.3">
      <c r="A77" s="20">
        <v>75</v>
      </c>
      <c r="B77" s="4">
        <v>43245</v>
      </c>
      <c r="C77">
        <v>2721.330078</v>
      </c>
      <c r="D77">
        <v>30792.259765999999</v>
      </c>
      <c r="E77" s="14">
        <v>7.82</v>
      </c>
      <c r="F77" s="18">
        <f t="shared" si="3"/>
        <v>3937.6291260869561</v>
      </c>
      <c r="G77">
        <v>12666.509765999999</v>
      </c>
      <c r="H77">
        <v>1.1783999999999999</v>
      </c>
      <c r="I77" s="18">
        <f t="shared" si="4"/>
        <v>14926.215108254397</v>
      </c>
      <c r="J77">
        <v>22689.740234000001</v>
      </c>
      <c r="K77" s="15">
        <v>116.24</v>
      </c>
      <c r="L77">
        <f t="shared" si="5"/>
        <v>195.19735232278046</v>
      </c>
    </row>
    <row r="78" spans="1:12" x14ac:dyDescent="0.3">
      <c r="A78" s="20">
        <v>76</v>
      </c>
      <c r="B78" s="4">
        <v>43249</v>
      </c>
      <c r="C78">
        <v>2689.860107</v>
      </c>
      <c r="D78">
        <v>30484.580077999999</v>
      </c>
      <c r="E78" s="14">
        <v>7.82</v>
      </c>
      <c r="F78" s="18">
        <f t="shared" si="3"/>
        <v>3898.2838974424549</v>
      </c>
      <c r="G78">
        <v>12783.759765999999</v>
      </c>
      <c r="H78">
        <v>1.1748000000000001</v>
      </c>
      <c r="I78" s="18">
        <f t="shared" si="4"/>
        <v>15018.3609730968</v>
      </c>
      <c r="J78">
        <v>22437.009765999999</v>
      </c>
      <c r="K78" s="15">
        <v>116.16</v>
      </c>
      <c r="L78">
        <f t="shared" si="5"/>
        <v>193.15607580922864</v>
      </c>
    </row>
    <row r="79" spans="1:12" x14ac:dyDescent="0.3">
      <c r="A79" s="20">
        <v>77</v>
      </c>
      <c r="B79" s="4">
        <v>43250</v>
      </c>
      <c r="C79">
        <v>2724.01001</v>
      </c>
      <c r="D79">
        <v>30056.789063</v>
      </c>
      <c r="E79" s="14">
        <v>7.82</v>
      </c>
      <c r="F79" s="18">
        <f t="shared" si="3"/>
        <v>3843.5791640664961</v>
      </c>
      <c r="G79">
        <v>12604.889648</v>
      </c>
      <c r="H79">
        <v>1.1783999999999999</v>
      </c>
      <c r="I79" s="18">
        <f t="shared" si="4"/>
        <v>14853.6019612032</v>
      </c>
      <c r="J79">
        <v>22450.789063</v>
      </c>
      <c r="K79" s="15">
        <v>115.65</v>
      </c>
      <c r="L79">
        <f t="shared" si="5"/>
        <v>194.12701308257672</v>
      </c>
    </row>
    <row r="80" spans="1:12" x14ac:dyDescent="0.3">
      <c r="A80" s="20">
        <v>78</v>
      </c>
      <c r="B80" s="4">
        <v>43251</v>
      </c>
      <c r="C80">
        <v>2705.2700199999999</v>
      </c>
      <c r="D80">
        <v>30468.560547000001</v>
      </c>
      <c r="E80" s="14">
        <v>7.82</v>
      </c>
      <c r="F80" s="18">
        <f t="shared" si="3"/>
        <v>3896.235364066496</v>
      </c>
      <c r="G80">
        <v>12724.269531</v>
      </c>
      <c r="H80">
        <v>1.1597</v>
      </c>
      <c r="I80" s="18">
        <f t="shared" si="4"/>
        <v>14756.3353751007</v>
      </c>
      <c r="J80">
        <v>22481.089843999998</v>
      </c>
      <c r="K80" s="15">
        <v>115.17</v>
      </c>
      <c r="L80">
        <f t="shared" si="5"/>
        <v>195.19918246071023</v>
      </c>
    </row>
    <row r="81" spans="1:12" x14ac:dyDescent="0.3">
      <c r="A81" s="20">
        <v>79</v>
      </c>
      <c r="B81" s="4">
        <v>43252</v>
      </c>
      <c r="C81">
        <v>2734.6201169999999</v>
      </c>
      <c r="D81">
        <v>30492.910156000002</v>
      </c>
      <c r="E81" s="14">
        <v>7.82</v>
      </c>
      <c r="F81" s="18">
        <f t="shared" si="3"/>
        <v>3899.3491248081841</v>
      </c>
      <c r="G81">
        <v>12770.75</v>
      </c>
      <c r="H81">
        <v>1.1613</v>
      </c>
      <c r="I81" s="18">
        <f t="shared" si="4"/>
        <v>14830.671974999999</v>
      </c>
      <c r="J81">
        <v>22358.429688</v>
      </c>
      <c r="K81" s="15">
        <v>115.43</v>
      </c>
      <c r="L81">
        <f t="shared" si="5"/>
        <v>193.69686986052153</v>
      </c>
    </row>
    <row r="82" spans="1:12" x14ac:dyDescent="0.3">
      <c r="A82" s="20">
        <v>80</v>
      </c>
      <c r="B82" s="4">
        <v>43255</v>
      </c>
      <c r="C82">
        <v>2746.8701169999999</v>
      </c>
      <c r="D82">
        <v>30997.980468999998</v>
      </c>
      <c r="E82" s="14">
        <v>7.82</v>
      </c>
      <c r="F82" s="18">
        <f t="shared" si="3"/>
        <v>3963.9361213554985</v>
      </c>
      <c r="G82">
        <v>12787.129883</v>
      </c>
      <c r="H82">
        <v>1.1614</v>
      </c>
      <c r="I82" s="18">
        <f t="shared" si="4"/>
        <v>14850.972646116199</v>
      </c>
      <c r="J82">
        <v>22018.519531000002</v>
      </c>
      <c r="K82" s="15">
        <v>115.09</v>
      </c>
      <c r="L82">
        <f t="shared" si="5"/>
        <v>191.31566192544966</v>
      </c>
    </row>
    <row r="83" spans="1:12" x14ac:dyDescent="0.3">
      <c r="A83" s="20">
        <v>81</v>
      </c>
      <c r="B83" s="4">
        <v>43256</v>
      </c>
      <c r="C83">
        <v>2748.8000489999999</v>
      </c>
      <c r="D83">
        <v>31093.449218999998</v>
      </c>
      <c r="E83" s="14">
        <v>7.82</v>
      </c>
      <c r="F83" s="18">
        <f t="shared" si="3"/>
        <v>3976.1444014066492</v>
      </c>
      <c r="G83">
        <v>12830.070313</v>
      </c>
      <c r="H83">
        <v>1.1571</v>
      </c>
      <c r="I83" s="18">
        <f t="shared" si="4"/>
        <v>14845.674359172301</v>
      </c>
      <c r="J83">
        <v>22201.820313</v>
      </c>
      <c r="K83" s="15">
        <v>114.9</v>
      </c>
      <c r="L83">
        <f t="shared" si="5"/>
        <v>193.22733083550912</v>
      </c>
    </row>
    <row r="84" spans="1:12" x14ac:dyDescent="0.3">
      <c r="A84" s="20">
        <v>82</v>
      </c>
      <c r="B84" s="4">
        <v>43257</v>
      </c>
      <c r="C84">
        <v>2772.3500979999999</v>
      </c>
      <c r="D84">
        <v>31259.099609000001</v>
      </c>
      <c r="E84" s="14">
        <v>7.82</v>
      </c>
      <c r="F84" s="18">
        <f t="shared" si="3"/>
        <v>3997.3273157289004</v>
      </c>
      <c r="G84">
        <v>12811.049805000001</v>
      </c>
      <c r="H84">
        <v>1.1584000000000001</v>
      </c>
      <c r="I84" s="18">
        <f t="shared" si="4"/>
        <v>14840.320094112001</v>
      </c>
      <c r="J84">
        <v>22171.349609000001</v>
      </c>
      <c r="K84" s="15">
        <v>115.16</v>
      </c>
      <c r="L84">
        <f t="shared" si="5"/>
        <v>192.52648149531089</v>
      </c>
    </row>
    <row r="85" spans="1:12" x14ac:dyDescent="0.3">
      <c r="A85" s="20">
        <v>83</v>
      </c>
      <c r="B85" s="4">
        <v>43258</v>
      </c>
      <c r="C85">
        <v>2770.3701169999999</v>
      </c>
      <c r="D85">
        <v>31512.630859000001</v>
      </c>
      <c r="E85" s="14">
        <v>7.82</v>
      </c>
      <c r="F85" s="18">
        <f t="shared" si="3"/>
        <v>4029.7481916879797</v>
      </c>
      <c r="G85">
        <v>12766.549805000001</v>
      </c>
      <c r="H85">
        <v>1.1619999999999999</v>
      </c>
      <c r="I85" s="18">
        <f t="shared" si="4"/>
        <v>14834.730873409999</v>
      </c>
      <c r="J85">
        <v>22475.939452999999</v>
      </c>
      <c r="K85" s="15">
        <v>115.49</v>
      </c>
      <c r="L85">
        <f t="shared" si="5"/>
        <v>194.61372805437699</v>
      </c>
    </row>
    <row r="86" spans="1:12" x14ac:dyDescent="0.3">
      <c r="A86" s="20">
        <v>84</v>
      </c>
      <c r="B86" s="4">
        <v>43259</v>
      </c>
      <c r="C86">
        <v>2779.030029</v>
      </c>
      <c r="D86">
        <v>30958.210938</v>
      </c>
      <c r="E86" s="14">
        <v>7.82</v>
      </c>
      <c r="F86" s="18">
        <f t="shared" si="3"/>
        <v>3958.8505035805624</v>
      </c>
      <c r="G86">
        <v>12842.910156</v>
      </c>
      <c r="H86">
        <v>1.1658999999999999</v>
      </c>
      <c r="I86" s="18">
        <f t="shared" si="4"/>
        <v>14973.548950880398</v>
      </c>
      <c r="J86">
        <v>22539.539063</v>
      </c>
      <c r="K86" s="15">
        <v>117.06</v>
      </c>
      <c r="L86">
        <f t="shared" si="5"/>
        <v>192.54689102169829</v>
      </c>
    </row>
    <row r="87" spans="1:12" x14ac:dyDescent="0.3">
      <c r="A87" s="20">
        <v>85</v>
      </c>
      <c r="B87" s="4">
        <v>43262</v>
      </c>
      <c r="C87">
        <v>2782</v>
      </c>
      <c r="D87">
        <v>31063.699218999998</v>
      </c>
      <c r="E87" s="14">
        <v>7.82</v>
      </c>
      <c r="F87" s="18">
        <f t="shared" si="3"/>
        <v>3972.3400535805622</v>
      </c>
      <c r="G87">
        <v>12842.299805000001</v>
      </c>
      <c r="H87">
        <v>1.1707000000000001</v>
      </c>
      <c r="I87" s="18">
        <f t="shared" si="4"/>
        <v>15034.480381713502</v>
      </c>
      <c r="J87">
        <v>22625.730468999998</v>
      </c>
      <c r="K87" s="15">
        <v>117.08</v>
      </c>
      <c r="L87">
        <f t="shared" si="5"/>
        <v>193.25017482917661</v>
      </c>
    </row>
    <row r="88" spans="1:12" x14ac:dyDescent="0.3">
      <c r="A88" s="20">
        <v>86</v>
      </c>
      <c r="B88" s="4">
        <v>43263</v>
      </c>
      <c r="C88">
        <v>2786.8500979999999</v>
      </c>
      <c r="D88">
        <v>31103.060547000001</v>
      </c>
      <c r="E88" s="14">
        <v>7.82</v>
      </c>
      <c r="F88" s="18">
        <f t="shared" si="3"/>
        <v>3977.3734714833759</v>
      </c>
      <c r="G88">
        <v>12890.580078000001</v>
      </c>
      <c r="H88">
        <v>1.1649</v>
      </c>
      <c r="I88" s="18">
        <f t="shared" si="4"/>
        <v>15016.236732862202</v>
      </c>
      <c r="J88">
        <v>22823.259765999999</v>
      </c>
      <c r="K88" s="15">
        <v>117.26</v>
      </c>
      <c r="L88">
        <f t="shared" si="5"/>
        <v>194.63806725225993</v>
      </c>
    </row>
    <row r="89" spans="1:12" x14ac:dyDescent="0.3">
      <c r="A89" s="20">
        <v>87</v>
      </c>
      <c r="B89" s="4">
        <v>43264</v>
      </c>
      <c r="C89">
        <v>2775.6298830000001</v>
      </c>
      <c r="D89">
        <v>30725.150390999999</v>
      </c>
      <c r="E89" s="14">
        <v>7.82</v>
      </c>
      <c r="F89" s="18">
        <f t="shared" si="3"/>
        <v>3929.0473645780048</v>
      </c>
      <c r="G89">
        <v>13107.099609000001</v>
      </c>
      <c r="H89">
        <v>1.1546000000000001</v>
      </c>
      <c r="I89" s="18">
        <f t="shared" si="4"/>
        <v>15133.457208551401</v>
      </c>
      <c r="J89">
        <v>22694.5</v>
      </c>
      <c r="K89" s="15">
        <v>117.63</v>
      </c>
      <c r="L89">
        <f t="shared" si="5"/>
        <v>192.93122502762901</v>
      </c>
    </row>
    <row r="90" spans="1:12" x14ac:dyDescent="0.3">
      <c r="A90" s="20">
        <v>88</v>
      </c>
      <c r="B90" s="4">
        <v>43265</v>
      </c>
      <c r="C90">
        <v>2782.48999</v>
      </c>
      <c r="D90">
        <v>30440.169922000001</v>
      </c>
      <c r="E90" s="14">
        <v>7.82</v>
      </c>
      <c r="F90" s="18">
        <f t="shared" si="3"/>
        <v>3892.6048493606136</v>
      </c>
      <c r="G90">
        <v>13010.549805000001</v>
      </c>
      <c r="H90">
        <v>1.1557999999999999</v>
      </c>
      <c r="I90" s="18">
        <f t="shared" si="4"/>
        <v>15037.593464619</v>
      </c>
      <c r="J90">
        <v>22804.039063</v>
      </c>
      <c r="K90" s="15">
        <v>117.7</v>
      </c>
      <c r="L90">
        <f t="shared" si="5"/>
        <v>193.74714581988104</v>
      </c>
    </row>
    <row r="91" spans="1:12" x14ac:dyDescent="0.3">
      <c r="A91" s="20">
        <v>89</v>
      </c>
      <c r="B91" s="4">
        <v>43266</v>
      </c>
      <c r="C91">
        <v>2779.6599120000001</v>
      </c>
      <c r="D91">
        <v>30309.490234000001</v>
      </c>
      <c r="E91" s="14">
        <v>7.82</v>
      </c>
      <c r="F91" s="18">
        <f t="shared" si="3"/>
        <v>3875.8938918158569</v>
      </c>
      <c r="G91">
        <v>12834.110352</v>
      </c>
      <c r="H91">
        <v>1.1672</v>
      </c>
      <c r="I91" s="18">
        <f t="shared" si="4"/>
        <v>14979.973602854399</v>
      </c>
      <c r="J91">
        <v>22878.349609000001</v>
      </c>
      <c r="K91" s="15">
        <v>118.12</v>
      </c>
      <c r="L91">
        <f t="shared" si="5"/>
        <v>193.68734853538774</v>
      </c>
    </row>
    <row r="92" spans="1:12" x14ac:dyDescent="0.3">
      <c r="A92" s="20">
        <v>90</v>
      </c>
      <c r="B92" s="4">
        <v>43269</v>
      </c>
      <c r="C92">
        <v>2773.75</v>
      </c>
      <c r="D92">
        <v>29468.150390999999</v>
      </c>
      <c r="E92" s="14">
        <v>7.82</v>
      </c>
      <c r="F92" s="18">
        <f t="shared" si="3"/>
        <v>3768.3056765984652</v>
      </c>
      <c r="G92">
        <v>12677.969727</v>
      </c>
      <c r="H92">
        <v>1.1641999999999999</v>
      </c>
      <c r="I92" s="18">
        <f t="shared" si="4"/>
        <v>14759.692356173398</v>
      </c>
      <c r="J92">
        <v>22966.380859000001</v>
      </c>
      <c r="K92" s="15">
        <v>118.12</v>
      </c>
      <c r="L92">
        <f t="shared" si="5"/>
        <v>194.43261817643074</v>
      </c>
    </row>
    <row r="93" spans="1:12" x14ac:dyDescent="0.3">
      <c r="A93" s="20">
        <v>91</v>
      </c>
      <c r="B93" s="4">
        <v>43270</v>
      </c>
      <c r="C93">
        <v>2762.5900879999999</v>
      </c>
      <c r="D93">
        <v>29696.169922000001</v>
      </c>
      <c r="E93" s="14">
        <v>7.82</v>
      </c>
      <c r="F93" s="18">
        <f t="shared" si="3"/>
        <v>3797.4641843989771</v>
      </c>
      <c r="G93">
        <v>12695.160156</v>
      </c>
      <c r="H93">
        <v>1.1652</v>
      </c>
      <c r="I93" s="18">
        <f t="shared" si="4"/>
        <v>14792.4006137712</v>
      </c>
      <c r="J93">
        <v>22738.609375</v>
      </c>
      <c r="K93" s="15">
        <v>118.34</v>
      </c>
      <c r="L93">
        <f t="shared" si="5"/>
        <v>192.14643717255365</v>
      </c>
    </row>
    <row r="94" spans="1:12" x14ac:dyDescent="0.3">
      <c r="A94" s="20">
        <v>92</v>
      </c>
      <c r="B94" s="4">
        <v>43271</v>
      </c>
      <c r="C94">
        <v>2767.320068</v>
      </c>
      <c r="D94">
        <v>29296.050781000002</v>
      </c>
      <c r="E94" s="14">
        <v>7.82</v>
      </c>
      <c r="F94" s="18">
        <f t="shared" si="3"/>
        <v>3746.2980538363172</v>
      </c>
      <c r="G94">
        <v>12511.910156</v>
      </c>
      <c r="H94">
        <v>1.1647000000000001</v>
      </c>
      <c r="I94" s="18">
        <f t="shared" si="4"/>
        <v>14572.621758693202</v>
      </c>
      <c r="J94">
        <v>22851.75</v>
      </c>
      <c r="K94" s="15">
        <v>118.45</v>
      </c>
      <c r="L94">
        <f t="shared" si="5"/>
        <v>192.92317433516251</v>
      </c>
    </row>
    <row r="95" spans="1:12" x14ac:dyDescent="0.3">
      <c r="A95" s="20">
        <v>93</v>
      </c>
      <c r="B95" s="4">
        <v>43272</v>
      </c>
      <c r="C95">
        <v>2749.76001</v>
      </c>
      <c r="D95">
        <v>29338.699218999998</v>
      </c>
      <c r="E95" s="14">
        <v>7.82</v>
      </c>
      <c r="F95" s="18">
        <f t="shared" si="3"/>
        <v>3751.7518182864446</v>
      </c>
      <c r="G95">
        <v>12579.719727</v>
      </c>
      <c r="H95">
        <v>1.1679999999999999</v>
      </c>
      <c r="I95" s="18">
        <f t="shared" si="4"/>
        <v>14693.112641135998</v>
      </c>
      <c r="J95">
        <v>22680.330077999999</v>
      </c>
      <c r="K95" s="15">
        <v>118.81</v>
      </c>
      <c r="L95">
        <f t="shared" si="5"/>
        <v>190.89580067334398</v>
      </c>
    </row>
    <row r="96" spans="1:12" x14ac:dyDescent="0.3">
      <c r="A96" s="20">
        <v>94</v>
      </c>
      <c r="B96" s="4">
        <v>43273</v>
      </c>
      <c r="C96">
        <v>2754.8798830000001</v>
      </c>
      <c r="D96">
        <v>28961.390625</v>
      </c>
      <c r="E96" s="14">
        <v>7.82</v>
      </c>
      <c r="F96" s="18">
        <f t="shared" si="3"/>
        <v>3703.5026374680306</v>
      </c>
      <c r="G96">
        <v>12270.330078000001</v>
      </c>
      <c r="H96">
        <v>1.1741999999999999</v>
      </c>
      <c r="I96" s="18">
        <f t="shared" si="4"/>
        <v>14407.8215775876</v>
      </c>
      <c r="J96">
        <v>22278.480468999998</v>
      </c>
      <c r="K96" s="15">
        <v>118.69</v>
      </c>
      <c r="L96">
        <f t="shared" si="5"/>
        <v>187.70309604010447</v>
      </c>
    </row>
    <row r="97" spans="1:12" x14ac:dyDescent="0.3">
      <c r="A97" s="20">
        <v>95</v>
      </c>
      <c r="B97" s="4">
        <v>43276</v>
      </c>
      <c r="C97">
        <v>2717.070068</v>
      </c>
      <c r="D97">
        <v>28881.400390999999</v>
      </c>
      <c r="E97" s="14">
        <v>7.82</v>
      </c>
      <c r="F97" s="18">
        <f t="shared" si="3"/>
        <v>3693.2737072890022</v>
      </c>
      <c r="G97">
        <v>12234.339844</v>
      </c>
      <c r="H97">
        <v>1.1749000000000001</v>
      </c>
      <c r="I97" s="18">
        <f t="shared" si="4"/>
        <v>14374.125882715602</v>
      </c>
      <c r="J97">
        <v>22555.429688</v>
      </c>
      <c r="K97" s="15">
        <v>118.98</v>
      </c>
      <c r="L97">
        <f t="shared" si="5"/>
        <v>189.57328700621952</v>
      </c>
    </row>
    <row r="98" spans="1:12" x14ac:dyDescent="0.3">
      <c r="A98" s="20">
        <v>96</v>
      </c>
      <c r="B98" s="4">
        <v>43277</v>
      </c>
      <c r="C98">
        <v>2723.0600589999999</v>
      </c>
      <c r="D98">
        <v>28356.259765999999</v>
      </c>
      <c r="E98" s="14">
        <v>7.82</v>
      </c>
      <c r="F98" s="18">
        <f t="shared" si="3"/>
        <v>3626.1201746803067</v>
      </c>
      <c r="G98">
        <v>12348.610352</v>
      </c>
      <c r="H98">
        <v>1.1742999999999999</v>
      </c>
      <c r="I98" s="18">
        <f t="shared" si="4"/>
        <v>14500.973136353598</v>
      </c>
      <c r="J98">
        <v>22693.039063</v>
      </c>
      <c r="K98" s="15">
        <v>119.16</v>
      </c>
      <c r="L98">
        <f t="shared" si="5"/>
        <v>190.44175111614638</v>
      </c>
    </row>
    <row r="99" spans="1:12" x14ac:dyDescent="0.3">
      <c r="A99" s="20">
        <v>97</v>
      </c>
      <c r="B99" s="4">
        <v>43278</v>
      </c>
      <c r="C99">
        <v>2699.6298830000001</v>
      </c>
      <c r="D99">
        <v>28497.320313</v>
      </c>
      <c r="E99" s="14">
        <v>7.82</v>
      </c>
      <c r="F99" s="18">
        <f t="shared" si="3"/>
        <v>3644.1586078005116</v>
      </c>
      <c r="G99">
        <v>12177.230469</v>
      </c>
      <c r="H99">
        <v>1.1675</v>
      </c>
      <c r="I99" s="18">
        <f t="shared" si="4"/>
        <v>14216.9165725575</v>
      </c>
      <c r="J99">
        <v>22516.830077999999</v>
      </c>
      <c r="K99" s="15">
        <v>119.24</v>
      </c>
      <c r="L99">
        <f t="shared" si="5"/>
        <v>188.83621333445151</v>
      </c>
    </row>
    <row r="100" spans="1:12" x14ac:dyDescent="0.3">
      <c r="A100" s="20">
        <v>98</v>
      </c>
      <c r="B100" s="4">
        <v>43279</v>
      </c>
      <c r="C100">
        <v>2716.3100589999999</v>
      </c>
      <c r="D100">
        <v>28955.109375</v>
      </c>
      <c r="E100" s="14">
        <v>7.82</v>
      </c>
      <c r="F100" s="18">
        <f t="shared" si="3"/>
        <v>3702.6994085677748</v>
      </c>
      <c r="G100">
        <v>12306</v>
      </c>
      <c r="H100">
        <v>1.1666000000000001</v>
      </c>
      <c r="I100" s="18">
        <f t="shared" si="4"/>
        <v>14356.179600000001</v>
      </c>
      <c r="J100">
        <v>22338.150390999999</v>
      </c>
      <c r="K100" s="15">
        <v>118.74</v>
      </c>
      <c r="L100">
        <f t="shared" si="5"/>
        <v>188.12658237325249</v>
      </c>
    </row>
    <row r="101" spans="1:12" x14ac:dyDescent="0.3">
      <c r="A101" s="20">
        <v>99</v>
      </c>
      <c r="B101" s="4">
        <v>43280</v>
      </c>
      <c r="C101">
        <v>2718.3701169999999</v>
      </c>
      <c r="D101">
        <v>28545.570313</v>
      </c>
      <c r="E101" s="14">
        <v>7.82</v>
      </c>
      <c r="F101" s="18">
        <f t="shared" si="3"/>
        <v>3650.328684526854</v>
      </c>
      <c r="G101">
        <v>12238.169921999999</v>
      </c>
      <c r="H101">
        <v>1.1677</v>
      </c>
      <c r="I101" s="18">
        <f t="shared" si="4"/>
        <v>14290.511017919398</v>
      </c>
      <c r="J101">
        <v>22342</v>
      </c>
      <c r="K101" s="15">
        <v>119.4</v>
      </c>
      <c r="L101">
        <f t="shared" si="5"/>
        <v>187.11892797319933</v>
      </c>
    </row>
    <row r="102" spans="1:12" x14ac:dyDescent="0.3">
      <c r="A102" s="20">
        <v>100</v>
      </c>
      <c r="B102" s="4">
        <v>43283</v>
      </c>
      <c r="C102">
        <v>2726.709961</v>
      </c>
      <c r="D102">
        <v>28241.669922000001</v>
      </c>
      <c r="E102" s="14">
        <v>7.82</v>
      </c>
      <c r="F102" s="18">
        <f t="shared" si="3"/>
        <v>3611.4667419437342</v>
      </c>
      <c r="G102">
        <v>12349.139648</v>
      </c>
      <c r="H102">
        <v>1.1713</v>
      </c>
      <c r="I102" s="18">
        <f t="shared" si="4"/>
        <v>14464.5472697024</v>
      </c>
      <c r="J102">
        <v>22271.769531000002</v>
      </c>
      <c r="K102" s="15">
        <v>119.63</v>
      </c>
      <c r="L102">
        <f t="shared" si="5"/>
        <v>186.17211009780158</v>
      </c>
    </row>
    <row r="103" spans="1:12" x14ac:dyDescent="0.3">
      <c r="A103" s="20">
        <v>101</v>
      </c>
      <c r="B103" s="4">
        <v>43284</v>
      </c>
      <c r="C103">
        <v>2713.219971</v>
      </c>
      <c r="D103">
        <v>28182.089843999998</v>
      </c>
      <c r="E103" s="14">
        <v>7.82</v>
      </c>
      <c r="F103" s="18">
        <f t="shared" si="3"/>
        <v>3603.847806138107</v>
      </c>
      <c r="G103">
        <v>12317.610352</v>
      </c>
      <c r="H103">
        <v>1.1659999999999999</v>
      </c>
      <c r="I103" s="18">
        <f t="shared" si="4"/>
        <v>14362.333670431999</v>
      </c>
      <c r="J103">
        <v>22270.390625</v>
      </c>
      <c r="K103" s="15">
        <v>120.45</v>
      </c>
      <c r="L103">
        <f t="shared" si="5"/>
        <v>184.89323889580737</v>
      </c>
    </row>
    <row r="104" spans="1:12" x14ac:dyDescent="0.3">
      <c r="A104" s="20">
        <v>102</v>
      </c>
      <c r="B104" s="4">
        <v>43286</v>
      </c>
      <c r="C104">
        <v>2736.610107</v>
      </c>
      <c r="D104">
        <v>28315.619140999999</v>
      </c>
      <c r="E104" s="14">
        <v>7.82</v>
      </c>
      <c r="F104" s="18">
        <f t="shared" si="3"/>
        <v>3620.9231638107412</v>
      </c>
      <c r="G104">
        <v>12464.290039</v>
      </c>
      <c r="H104">
        <v>1.1647000000000001</v>
      </c>
      <c r="I104" s="18">
        <f t="shared" si="4"/>
        <v>14517.1586084233</v>
      </c>
      <c r="J104">
        <v>22304.509765999999</v>
      </c>
      <c r="K104" s="15">
        <v>120.35</v>
      </c>
      <c r="L104">
        <f t="shared" si="5"/>
        <v>185.33036781055256</v>
      </c>
    </row>
    <row r="105" spans="1:12" x14ac:dyDescent="0.3">
      <c r="A105" s="20">
        <v>103</v>
      </c>
      <c r="B105" s="4">
        <v>43287</v>
      </c>
      <c r="C105">
        <v>2759.820068</v>
      </c>
      <c r="D105">
        <v>28688.5</v>
      </c>
      <c r="E105" s="14">
        <v>7.82</v>
      </c>
      <c r="F105" s="18">
        <f t="shared" si="3"/>
        <v>3668.6061381074169</v>
      </c>
      <c r="G105">
        <v>12496.169921999999</v>
      </c>
      <c r="H105">
        <v>1.1642999999999999</v>
      </c>
      <c r="I105" s="18">
        <f t="shared" si="4"/>
        <v>14549.290640184598</v>
      </c>
      <c r="J105">
        <v>21811.929688</v>
      </c>
      <c r="K105" s="15">
        <v>120.74</v>
      </c>
      <c r="L105">
        <f t="shared" si="5"/>
        <v>180.65205969852576</v>
      </c>
    </row>
    <row r="106" spans="1:12" x14ac:dyDescent="0.3">
      <c r="A106" s="20">
        <v>104</v>
      </c>
      <c r="B106" s="4">
        <v>43290</v>
      </c>
      <c r="C106">
        <v>2784.169922</v>
      </c>
      <c r="D106">
        <v>28682.25</v>
      </c>
      <c r="E106" s="14">
        <v>7.82</v>
      </c>
      <c r="F106" s="18">
        <f t="shared" si="3"/>
        <v>3667.8069053708437</v>
      </c>
      <c r="G106">
        <v>12543.889648</v>
      </c>
      <c r="H106">
        <v>1.1722999999999999</v>
      </c>
      <c r="I106" s="18">
        <f t="shared" si="4"/>
        <v>14705.201834350399</v>
      </c>
      <c r="J106">
        <v>21785.539063</v>
      </c>
      <c r="K106" s="15">
        <v>120.53</v>
      </c>
      <c r="L106">
        <f t="shared" si="5"/>
        <v>180.74785582842446</v>
      </c>
    </row>
    <row r="107" spans="1:12" x14ac:dyDescent="0.3">
      <c r="A107" s="20">
        <v>105</v>
      </c>
      <c r="B107" s="4">
        <v>43291</v>
      </c>
      <c r="C107">
        <v>2793.8400879999999</v>
      </c>
      <c r="D107">
        <v>28311.689452999999</v>
      </c>
      <c r="E107" s="14">
        <v>7.82</v>
      </c>
      <c r="F107" s="18">
        <f t="shared" si="3"/>
        <v>3620.4206461636827</v>
      </c>
      <c r="G107">
        <v>12609.849609000001</v>
      </c>
      <c r="H107">
        <v>1.169</v>
      </c>
      <c r="I107" s="18">
        <f t="shared" si="4"/>
        <v>14740.914192921002</v>
      </c>
      <c r="J107">
        <v>21717.039063</v>
      </c>
      <c r="K107" s="15">
        <v>121.31</v>
      </c>
      <c r="L107">
        <f t="shared" si="5"/>
        <v>179.02101280191246</v>
      </c>
    </row>
    <row r="108" spans="1:12" x14ac:dyDescent="0.3">
      <c r="A108" s="20">
        <v>106</v>
      </c>
      <c r="B108" s="4">
        <v>43292</v>
      </c>
      <c r="C108">
        <v>2774.0200199999999</v>
      </c>
      <c r="D108">
        <v>28480.830077999999</v>
      </c>
      <c r="E108" s="14">
        <v>7.82</v>
      </c>
      <c r="F108" s="18">
        <f t="shared" si="3"/>
        <v>3642.0498820971866</v>
      </c>
      <c r="G108">
        <v>12417.129883</v>
      </c>
      <c r="H108">
        <v>1.1681999999999999</v>
      </c>
      <c r="I108" s="18">
        <f t="shared" si="4"/>
        <v>14505.691129320598</v>
      </c>
      <c r="J108">
        <v>21546.990234000001</v>
      </c>
      <c r="K108" s="15">
        <v>121.38</v>
      </c>
      <c r="L108">
        <f t="shared" si="5"/>
        <v>177.51680865051904</v>
      </c>
    </row>
    <row r="109" spans="1:12" x14ac:dyDescent="0.3">
      <c r="A109" s="20">
        <v>107</v>
      </c>
      <c r="B109" s="4">
        <v>43293</v>
      </c>
      <c r="C109">
        <v>2798.290039</v>
      </c>
      <c r="D109">
        <v>28525.439452999999</v>
      </c>
      <c r="E109" s="14">
        <v>7.82</v>
      </c>
      <c r="F109" s="18">
        <f t="shared" si="3"/>
        <v>3647.7544057544756</v>
      </c>
      <c r="G109">
        <v>12492.969727</v>
      </c>
      <c r="H109">
        <v>1.1732</v>
      </c>
      <c r="I109" s="18">
        <f t="shared" si="4"/>
        <v>14656.752083716399</v>
      </c>
      <c r="J109">
        <v>21788.140625</v>
      </c>
      <c r="K109" s="15">
        <v>121.58</v>
      </c>
      <c r="L109">
        <f t="shared" si="5"/>
        <v>179.20826307780885</v>
      </c>
    </row>
    <row r="110" spans="1:12" x14ac:dyDescent="0.3">
      <c r="A110" s="20">
        <v>108</v>
      </c>
      <c r="B110" s="4">
        <v>43294</v>
      </c>
      <c r="C110">
        <v>2801.3100589999999</v>
      </c>
      <c r="D110">
        <v>28539.660156000002</v>
      </c>
      <c r="E110" s="14">
        <v>7.82</v>
      </c>
      <c r="F110" s="18">
        <f t="shared" si="3"/>
        <v>3649.5729099744244</v>
      </c>
      <c r="G110">
        <v>12540.730469</v>
      </c>
      <c r="H110">
        <v>1.1645000000000001</v>
      </c>
      <c r="I110" s="18">
        <f t="shared" si="4"/>
        <v>14603.680631150501</v>
      </c>
      <c r="J110">
        <v>22052.179688</v>
      </c>
      <c r="K110" s="15">
        <v>121.38</v>
      </c>
      <c r="L110">
        <f t="shared" si="5"/>
        <v>181.67885720876586</v>
      </c>
    </row>
    <row r="111" spans="1:12" x14ac:dyDescent="0.3">
      <c r="A111" s="20">
        <v>109</v>
      </c>
      <c r="B111" s="4">
        <v>43297</v>
      </c>
      <c r="C111">
        <v>2798.429932</v>
      </c>
      <c r="D111">
        <v>28181.679688</v>
      </c>
      <c r="E111" s="14">
        <v>7.82</v>
      </c>
      <c r="F111" s="18">
        <f t="shared" si="3"/>
        <v>3603.795356521739</v>
      </c>
      <c r="G111">
        <v>12561.019531</v>
      </c>
      <c r="H111">
        <v>1.1656</v>
      </c>
      <c r="I111" s="18">
        <f t="shared" si="4"/>
        <v>14641.124365333599</v>
      </c>
      <c r="J111">
        <v>22196.890625</v>
      </c>
      <c r="K111" s="15">
        <v>120.98</v>
      </c>
      <c r="L111">
        <f t="shared" si="5"/>
        <v>183.47570362869897</v>
      </c>
    </row>
    <row r="112" spans="1:12" x14ac:dyDescent="0.3">
      <c r="A112" s="20">
        <v>110</v>
      </c>
      <c r="B112" s="4">
        <v>43298</v>
      </c>
      <c r="C112">
        <v>2809.5500489999999</v>
      </c>
      <c r="D112">
        <v>28117.419922000001</v>
      </c>
      <c r="E112" s="14">
        <v>7.82</v>
      </c>
      <c r="F112" s="18">
        <f t="shared" si="3"/>
        <v>3595.5779951406648</v>
      </c>
      <c r="G112">
        <v>12661.540039</v>
      </c>
      <c r="H112">
        <v>1.1709000000000001</v>
      </c>
      <c r="I112" s="18">
        <f t="shared" si="4"/>
        <v>14825.3972316651</v>
      </c>
      <c r="J112">
        <v>21932.210938</v>
      </c>
      <c r="K112" s="15">
        <v>120.95</v>
      </c>
      <c r="L112">
        <f t="shared" si="5"/>
        <v>181.33287257544438</v>
      </c>
    </row>
    <row r="113" spans="1:12" x14ac:dyDescent="0.3">
      <c r="A113" s="20">
        <v>111</v>
      </c>
      <c r="B113" s="4">
        <v>43299</v>
      </c>
      <c r="C113">
        <v>2815.6201169999999</v>
      </c>
      <c r="D113">
        <v>28010.859375</v>
      </c>
      <c r="E113" s="14">
        <v>7.82</v>
      </c>
      <c r="F113" s="18">
        <f t="shared" si="3"/>
        <v>3581.9513267263424</v>
      </c>
      <c r="G113">
        <v>12765.940430000001</v>
      </c>
      <c r="H113">
        <v>1.1698</v>
      </c>
      <c r="I113" s="18">
        <f t="shared" si="4"/>
        <v>14933.597115013999</v>
      </c>
      <c r="J113">
        <v>22187.960938</v>
      </c>
      <c r="K113" s="15">
        <v>121.49</v>
      </c>
      <c r="L113">
        <f t="shared" si="5"/>
        <v>182.63199389250144</v>
      </c>
    </row>
    <row r="114" spans="1:12" x14ac:dyDescent="0.3">
      <c r="A114" s="20">
        <v>112</v>
      </c>
      <c r="B114" s="4">
        <v>43300</v>
      </c>
      <c r="C114">
        <v>2804.48999</v>
      </c>
      <c r="D114">
        <v>28224.480468999998</v>
      </c>
      <c r="E114" s="14">
        <v>7.82</v>
      </c>
      <c r="F114" s="18">
        <f t="shared" si="3"/>
        <v>3609.2686021739128</v>
      </c>
      <c r="G114">
        <v>12686.290039</v>
      </c>
      <c r="H114">
        <v>1.1661999999999999</v>
      </c>
      <c r="I114" s="18">
        <f t="shared" si="4"/>
        <v>14794.751443481799</v>
      </c>
      <c r="J114">
        <v>22597.349609000001</v>
      </c>
      <c r="K114" s="15">
        <v>121.91</v>
      </c>
      <c r="L114">
        <f t="shared" si="5"/>
        <v>185.36091878434911</v>
      </c>
    </row>
    <row r="115" spans="1:12" x14ac:dyDescent="0.3">
      <c r="A115" s="20">
        <v>113</v>
      </c>
      <c r="B115" s="4">
        <v>43301</v>
      </c>
      <c r="C115">
        <v>2801.830078</v>
      </c>
      <c r="D115">
        <v>28256.119140999999</v>
      </c>
      <c r="E115" s="14">
        <v>7.82</v>
      </c>
      <c r="F115" s="18">
        <f t="shared" si="3"/>
        <v>3613.3144681585677</v>
      </c>
      <c r="G115">
        <v>12561.419921999999</v>
      </c>
      <c r="H115">
        <v>1.1586000000000001</v>
      </c>
      <c r="I115" s="18">
        <f t="shared" si="4"/>
        <v>14553.6611216292</v>
      </c>
      <c r="J115">
        <v>22597.349609000001</v>
      </c>
      <c r="K115" s="15">
        <v>121.53</v>
      </c>
      <c r="L115">
        <f t="shared" si="5"/>
        <v>185.94050529910311</v>
      </c>
    </row>
    <row r="116" spans="1:12" x14ac:dyDescent="0.3">
      <c r="A116" s="20">
        <v>114</v>
      </c>
      <c r="B116" s="4">
        <v>43304</v>
      </c>
      <c r="C116">
        <v>2806.9799800000001</v>
      </c>
      <c r="D116">
        <v>28662.570313</v>
      </c>
      <c r="E116" s="14">
        <v>7.82</v>
      </c>
      <c r="F116" s="18">
        <f t="shared" si="3"/>
        <v>3665.2903213554987</v>
      </c>
      <c r="G116">
        <v>12548.570313</v>
      </c>
      <c r="H116">
        <v>1.1575</v>
      </c>
      <c r="I116" s="18">
        <f t="shared" si="4"/>
        <v>14524.9701372975</v>
      </c>
      <c r="J116">
        <v>22697.359375</v>
      </c>
      <c r="K116" s="15">
        <v>120.95</v>
      </c>
      <c r="L116">
        <f t="shared" si="5"/>
        <v>187.65902749069863</v>
      </c>
    </row>
    <row r="117" spans="1:12" x14ac:dyDescent="0.3">
      <c r="A117" s="20">
        <v>115</v>
      </c>
      <c r="B117" s="4">
        <v>43305</v>
      </c>
      <c r="C117">
        <v>2820.3999020000001</v>
      </c>
      <c r="D117">
        <v>28920.900390999999</v>
      </c>
      <c r="E117" s="14">
        <v>7.82</v>
      </c>
      <c r="F117" s="18">
        <f t="shared" si="3"/>
        <v>3698.3248581841431</v>
      </c>
      <c r="G117">
        <v>12689.389648</v>
      </c>
      <c r="H117">
        <v>1.1555</v>
      </c>
      <c r="I117" s="18">
        <f t="shared" si="4"/>
        <v>14662.589738264</v>
      </c>
      <c r="J117">
        <v>22794.189452999999</v>
      </c>
      <c r="K117" s="15">
        <v>120.5</v>
      </c>
      <c r="L117">
        <f t="shared" si="5"/>
        <v>189.16339795020747</v>
      </c>
    </row>
    <row r="118" spans="1:12" x14ac:dyDescent="0.3">
      <c r="A118" s="20">
        <v>116</v>
      </c>
      <c r="B118" s="4">
        <v>43306</v>
      </c>
      <c r="C118">
        <v>2846.070068</v>
      </c>
      <c r="D118">
        <v>28781.140625</v>
      </c>
      <c r="E118" s="14">
        <v>7.82</v>
      </c>
      <c r="F118" s="18">
        <f t="shared" si="3"/>
        <v>3680.4527653452683</v>
      </c>
      <c r="G118">
        <v>12579.330078000001</v>
      </c>
      <c r="H118">
        <v>1.1594</v>
      </c>
      <c r="I118" s="18">
        <f t="shared" si="4"/>
        <v>14584.475292433201</v>
      </c>
      <c r="J118">
        <v>22764.679688</v>
      </c>
      <c r="K118" s="15">
        <v>121.14</v>
      </c>
      <c r="L118">
        <f t="shared" si="5"/>
        <v>187.92042007594517</v>
      </c>
    </row>
    <row r="119" spans="1:12" x14ac:dyDescent="0.3">
      <c r="A119" s="20">
        <v>117</v>
      </c>
      <c r="B119" s="4">
        <v>43307</v>
      </c>
      <c r="C119">
        <v>2837.4399410000001</v>
      </c>
      <c r="D119">
        <v>28804.279297000001</v>
      </c>
      <c r="E119" s="14">
        <v>7.82</v>
      </c>
      <c r="F119" s="18">
        <f t="shared" si="3"/>
        <v>3683.4116748081842</v>
      </c>
      <c r="G119">
        <v>12809.230469</v>
      </c>
      <c r="H119">
        <v>1.1617999999999999</v>
      </c>
      <c r="I119" s="18">
        <f t="shared" si="4"/>
        <v>14881.763958884199</v>
      </c>
      <c r="J119">
        <v>22697.880859000001</v>
      </c>
      <c r="K119" s="15">
        <v>120.29</v>
      </c>
      <c r="L119">
        <f t="shared" si="5"/>
        <v>188.69299907723001</v>
      </c>
    </row>
    <row r="120" spans="1:12" x14ac:dyDescent="0.3">
      <c r="A120" s="20">
        <v>118</v>
      </c>
      <c r="B120" s="4">
        <v>43308</v>
      </c>
      <c r="C120">
        <v>2818.820068</v>
      </c>
      <c r="D120">
        <v>28733.130859000001</v>
      </c>
      <c r="E120" s="14">
        <v>7.82</v>
      </c>
      <c r="F120" s="18">
        <f t="shared" si="3"/>
        <v>3674.3134090792837</v>
      </c>
      <c r="G120">
        <v>12860.400390999999</v>
      </c>
      <c r="H120">
        <v>1.1536</v>
      </c>
      <c r="I120" s="18">
        <f t="shared" si="4"/>
        <v>14835.757891057599</v>
      </c>
      <c r="J120">
        <v>22396.990234000001</v>
      </c>
      <c r="K120" s="15">
        <v>120.46</v>
      </c>
      <c r="L120">
        <f t="shared" si="5"/>
        <v>185.92885799435498</v>
      </c>
    </row>
    <row r="121" spans="1:12" x14ac:dyDescent="0.3">
      <c r="A121" s="20">
        <v>119</v>
      </c>
      <c r="B121" s="4">
        <v>43311</v>
      </c>
      <c r="C121">
        <v>2802.6000979999999</v>
      </c>
      <c r="D121">
        <v>28583.009765999999</v>
      </c>
      <c r="E121" s="14">
        <v>7.82</v>
      </c>
      <c r="F121" s="18">
        <f t="shared" si="3"/>
        <v>3655.1163383631711</v>
      </c>
      <c r="G121">
        <v>12798.200194999999</v>
      </c>
      <c r="H121">
        <v>1.1403000000000001</v>
      </c>
      <c r="I121" s="18">
        <f t="shared" si="4"/>
        <v>14593.787682358501</v>
      </c>
      <c r="J121">
        <v>22510.480468999998</v>
      </c>
      <c r="K121" s="15">
        <v>120.66</v>
      </c>
      <c r="L121">
        <f t="shared" si="5"/>
        <v>186.56125036466102</v>
      </c>
    </row>
    <row r="122" spans="1:12" x14ac:dyDescent="0.3">
      <c r="A122" s="20">
        <v>120</v>
      </c>
      <c r="B122" s="4">
        <v>43312</v>
      </c>
      <c r="C122">
        <v>2816.290039</v>
      </c>
      <c r="D122">
        <v>28340.740234000001</v>
      </c>
      <c r="E122" s="14">
        <v>7.82</v>
      </c>
      <c r="F122" s="18">
        <f t="shared" si="3"/>
        <v>3624.1355797953966</v>
      </c>
      <c r="G122">
        <v>12805.5</v>
      </c>
      <c r="H122">
        <v>1.1392</v>
      </c>
      <c r="I122" s="18">
        <f t="shared" si="4"/>
        <v>14588.025599999999</v>
      </c>
      <c r="J122">
        <v>22614.25</v>
      </c>
      <c r="K122" s="15">
        <v>121.18</v>
      </c>
      <c r="L122">
        <f t="shared" si="5"/>
        <v>186.61701600924243</v>
      </c>
    </row>
    <row r="123" spans="1:12" x14ac:dyDescent="0.3">
      <c r="A123" s="20">
        <v>121</v>
      </c>
      <c r="B123" s="4">
        <v>43313</v>
      </c>
      <c r="C123">
        <v>2813.360107</v>
      </c>
      <c r="D123">
        <v>27714.560547000001</v>
      </c>
      <c r="E123" s="14">
        <v>7.82</v>
      </c>
      <c r="F123" s="18">
        <f t="shared" si="3"/>
        <v>3544.061451023018</v>
      </c>
      <c r="G123">
        <v>12737.049805000001</v>
      </c>
      <c r="H123">
        <v>1.1341000000000001</v>
      </c>
      <c r="I123" s="18">
        <f t="shared" si="4"/>
        <v>14445.088183850503</v>
      </c>
      <c r="J123">
        <v>22586.869140999999</v>
      </c>
      <c r="K123" s="15">
        <v>121.7</v>
      </c>
      <c r="L123">
        <f t="shared" si="5"/>
        <v>185.59465193919473</v>
      </c>
    </row>
    <row r="124" spans="1:12" x14ac:dyDescent="0.3">
      <c r="A124" s="20">
        <v>122</v>
      </c>
      <c r="B124" s="4">
        <v>43314</v>
      </c>
      <c r="C124">
        <v>2827.219971</v>
      </c>
      <c r="D124">
        <v>27676.320313</v>
      </c>
      <c r="E124" s="14">
        <v>7.82</v>
      </c>
      <c r="F124" s="18">
        <f t="shared" si="3"/>
        <v>3539.1713955242967</v>
      </c>
      <c r="G124">
        <v>12546.330078000001</v>
      </c>
      <c r="H124">
        <v>1.1351</v>
      </c>
      <c r="I124" s="18">
        <f t="shared" si="4"/>
        <v>14241.339271537801</v>
      </c>
      <c r="J124">
        <v>22712.75</v>
      </c>
      <c r="K124" s="15">
        <v>121.3</v>
      </c>
      <c r="L124">
        <f t="shared" si="5"/>
        <v>187.24443528441881</v>
      </c>
    </row>
    <row r="125" spans="1:12" x14ac:dyDescent="0.3">
      <c r="A125" s="20">
        <v>123</v>
      </c>
      <c r="B125" s="4">
        <v>43315</v>
      </c>
      <c r="C125">
        <v>2840.3500979999999</v>
      </c>
      <c r="D125">
        <v>27819.560547000001</v>
      </c>
      <c r="E125" s="14">
        <v>7.82</v>
      </c>
      <c r="F125" s="18">
        <f t="shared" si="3"/>
        <v>3557.4885609974426</v>
      </c>
      <c r="G125">
        <v>12615.759765999999</v>
      </c>
      <c r="H125">
        <v>1.1367</v>
      </c>
      <c r="I125" s="18">
        <f t="shared" si="4"/>
        <v>14340.3341260122</v>
      </c>
      <c r="J125">
        <v>22544.839843999998</v>
      </c>
      <c r="K125" s="15">
        <v>120.78</v>
      </c>
      <c r="L125">
        <f t="shared" si="5"/>
        <v>186.66037294254014</v>
      </c>
    </row>
    <row r="126" spans="1:12" x14ac:dyDescent="0.3">
      <c r="A126" s="20">
        <v>124</v>
      </c>
      <c r="B126" s="4">
        <v>43318</v>
      </c>
      <c r="C126">
        <v>2850.3999020000001</v>
      </c>
      <c r="D126">
        <v>28248.880859000001</v>
      </c>
      <c r="E126" s="14">
        <v>7.82</v>
      </c>
      <c r="F126" s="18">
        <f t="shared" si="3"/>
        <v>3612.3888566496162</v>
      </c>
      <c r="G126">
        <v>12598.209961</v>
      </c>
      <c r="H126">
        <v>1.1437999999999999</v>
      </c>
      <c r="I126" s="18">
        <f t="shared" si="4"/>
        <v>14409.8325533918</v>
      </c>
      <c r="J126">
        <v>22553.720702999999</v>
      </c>
      <c r="K126" s="15">
        <v>119.48</v>
      </c>
      <c r="L126">
        <f t="shared" si="5"/>
        <v>188.76565703883495</v>
      </c>
    </row>
    <row r="127" spans="1:12" x14ac:dyDescent="0.3">
      <c r="A127" s="20">
        <v>125</v>
      </c>
      <c r="B127" s="4">
        <v>43319</v>
      </c>
      <c r="C127">
        <v>2858.4499510000001</v>
      </c>
      <c r="D127">
        <v>28359.140625</v>
      </c>
      <c r="E127" s="14">
        <v>7.82</v>
      </c>
      <c r="F127" s="18">
        <f t="shared" si="3"/>
        <v>3626.4885709718669</v>
      </c>
      <c r="G127">
        <v>12648.190430000001</v>
      </c>
      <c r="H127">
        <v>1.1465000000000001</v>
      </c>
      <c r="I127" s="18">
        <f t="shared" si="4"/>
        <v>14501.150327995001</v>
      </c>
      <c r="J127">
        <v>22746.699218999998</v>
      </c>
      <c r="K127" s="15">
        <v>119.31</v>
      </c>
      <c r="L127">
        <f t="shared" si="5"/>
        <v>190.6520762635152</v>
      </c>
    </row>
    <row r="128" spans="1:12" x14ac:dyDescent="0.3">
      <c r="A128" s="20">
        <v>126</v>
      </c>
      <c r="B128" s="4">
        <v>43320</v>
      </c>
      <c r="C128">
        <v>2857.6999510000001</v>
      </c>
      <c r="D128">
        <v>28607.300781000002</v>
      </c>
      <c r="E128" s="14">
        <v>7.82</v>
      </c>
      <c r="F128" s="18">
        <f t="shared" si="3"/>
        <v>3658.2226062659847</v>
      </c>
      <c r="G128">
        <v>12633.540039</v>
      </c>
      <c r="H128">
        <v>1.1572</v>
      </c>
      <c r="I128" s="18">
        <f t="shared" si="4"/>
        <v>14619.532533130799</v>
      </c>
      <c r="J128">
        <v>22512.529297000001</v>
      </c>
      <c r="K128" s="15">
        <v>120.11</v>
      </c>
      <c r="L128">
        <f t="shared" si="5"/>
        <v>187.43259759387229</v>
      </c>
    </row>
    <row r="129" spans="1:12" x14ac:dyDescent="0.3">
      <c r="A129" s="20">
        <v>127</v>
      </c>
      <c r="B129" s="4">
        <v>43321</v>
      </c>
      <c r="C129">
        <v>2853.580078</v>
      </c>
      <c r="D129">
        <v>28366.619140999999</v>
      </c>
      <c r="E129" s="14">
        <v>7.82</v>
      </c>
      <c r="F129" s="18">
        <f t="shared" si="3"/>
        <v>3627.4449029411762</v>
      </c>
      <c r="G129">
        <v>12676.110352</v>
      </c>
      <c r="H129">
        <v>1.1589</v>
      </c>
      <c r="I129" s="18">
        <f t="shared" si="4"/>
        <v>14690.344286932801</v>
      </c>
      <c r="J129">
        <v>22525.179688</v>
      </c>
      <c r="K129" s="15">
        <v>120.99</v>
      </c>
      <c r="L129">
        <f t="shared" si="5"/>
        <v>186.173896090586</v>
      </c>
    </row>
    <row r="130" spans="1:12" x14ac:dyDescent="0.3">
      <c r="A130" s="20">
        <v>128</v>
      </c>
      <c r="B130" s="4">
        <v>43322</v>
      </c>
      <c r="C130">
        <v>2833.280029</v>
      </c>
      <c r="D130">
        <v>27936.570313</v>
      </c>
      <c r="E130" s="14">
        <v>7.82</v>
      </c>
      <c r="F130" s="18">
        <f t="shared" si="3"/>
        <v>3572.4514466751916</v>
      </c>
      <c r="G130">
        <v>12424.349609000001</v>
      </c>
      <c r="H130">
        <v>1.1536999999999999</v>
      </c>
      <c r="I130" s="18">
        <f t="shared" si="4"/>
        <v>14333.9721439033</v>
      </c>
      <c r="J130">
        <v>22507.320313</v>
      </c>
      <c r="K130" s="15">
        <v>121.44</v>
      </c>
      <c r="L130">
        <f t="shared" si="5"/>
        <v>185.33695909914363</v>
      </c>
    </row>
    <row r="131" spans="1:12" x14ac:dyDescent="0.3">
      <c r="A131" s="20">
        <v>129</v>
      </c>
      <c r="B131" s="4">
        <v>43325</v>
      </c>
      <c r="C131">
        <v>2821.929932</v>
      </c>
      <c r="D131">
        <v>27752.929688</v>
      </c>
      <c r="E131" s="14">
        <v>7.82</v>
      </c>
      <c r="F131" s="18">
        <f t="shared" ref="F131:F194" si="6">D131/E131</f>
        <v>3548.9679907928389</v>
      </c>
      <c r="G131">
        <v>12358.740234000001</v>
      </c>
      <c r="H131">
        <v>1.1626000000000001</v>
      </c>
      <c r="I131" s="18">
        <f t="shared" ref="I131:I194" si="7">G131*H131</f>
        <v>14368.271396048402</v>
      </c>
      <c r="J131">
        <v>22662.740234000001</v>
      </c>
      <c r="K131" s="15">
        <v>121.08</v>
      </c>
      <c r="L131">
        <f t="shared" ref="L131:L194" si="8">J131/K131</f>
        <v>187.17162400066073</v>
      </c>
    </row>
    <row r="132" spans="1:12" x14ac:dyDescent="0.3">
      <c r="A132" s="20">
        <v>130</v>
      </c>
      <c r="B132" s="4">
        <v>43326</v>
      </c>
      <c r="C132">
        <v>2839.959961</v>
      </c>
      <c r="D132">
        <v>27323.589843999998</v>
      </c>
      <c r="E132" s="14">
        <v>7.82</v>
      </c>
      <c r="F132" s="18">
        <f t="shared" si="6"/>
        <v>3494.065197442455</v>
      </c>
      <c r="G132">
        <v>12358.870117</v>
      </c>
      <c r="H132">
        <v>1.1677999999999999</v>
      </c>
      <c r="I132" s="18">
        <f t="shared" si="7"/>
        <v>14432.688522632599</v>
      </c>
      <c r="J132">
        <v>22644.310547000001</v>
      </c>
      <c r="K132" s="15">
        <v>120.54</v>
      </c>
      <c r="L132">
        <f t="shared" si="8"/>
        <v>187.85723035506885</v>
      </c>
    </row>
    <row r="133" spans="1:12" x14ac:dyDescent="0.3">
      <c r="A133" s="20">
        <v>131</v>
      </c>
      <c r="B133" s="4">
        <v>43327</v>
      </c>
      <c r="C133">
        <v>2818.3701169999999</v>
      </c>
      <c r="D133">
        <v>27100.060547000001</v>
      </c>
      <c r="E133" s="14">
        <v>7.82</v>
      </c>
      <c r="F133" s="18">
        <f t="shared" si="6"/>
        <v>3465.4808883631713</v>
      </c>
      <c r="G133">
        <v>12163.009765999999</v>
      </c>
      <c r="H133">
        <v>1.1696</v>
      </c>
      <c r="I133" s="18">
        <f t="shared" si="7"/>
        <v>14225.8562223136</v>
      </c>
      <c r="J133">
        <v>22598.390625</v>
      </c>
      <c r="K133" s="15">
        <v>118.73</v>
      </c>
      <c r="L133">
        <f t="shared" si="8"/>
        <v>190.33429314410847</v>
      </c>
    </row>
    <row r="134" spans="1:12" x14ac:dyDescent="0.3">
      <c r="A134" s="20">
        <v>132</v>
      </c>
      <c r="B134" s="4">
        <v>43328</v>
      </c>
      <c r="C134">
        <v>2840.6899410000001</v>
      </c>
      <c r="D134">
        <v>27213.410156000002</v>
      </c>
      <c r="E134" s="14">
        <v>7.82</v>
      </c>
      <c r="F134" s="18">
        <f t="shared" si="6"/>
        <v>3479.9757232736574</v>
      </c>
      <c r="G134">
        <v>12237.169921999999</v>
      </c>
      <c r="H134">
        <v>1.1698999999999999</v>
      </c>
      <c r="I134" s="18">
        <f t="shared" si="7"/>
        <v>14316.265091747799</v>
      </c>
      <c r="J134">
        <v>22298.080077999999</v>
      </c>
      <c r="K134" s="15">
        <v>118.47</v>
      </c>
      <c r="L134">
        <f t="shared" si="8"/>
        <v>188.21710203427028</v>
      </c>
    </row>
    <row r="135" spans="1:12" x14ac:dyDescent="0.3">
      <c r="A135" s="20">
        <v>133</v>
      </c>
      <c r="B135" s="4">
        <v>43329</v>
      </c>
      <c r="C135">
        <v>2850.1298830000001</v>
      </c>
      <c r="D135">
        <v>27598.019531000002</v>
      </c>
      <c r="E135" s="14">
        <v>7.82</v>
      </c>
      <c r="F135" s="18">
        <f t="shared" si="6"/>
        <v>3529.1585078005114</v>
      </c>
      <c r="G135">
        <v>12210.549805000001</v>
      </c>
      <c r="H135">
        <v>1.1664000000000001</v>
      </c>
      <c r="I135" s="18">
        <f t="shared" si="7"/>
        <v>14242.385292552002</v>
      </c>
      <c r="J135">
        <v>21857.429688</v>
      </c>
      <c r="K135" s="15">
        <v>117.64</v>
      </c>
      <c r="L135">
        <f t="shared" si="8"/>
        <v>185.79930030601835</v>
      </c>
    </row>
    <row r="136" spans="1:12" x14ac:dyDescent="0.3">
      <c r="A136" s="20">
        <v>134</v>
      </c>
      <c r="B136" s="4">
        <v>43332</v>
      </c>
      <c r="C136">
        <v>2857.0500489999999</v>
      </c>
      <c r="D136">
        <v>27752.789063</v>
      </c>
      <c r="E136" s="14">
        <v>7.82</v>
      </c>
      <c r="F136" s="18">
        <f t="shared" si="6"/>
        <v>3548.9500080562657</v>
      </c>
      <c r="G136">
        <v>12331.299805000001</v>
      </c>
      <c r="H136">
        <v>1.1603000000000001</v>
      </c>
      <c r="I136" s="18">
        <f t="shared" si="7"/>
        <v>14308.007163741502</v>
      </c>
      <c r="J136">
        <v>22356.080077999999</v>
      </c>
      <c r="K136" s="15">
        <v>117.02</v>
      </c>
      <c r="L136">
        <f t="shared" si="8"/>
        <v>191.04495024782088</v>
      </c>
    </row>
    <row r="137" spans="1:12" x14ac:dyDescent="0.3">
      <c r="A137" s="20">
        <v>135</v>
      </c>
      <c r="B137" s="4">
        <v>43333</v>
      </c>
      <c r="C137">
        <v>2862.959961</v>
      </c>
      <c r="D137">
        <v>27927.580077999999</v>
      </c>
      <c r="E137" s="14">
        <v>7.82</v>
      </c>
      <c r="F137" s="18">
        <f t="shared" si="6"/>
        <v>3571.3018002557542</v>
      </c>
      <c r="G137">
        <v>12384.490234000001</v>
      </c>
      <c r="H137">
        <v>1.1616</v>
      </c>
      <c r="I137" s="18">
        <f t="shared" si="7"/>
        <v>14385.8238558144</v>
      </c>
      <c r="J137">
        <v>22204.220702999999</v>
      </c>
      <c r="K137" s="15">
        <v>116.01</v>
      </c>
      <c r="L137">
        <f t="shared" si="8"/>
        <v>191.39919578484611</v>
      </c>
    </row>
    <row r="138" spans="1:12" x14ac:dyDescent="0.3">
      <c r="A138" s="20">
        <v>136</v>
      </c>
      <c r="B138" s="4">
        <v>43334</v>
      </c>
      <c r="C138">
        <v>2861.820068</v>
      </c>
      <c r="D138">
        <v>27790.460938</v>
      </c>
      <c r="E138" s="14">
        <v>7.82</v>
      </c>
      <c r="F138" s="18">
        <f t="shared" si="6"/>
        <v>3553.7673833759591</v>
      </c>
      <c r="G138">
        <v>12385.700194999999</v>
      </c>
      <c r="H138">
        <v>1.1576</v>
      </c>
      <c r="I138" s="18">
        <f t="shared" si="7"/>
        <v>14337.686545731998</v>
      </c>
      <c r="J138">
        <v>22192.039063</v>
      </c>
      <c r="K138" s="15">
        <v>116.25</v>
      </c>
      <c r="L138">
        <f t="shared" si="8"/>
        <v>190.89926075698924</v>
      </c>
    </row>
    <row r="139" spans="1:12" x14ac:dyDescent="0.3">
      <c r="A139" s="20">
        <v>137</v>
      </c>
      <c r="B139" s="4">
        <v>43335</v>
      </c>
      <c r="C139">
        <v>2856.9799800000001</v>
      </c>
      <c r="D139">
        <v>27671.869140999999</v>
      </c>
      <c r="E139" s="14">
        <v>7.82</v>
      </c>
      <c r="F139" s="18">
        <f t="shared" si="6"/>
        <v>3538.6021919437339</v>
      </c>
      <c r="G139">
        <v>12365.580078000001</v>
      </c>
      <c r="H139">
        <v>1.1626000000000001</v>
      </c>
      <c r="I139" s="18">
        <f t="shared" si="7"/>
        <v>14376.223398682801</v>
      </c>
      <c r="J139">
        <v>22270.380859000001</v>
      </c>
      <c r="K139" s="15">
        <v>116.56</v>
      </c>
      <c r="L139">
        <f t="shared" si="8"/>
        <v>191.06366557137954</v>
      </c>
    </row>
    <row r="140" spans="1:12" x14ac:dyDescent="0.3">
      <c r="A140" s="20">
        <v>138</v>
      </c>
      <c r="B140" s="4">
        <v>43336</v>
      </c>
      <c r="C140">
        <v>2874.6899410000001</v>
      </c>
      <c r="D140">
        <v>28271.269531000002</v>
      </c>
      <c r="E140" s="14">
        <v>7.82</v>
      </c>
      <c r="F140" s="18">
        <f t="shared" si="6"/>
        <v>3615.2518581841432</v>
      </c>
      <c r="G140">
        <v>12394.519531</v>
      </c>
      <c r="H140">
        <v>1.1625000000000001</v>
      </c>
      <c r="I140" s="18">
        <f t="shared" si="7"/>
        <v>14408.6289547875</v>
      </c>
      <c r="J140">
        <v>22199</v>
      </c>
      <c r="K140" s="15">
        <v>117.34</v>
      </c>
      <c r="L140">
        <f t="shared" si="8"/>
        <v>189.18527356400205</v>
      </c>
    </row>
    <row r="141" spans="1:12" x14ac:dyDescent="0.3">
      <c r="A141" s="20">
        <v>139</v>
      </c>
      <c r="B141" s="4">
        <v>43339</v>
      </c>
      <c r="C141">
        <v>2896.73999</v>
      </c>
      <c r="D141">
        <v>28351.619140999999</v>
      </c>
      <c r="E141" s="14">
        <v>7.82</v>
      </c>
      <c r="F141" s="18">
        <f t="shared" si="6"/>
        <v>3625.5267443734015</v>
      </c>
      <c r="G141">
        <v>12538.309569999999</v>
      </c>
      <c r="H141">
        <v>1.1563000000000001</v>
      </c>
      <c r="I141" s="18">
        <f t="shared" si="7"/>
        <v>14498.047355791001</v>
      </c>
      <c r="J141">
        <v>22219.730468999998</v>
      </c>
      <c r="K141" s="15">
        <v>118.1</v>
      </c>
      <c r="L141">
        <f t="shared" si="8"/>
        <v>188.14335706181203</v>
      </c>
    </row>
    <row r="142" spans="1:12" x14ac:dyDescent="0.3">
      <c r="A142" s="20">
        <v>140</v>
      </c>
      <c r="B142" s="4">
        <v>43340</v>
      </c>
      <c r="C142">
        <v>2897.5200199999999</v>
      </c>
      <c r="D142">
        <v>28416.439452999999</v>
      </c>
      <c r="E142" s="14">
        <v>7.82</v>
      </c>
      <c r="F142" s="18">
        <f t="shared" si="6"/>
        <v>3633.8157868286444</v>
      </c>
      <c r="G142">
        <v>12527.419921999999</v>
      </c>
      <c r="H142">
        <v>1.1594</v>
      </c>
      <c r="I142" s="18">
        <f t="shared" si="7"/>
        <v>14524.290657566798</v>
      </c>
      <c r="J142">
        <v>22362.550781000002</v>
      </c>
      <c r="K142" s="15">
        <v>117.56</v>
      </c>
      <c r="L142">
        <f t="shared" si="8"/>
        <v>190.22244624872405</v>
      </c>
    </row>
    <row r="143" spans="1:12" x14ac:dyDescent="0.3">
      <c r="A143" s="20">
        <v>141</v>
      </c>
      <c r="B143" s="4">
        <v>43341</v>
      </c>
      <c r="C143">
        <v>2914.040039</v>
      </c>
      <c r="D143">
        <v>28164.050781000002</v>
      </c>
      <c r="E143" s="14">
        <v>7.82</v>
      </c>
      <c r="F143" s="18">
        <f t="shared" si="6"/>
        <v>3601.5410205882354</v>
      </c>
      <c r="G143">
        <v>12561.679688</v>
      </c>
      <c r="H143">
        <v>1.1586000000000001</v>
      </c>
      <c r="I143" s="18">
        <f t="shared" si="7"/>
        <v>14553.962086516802</v>
      </c>
      <c r="J143">
        <v>22410.820313</v>
      </c>
      <c r="K143" s="15">
        <v>116.98</v>
      </c>
      <c r="L143">
        <f t="shared" si="8"/>
        <v>191.57822117455976</v>
      </c>
    </row>
    <row r="144" spans="1:12" x14ac:dyDescent="0.3">
      <c r="A144" s="20">
        <v>142</v>
      </c>
      <c r="B144" s="4">
        <v>43342</v>
      </c>
      <c r="C144">
        <v>2901.1298830000001</v>
      </c>
      <c r="D144">
        <v>27888.550781000002</v>
      </c>
      <c r="E144" s="14">
        <v>7.82</v>
      </c>
      <c r="F144" s="18">
        <f t="shared" si="6"/>
        <v>3566.3108415601023</v>
      </c>
      <c r="G144">
        <v>12494.240234000001</v>
      </c>
      <c r="H144">
        <v>1.1626000000000001</v>
      </c>
      <c r="I144" s="18">
        <f t="shared" si="7"/>
        <v>14525.803696048402</v>
      </c>
      <c r="J144">
        <v>22601.769531000002</v>
      </c>
      <c r="K144" s="15">
        <v>116.34</v>
      </c>
      <c r="L144">
        <f t="shared" si="8"/>
        <v>194.27341869520373</v>
      </c>
    </row>
    <row r="145" spans="1:12" x14ac:dyDescent="0.3">
      <c r="A145" s="20">
        <v>143</v>
      </c>
      <c r="B145" s="4">
        <v>43343</v>
      </c>
      <c r="C145">
        <v>2901.5200199999999</v>
      </c>
      <c r="D145">
        <v>27712.539063</v>
      </c>
      <c r="E145" s="14">
        <v>7.82</v>
      </c>
      <c r="F145" s="18">
        <f t="shared" si="6"/>
        <v>3543.8029492327364</v>
      </c>
      <c r="G145">
        <v>12364.059569999999</v>
      </c>
      <c r="H145">
        <v>1.1692</v>
      </c>
      <c r="I145" s="18">
        <f t="shared" si="7"/>
        <v>14456.058449243999</v>
      </c>
      <c r="J145">
        <v>22799.640625</v>
      </c>
      <c r="K145" s="15">
        <v>117.28</v>
      </c>
      <c r="L145">
        <f t="shared" si="8"/>
        <v>194.40348418315142</v>
      </c>
    </row>
    <row r="146" spans="1:12" x14ac:dyDescent="0.3">
      <c r="A146" s="20">
        <v>144</v>
      </c>
      <c r="B146" s="4">
        <v>43347</v>
      </c>
      <c r="C146">
        <v>2896.719971</v>
      </c>
      <c r="D146">
        <v>27973.339843999998</v>
      </c>
      <c r="E146" s="14">
        <v>7.82</v>
      </c>
      <c r="F146" s="18">
        <f t="shared" si="6"/>
        <v>3577.1534327365725</v>
      </c>
      <c r="G146">
        <v>12346.410156</v>
      </c>
      <c r="H146">
        <v>1.1631</v>
      </c>
      <c r="I146" s="18">
        <f t="shared" si="7"/>
        <v>14360.1096524436</v>
      </c>
      <c r="J146">
        <v>22813.470702999999</v>
      </c>
      <c r="K146" s="15">
        <v>116.76</v>
      </c>
      <c r="L146">
        <f t="shared" si="8"/>
        <v>195.38772441760875</v>
      </c>
    </row>
    <row r="147" spans="1:12" x14ac:dyDescent="0.3">
      <c r="A147" s="20">
        <v>145</v>
      </c>
      <c r="B147" s="4">
        <v>43348</v>
      </c>
      <c r="C147">
        <v>2888.6000979999999</v>
      </c>
      <c r="D147">
        <v>27243.849609000001</v>
      </c>
      <c r="E147" s="14">
        <v>7.82</v>
      </c>
      <c r="F147" s="18">
        <f t="shared" si="6"/>
        <v>3483.8682364450128</v>
      </c>
      <c r="G147">
        <v>12210.209961</v>
      </c>
      <c r="H147">
        <v>1.1682999999999999</v>
      </c>
      <c r="I147" s="18">
        <f t="shared" si="7"/>
        <v>14265.1882974363</v>
      </c>
      <c r="J147">
        <v>22848.220702999999</v>
      </c>
      <c r="K147" s="15">
        <v>117.59</v>
      </c>
      <c r="L147">
        <f t="shared" si="8"/>
        <v>194.3041134705332</v>
      </c>
    </row>
    <row r="148" spans="1:12" x14ac:dyDescent="0.3">
      <c r="A148" s="20">
        <v>146</v>
      </c>
      <c r="B148" s="4">
        <v>43349</v>
      </c>
      <c r="C148">
        <v>2878.0500489999999</v>
      </c>
      <c r="D148">
        <v>26974.820313</v>
      </c>
      <c r="E148" s="14">
        <v>7.82</v>
      </c>
      <c r="F148" s="18">
        <f t="shared" si="6"/>
        <v>3449.4655131713553</v>
      </c>
      <c r="G148">
        <v>12040.459961</v>
      </c>
      <c r="H148">
        <v>1.1665000000000001</v>
      </c>
      <c r="I148" s="18">
        <f t="shared" si="7"/>
        <v>14045.196544506502</v>
      </c>
      <c r="J148">
        <v>22869.5</v>
      </c>
      <c r="K148" s="15">
        <v>117.33</v>
      </c>
      <c r="L148">
        <f t="shared" si="8"/>
        <v>194.91604875138498</v>
      </c>
    </row>
    <row r="149" spans="1:12" x14ac:dyDescent="0.3">
      <c r="A149" s="20">
        <v>147</v>
      </c>
      <c r="B149" s="4">
        <v>43350</v>
      </c>
      <c r="C149">
        <v>2871.679932</v>
      </c>
      <c r="D149">
        <v>26973.470702999999</v>
      </c>
      <c r="E149" s="14">
        <v>7.82</v>
      </c>
      <c r="F149" s="18">
        <f t="shared" si="6"/>
        <v>3449.2929287723782</v>
      </c>
      <c r="G149">
        <v>11955.25</v>
      </c>
      <c r="H149">
        <v>1.1673</v>
      </c>
      <c r="I149" s="18">
        <f t="shared" si="7"/>
        <v>13955.363325</v>
      </c>
      <c r="J149">
        <v>22865.150390999999</v>
      </c>
      <c r="K149" s="15">
        <v>117.76</v>
      </c>
      <c r="L149">
        <f t="shared" si="8"/>
        <v>194.16737764096465</v>
      </c>
    </row>
    <row r="150" spans="1:12" x14ac:dyDescent="0.3">
      <c r="A150" s="20">
        <v>148</v>
      </c>
      <c r="B150" s="4">
        <v>43353</v>
      </c>
      <c r="C150">
        <v>2877.1298830000001</v>
      </c>
      <c r="D150">
        <v>26613.419922000001</v>
      </c>
      <c r="E150" s="14">
        <v>7.82</v>
      </c>
      <c r="F150" s="18">
        <f t="shared" si="6"/>
        <v>3403.2506294117647</v>
      </c>
      <c r="G150">
        <v>11959.629883</v>
      </c>
      <c r="H150">
        <v>1.1774</v>
      </c>
      <c r="I150" s="18">
        <f t="shared" si="7"/>
        <v>14081.268224244199</v>
      </c>
      <c r="J150">
        <v>22707.380859000001</v>
      </c>
      <c r="K150" s="15">
        <v>117.83</v>
      </c>
      <c r="L150">
        <f t="shared" si="8"/>
        <v>192.71306848001359</v>
      </c>
    </row>
    <row r="151" spans="1:12" x14ac:dyDescent="0.3">
      <c r="A151" s="20">
        <v>149</v>
      </c>
      <c r="B151" s="4">
        <v>43354</v>
      </c>
      <c r="C151">
        <v>2887.889893</v>
      </c>
      <c r="D151">
        <v>26422.550781000002</v>
      </c>
      <c r="E151" s="14">
        <v>7.82</v>
      </c>
      <c r="F151" s="18">
        <f t="shared" si="6"/>
        <v>3378.8428108695653</v>
      </c>
      <c r="G151">
        <v>11986.339844</v>
      </c>
      <c r="H151">
        <v>1.175</v>
      </c>
      <c r="I151" s="18">
        <f t="shared" si="7"/>
        <v>14083.9493167</v>
      </c>
      <c r="J151">
        <v>22696.900390999999</v>
      </c>
      <c r="K151" s="15">
        <v>117.87</v>
      </c>
      <c r="L151">
        <f t="shared" si="8"/>
        <v>192.55875448375326</v>
      </c>
    </row>
    <row r="152" spans="1:12" x14ac:dyDescent="0.3">
      <c r="A152" s="20">
        <v>150</v>
      </c>
      <c r="B152" s="4">
        <v>43355</v>
      </c>
      <c r="C152">
        <v>2888.919922</v>
      </c>
      <c r="D152">
        <v>26345.039063</v>
      </c>
      <c r="E152" s="14">
        <v>7.82</v>
      </c>
      <c r="F152" s="18">
        <f t="shared" si="6"/>
        <v>3368.9308264705883</v>
      </c>
      <c r="G152">
        <v>11970.269531</v>
      </c>
      <c r="H152">
        <v>1.1757</v>
      </c>
      <c r="I152" s="18">
        <f t="shared" si="7"/>
        <v>14073.445887596699</v>
      </c>
      <c r="J152">
        <v>22580.830077999999</v>
      </c>
      <c r="K152" s="15">
        <v>117.93</v>
      </c>
      <c r="L152">
        <f t="shared" si="8"/>
        <v>191.4765545493089</v>
      </c>
    </row>
    <row r="153" spans="1:12" x14ac:dyDescent="0.3">
      <c r="A153" s="20">
        <v>151</v>
      </c>
      <c r="B153" s="4">
        <v>43356</v>
      </c>
      <c r="C153">
        <v>2904.179932</v>
      </c>
      <c r="D153">
        <v>27014.490234000001</v>
      </c>
      <c r="E153" s="14">
        <v>7.82</v>
      </c>
      <c r="F153" s="18">
        <f t="shared" si="6"/>
        <v>3454.5383930946291</v>
      </c>
      <c r="G153">
        <v>12032.299805000001</v>
      </c>
      <c r="H153">
        <v>1.1768000000000001</v>
      </c>
      <c r="I153" s="18">
        <f t="shared" si="7"/>
        <v>14159.610410524001</v>
      </c>
      <c r="J153">
        <v>22487.939452999999</v>
      </c>
      <c r="K153" s="15">
        <v>116.46</v>
      </c>
      <c r="L153">
        <f t="shared" si="8"/>
        <v>193.09582219646231</v>
      </c>
    </row>
    <row r="154" spans="1:12" x14ac:dyDescent="0.3">
      <c r="A154" s="20">
        <v>152</v>
      </c>
      <c r="B154" s="4">
        <v>43357</v>
      </c>
      <c r="C154">
        <v>2904.9799800000001</v>
      </c>
      <c r="D154">
        <v>27286.410156000002</v>
      </c>
      <c r="E154" s="14">
        <v>7.82</v>
      </c>
      <c r="F154" s="18">
        <f t="shared" si="6"/>
        <v>3489.3107616368288</v>
      </c>
      <c r="G154">
        <v>12055.549805000001</v>
      </c>
      <c r="H154">
        <v>1.1761999999999999</v>
      </c>
      <c r="I154" s="18">
        <f t="shared" si="7"/>
        <v>14179.737680640999</v>
      </c>
      <c r="J154">
        <v>22307.060547000001</v>
      </c>
      <c r="K154" s="15">
        <v>117.9</v>
      </c>
      <c r="L154">
        <f t="shared" si="8"/>
        <v>189.20322770992365</v>
      </c>
    </row>
    <row r="155" spans="1:12" x14ac:dyDescent="0.3">
      <c r="A155" s="20">
        <v>153</v>
      </c>
      <c r="B155" s="4">
        <v>43360</v>
      </c>
      <c r="C155">
        <v>2888.8000489999999</v>
      </c>
      <c r="D155">
        <v>26932.849609000001</v>
      </c>
      <c r="E155" s="14">
        <v>7.82</v>
      </c>
      <c r="F155" s="18">
        <f t="shared" si="6"/>
        <v>3444.0984154731459</v>
      </c>
      <c r="G155">
        <v>12124.330078000001</v>
      </c>
      <c r="H155">
        <v>1.165</v>
      </c>
      <c r="I155" s="18">
        <f t="shared" si="7"/>
        <v>14124.844540870001</v>
      </c>
      <c r="J155">
        <v>22373.089843999998</v>
      </c>
      <c r="K155" s="15">
        <v>118.06</v>
      </c>
      <c r="L155">
        <f t="shared" si="8"/>
        <v>189.50609727257324</v>
      </c>
    </row>
    <row r="156" spans="1:12" x14ac:dyDescent="0.3">
      <c r="A156" s="20">
        <v>154</v>
      </c>
      <c r="B156" s="4">
        <v>43361</v>
      </c>
      <c r="C156">
        <v>2904.3100589999999</v>
      </c>
      <c r="D156">
        <v>27084.660156000002</v>
      </c>
      <c r="E156" s="14">
        <v>7.82</v>
      </c>
      <c r="F156" s="18">
        <f t="shared" si="6"/>
        <v>3463.5115289002561</v>
      </c>
      <c r="G156">
        <v>12096.410156</v>
      </c>
      <c r="H156">
        <v>1.1614</v>
      </c>
      <c r="I156" s="18">
        <f t="shared" si="7"/>
        <v>14048.770755178401</v>
      </c>
      <c r="J156">
        <v>22664.689452999999</v>
      </c>
      <c r="K156" s="15">
        <v>117.82</v>
      </c>
      <c r="L156">
        <f t="shared" si="8"/>
        <v>192.36708074180953</v>
      </c>
    </row>
    <row r="157" spans="1:12" x14ac:dyDescent="0.3">
      <c r="A157" s="20">
        <v>155</v>
      </c>
      <c r="B157" s="4">
        <v>43362</v>
      </c>
      <c r="C157">
        <v>2907.9499510000001</v>
      </c>
      <c r="D157">
        <v>27407.369140999999</v>
      </c>
      <c r="E157" s="14">
        <v>7.82</v>
      </c>
      <c r="F157" s="18">
        <f t="shared" si="6"/>
        <v>3504.7786625319691</v>
      </c>
      <c r="G157">
        <v>12157.669921999999</v>
      </c>
      <c r="H157">
        <v>1.1574</v>
      </c>
      <c r="I157" s="18">
        <f t="shared" si="7"/>
        <v>14071.287167722799</v>
      </c>
      <c r="J157">
        <v>22604.609375</v>
      </c>
      <c r="K157" s="15">
        <v>118.78</v>
      </c>
      <c r="L157">
        <f t="shared" si="8"/>
        <v>190.30652782454959</v>
      </c>
    </row>
    <row r="158" spans="1:12" x14ac:dyDescent="0.3">
      <c r="A158" s="20">
        <v>156</v>
      </c>
      <c r="B158" s="4">
        <v>43363</v>
      </c>
      <c r="C158">
        <v>2930.75</v>
      </c>
      <c r="D158">
        <v>27477.669922000001</v>
      </c>
      <c r="E158" s="14">
        <v>7.82</v>
      </c>
      <c r="F158" s="18">
        <f t="shared" si="6"/>
        <v>3513.7685322250641</v>
      </c>
      <c r="G158">
        <v>12219.019531</v>
      </c>
      <c r="H158">
        <v>1.1541999999999999</v>
      </c>
      <c r="I158" s="18">
        <f t="shared" si="7"/>
        <v>14103.192342680199</v>
      </c>
      <c r="J158">
        <v>22821.320313</v>
      </c>
      <c r="K158" s="15">
        <v>118.62</v>
      </c>
      <c r="L158">
        <f t="shared" si="8"/>
        <v>192.39015606980271</v>
      </c>
    </row>
    <row r="159" spans="1:12" x14ac:dyDescent="0.3">
      <c r="A159" s="20">
        <v>157</v>
      </c>
      <c r="B159" s="4">
        <v>43364</v>
      </c>
      <c r="C159">
        <v>2929.669922</v>
      </c>
      <c r="D159">
        <v>27953.580077999999</v>
      </c>
      <c r="E159" s="14">
        <v>7.82</v>
      </c>
      <c r="F159" s="18">
        <f t="shared" si="6"/>
        <v>3574.6266084398976</v>
      </c>
      <c r="G159">
        <v>12326.480469</v>
      </c>
      <c r="H159">
        <v>1.1516</v>
      </c>
      <c r="I159" s="18">
        <f t="shared" si="7"/>
        <v>14195.1749081004</v>
      </c>
      <c r="J159">
        <v>23094.669922000001</v>
      </c>
      <c r="K159" s="15">
        <v>118.55</v>
      </c>
      <c r="L159">
        <f t="shared" si="8"/>
        <v>194.80953118515396</v>
      </c>
    </row>
    <row r="160" spans="1:12" x14ac:dyDescent="0.3">
      <c r="A160" s="20">
        <v>158</v>
      </c>
      <c r="B160" s="4">
        <v>43367</v>
      </c>
      <c r="C160">
        <v>2919.3701169999999</v>
      </c>
      <c r="D160">
        <v>27499.390625</v>
      </c>
      <c r="E160" s="14">
        <v>7.82</v>
      </c>
      <c r="F160" s="18">
        <f t="shared" si="6"/>
        <v>3516.5461157289001</v>
      </c>
      <c r="G160">
        <v>12430.879883</v>
      </c>
      <c r="H160">
        <v>1.1512</v>
      </c>
      <c r="I160" s="18">
        <f t="shared" si="7"/>
        <v>14310.4289213096</v>
      </c>
      <c r="J160">
        <v>23257.604492500002</v>
      </c>
      <c r="K160" s="15">
        <v>119.08</v>
      </c>
      <c r="L160">
        <f t="shared" si="8"/>
        <v>195.31075321212631</v>
      </c>
    </row>
    <row r="161" spans="1:12" x14ac:dyDescent="0.3">
      <c r="A161" s="20">
        <v>159</v>
      </c>
      <c r="B161" s="4">
        <v>43368</v>
      </c>
      <c r="C161">
        <v>2915.5600589999999</v>
      </c>
      <c r="D161">
        <v>27816.869140999999</v>
      </c>
      <c r="E161" s="14">
        <v>7.82</v>
      </c>
      <c r="F161" s="18">
        <f t="shared" si="6"/>
        <v>3557.1443914322249</v>
      </c>
      <c r="G161">
        <v>12350.820313</v>
      </c>
      <c r="H161">
        <v>1.1524000000000001</v>
      </c>
      <c r="I161" s="18">
        <f t="shared" si="7"/>
        <v>14233.085328701201</v>
      </c>
      <c r="J161">
        <v>23420.539063</v>
      </c>
      <c r="K161" s="15">
        <v>119.33</v>
      </c>
      <c r="L161">
        <f t="shared" si="8"/>
        <v>196.26698284588954</v>
      </c>
    </row>
    <row r="162" spans="1:12" x14ac:dyDescent="0.3">
      <c r="A162" s="20">
        <v>160</v>
      </c>
      <c r="B162" s="4">
        <v>43369</v>
      </c>
      <c r="C162">
        <v>2905.969971</v>
      </c>
      <c r="D162">
        <v>27715.669922000001</v>
      </c>
      <c r="E162" s="14">
        <v>7.82</v>
      </c>
      <c r="F162" s="18">
        <f t="shared" si="6"/>
        <v>3544.2033148337596</v>
      </c>
      <c r="G162">
        <v>12374.660156</v>
      </c>
      <c r="H162">
        <v>1.1489</v>
      </c>
      <c r="I162" s="18">
        <f t="shared" si="7"/>
        <v>14217.247053228401</v>
      </c>
      <c r="J162">
        <v>23672.519531000002</v>
      </c>
      <c r="K162" s="15">
        <v>118.95</v>
      </c>
      <c r="L162">
        <f t="shared" si="8"/>
        <v>199.0123541908365</v>
      </c>
    </row>
    <row r="163" spans="1:12" x14ac:dyDescent="0.3">
      <c r="A163" s="20">
        <v>161</v>
      </c>
      <c r="B163" s="4">
        <v>43370</v>
      </c>
      <c r="C163">
        <v>2914</v>
      </c>
      <c r="D163">
        <v>27788.519531000002</v>
      </c>
      <c r="E163" s="14">
        <v>7.82</v>
      </c>
      <c r="F163" s="18">
        <f t="shared" si="6"/>
        <v>3553.5191216112535</v>
      </c>
      <c r="G163">
        <v>12385.889648</v>
      </c>
      <c r="H163">
        <v>1.1496</v>
      </c>
      <c r="I163" s="18">
        <f t="shared" si="7"/>
        <v>14238.818739340801</v>
      </c>
      <c r="J163">
        <v>23674.929688</v>
      </c>
      <c r="K163" s="15">
        <v>119.3</v>
      </c>
      <c r="L163">
        <f t="shared" si="8"/>
        <v>198.44869813914502</v>
      </c>
    </row>
    <row r="164" spans="1:12" x14ac:dyDescent="0.3">
      <c r="A164" s="20">
        <v>162</v>
      </c>
      <c r="B164" s="4">
        <v>43371</v>
      </c>
      <c r="C164">
        <v>2913.9799800000001</v>
      </c>
      <c r="D164">
        <v>27126.380859000001</v>
      </c>
      <c r="E164" s="14">
        <v>7.82</v>
      </c>
      <c r="F164" s="18">
        <f t="shared" si="6"/>
        <v>3468.8466571611252</v>
      </c>
      <c r="G164">
        <v>12435.589844</v>
      </c>
      <c r="H164">
        <v>1.1524000000000001</v>
      </c>
      <c r="I164" s="18">
        <f t="shared" si="7"/>
        <v>14330.773736225601</v>
      </c>
      <c r="J164">
        <v>23869.929688</v>
      </c>
      <c r="K164" s="15">
        <v>119.81</v>
      </c>
      <c r="L164">
        <f t="shared" si="8"/>
        <v>199.23153065687339</v>
      </c>
    </row>
    <row r="165" spans="1:12" x14ac:dyDescent="0.3">
      <c r="A165" s="20">
        <v>163</v>
      </c>
      <c r="B165" s="4">
        <v>43374</v>
      </c>
      <c r="C165">
        <v>2924.5900879999999</v>
      </c>
      <c r="D165">
        <v>27091.259765999999</v>
      </c>
      <c r="E165" s="14">
        <v>7.82</v>
      </c>
      <c r="F165" s="18">
        <f t="shared" si="6"/>
        <v>3464.3554687979536</v>
      </c>
      <c r="G165">
        <v>12246.730469</v>
      </c>
      <c r="H165">
        <v>1.1593</v>
      </c>
      <c r="I165" s="18">
        <f t="shared" si="7"/>
        <v>14197.634632711701</v>
      </c>
      <c r="J165">
        <v>23905.094727</v>
      </c>
      <c r="K165" s="15">
        <v>119.27</v>
      </c>
      <c r="L165">
        <f t="shared" si="8"/>
        <v>200.42839546407311</v>
      </c>
    </row>
    <row r="166" spans="1:12" x14ac:dyDescent="0.3">
      <c r="A166" s="20">
        <v>164</v>
      </c>
      <c r="B166" s="4">
        <v>43375</v>
      </c>
      <c r="C166">
        <v>2923.429932</v>
      </c>
      <c r="D166">
        <v>26623.869140999999</v>
      </c>
      <c r="E166" s="14">
        <v>7.82</v>
      </c>
      <c r="F166" s="18">
        <f t="shared" si="6"/>
        <v>3404.5868466751917</v>
      </c>
      <c r="G166">
        <v>12339.030273</v>
      </c>
      <c r="H166">
        <v>1.1558999999999999</v>
      </c>
      <c r="I166" s="18">
        <f t="shared" si="7"/>
        <v>14262.6850925607</v>
      </c>
      <c r="J166">
        <v>23940.259765999999</v>
      </c>
      <c r="K166" s="15">
        <v>118.25</v>
      </c>
      <c r="L166">
        <f t="shared" si="8"/>
        <v>202.4546280422833</v>
      </c>
    </row>
    <row r="167" spans="1:12" x14ac:dyDescent="0.3">
      <c r="A167" s="20">
        <v>165</v>
      </c>
      <c r="B167" s="4">
        <v>43376</v>
      </c>
      <c r="C167">
        <v>2925.51001</v>
      </c>
      <c r="D167">
        <v>26572.570313</v>
      </c>
      <c r="E167" s="14">
        <v>7.82</v>
      </c>
      <c r="F167" s="18">
        <f t="shared" si="6"/>
        <v>3398.0268942455241</v>
      </c>
      <c r="G167">
        <v>12287.580078000001</v>
      </c>
      <c r="H167">
        <v>1.1583000000000001</v>
      </c>
      <c r="I167" s="18">
        <f t="shared" si="7"/>
        <v>14232.704004347403</v>
      </c>
      <c r="J167">
        <v>24033.789063</v>
      </c>
      <c r="K167" s="15">
        <v>118.27</v>
      </c>
      <c r="L167">
        <f t="shared" si="8"/>
        <v>203.2112037118458</v>
      </c>
    </row>
    <row r="168" spans="1:12" x14ac:dyDescent="0.3">
      <c r="A168" s="20">
        <v>166</v>
      </c>
      <c r="B168" s="4">
        <v>43377</v>
      </c>
      <c r="C168">
        <v>2901.610107</v>
      </c>
      <c r="D168">
        <v>26202.570313</v>
      </c>
      <c r="E168" s="14">
        <v>7.82</v>
      </c>
      <c r="F168" s="18">
        <f t="shared" si="6"/>
        <v>3350.7123162404091</v>
      </c>
      <c r="G168">
        <v>12244.139648</v>
      </c>
      <c r="H168">
        <v>1.1577999999999999</v>
      </c>
      <c r="I168" s="18">
        <f t="shared" si="7"/>
        <v>14176.2648844544</v>
      </c>
      <c r="J168">
        <v>23796.740234000001</v>
      </c>
      <c r="K168" s="15">
        <v>118.89</v>
      </c>
      <c r="L168">
        <f t="shared" si="8"/>
        <v>200.15762666330221</v>
      </c>
    </row>
    <row r="169" spans="1:12" x14ac:dyDescent="0.3">
      <c r="A169" s="20">
        <v>167</v>
      </c>
      <c r="B169" s="4">
        <v>43378</v>
      </c>
      <c r="C169">
        <v>2885.570068</v>
      </c>
      <c r="D169">
        <v>26172.910156000002</v>
      </c>
      <c r="E169" s="14">
        <v>7.82</v>
      </c>
      <c r="F169" s="18">
        <f t="shared" si="6"/>
        <v>3346.9194572890028</v>
      </c>
      <c r="G169">
        <v>12111.900390999999</v>
      </c>
      <c r="H169">
        <v>1.1507000000000001</v>
      </c>
      <c r="I169" s="18">
        <f t="shared" si="7"/>
        <v>13937.1637799237</v>
      </c>
      <c r="J169">
        <v>24120.039063</v>
      </c>
      <c r="K169" s="15">
        <v>118.73</v>
      </c>
      <c r="L169">
        <f t="shared" si="8"/>
        <v>203.15033321822622</v>
      </c>
    </row>
    <row r="170" spans="1:12" x14ac:dyDescent="0.3">
      <c r="A170" s="20">
        <v>168</v>
      </c>
      <c r="B170" s="4">
        <v>43381</v>
      </c>
      <c r="C170">
        <v>2884.429932</v>
      </c>
      <c r="D170">
        <v>26193.070313</v>
      </c>
      <c r="E170" s="14">
        <v>7.82</v>
      </c>
      <c r="F170" s="18">
        <f t="shared" si="6"/>
        <v>3349.4974824808182</v>
      </c>
      <c r="G170">
        <v>11947.160156</v>
      </c>
      <c r="H170">
        <v>1.1464000000000001</v>
      </c>
      <c r="I170" s="18">
        <f t="shared" si="7"/>
        <v>13696.224402838401</v>
      </c>
      <c r="J170">
        <v>24245.759765999999</v>
      </c>
      <c r="K170" s="15">
        <v>118.41</v>
      </c>
      <c r="L170">
        <f t="shared" si="8"/>
        <v>204.76108239168988</v>
      </c>
    </row>
    <row r="171" spans="1:12" x14ac:dyDescent="0.3">
      <c r="A171" s="20">
        <v>169</v>
      </c>
      <c r="B171" s="4">
        <v>43382</v>
      </c>
      <c r="C171">
        <v>2880.3400879999999</v>
      </c>
      <c r="D171">
        <v>25266.369140999999</v>
      </c>
      <c r="E171" s="14">
        <v>7.82</v>
      </c>
      <c r="F171" s="18">
        <f t="shared" si="6"/>
        <v>3230.9934962915599</v>
      </c>
      <c r="G171">
        <v>11977.219727</v>
      </c>
      <c r="H171">
        <v>1.1511</v>
      </c>
      <c r="I171" s="18">
        <f t="shared" si="7"/>
        <v>13786.9776277497</v>
      </c>
      <c r="J171">
        <v>24270.619140999999</v>
      </c>
      <c r="K171" s="15">
        <v>118.48</v>
      </c>
      <c r="L171">
        <f t="shared" si="8"/>
        <v>204.84992522788656</v>
      </c>
    </row>
    <row r="172" spans="1:12" x14ac:dyDescent="0.3">
      <c r="A172" s="20">
        <v>170</v>
      </c>
      <c r="B172" s="4">
        <v>43383</v>
      </c>
      <c r="C172">
        <v>2785.679932</v>
      </c>
      <c r="D172">
        <v>25801.490234000001</v>
      </c>
      <c r="E172" s="14">
        <v>7.82</v>
      </c>
      <c r="F172" s="18">
        <f t="shared" si="6"/>
        <v>3299.4233035805628</v>
      </c>
      <c r="G172">
        <v>11712.5</v>
      </c>
      <c r="H172">
        <v>1.1468</v>
      </c>
      <c r="I172" s="18">
        <f t="shared" si="7"/>
        <v>13431.895</v>
      </c>
      <c r="J172">
        <v>24110.960938</v>
      </c>
      <c r="K172" s="15">
        <v>119.39</v>
      </c>
      <c r="L172">
        <f t="shared" si="8"/>
        <v>201.95126005528101</v>
      </c>
    </row>
    <row r="173" spans="1:12" x14ac:dyDescent="0.3">
      <c r="A173" s="20">
        <v>171</v>
      </c>
      <c r="B173" s="4">
        <v>43384</v>
      </c>
      <c r="C173">
        <v>2728.3701169999999</v>
      </c>
      <c r="D173">
        <v>25445.060547000001</v>
      </c>
      <c r="E173" s="14">
        <v>7.82</v>
      </c>
      <c r="F173" s="18">
        <f t="shared" si="6"/>
        <v>3253.84405971867</v>
      </c>
      <c r="G173">
        <v>11539.349609000001</v>
      </c>
      <c r="H173">
        <v>1.1469</v>
      </c>
      <c r="I173" s="18">
        <f t="shared" si="7"/>
        <v>13234.480066562101</v>
      </c>
      <c r="J173">
        <v>23975.619140999999</v>
      </c>
      <c r="K173" s="15">
        <v>119.46</v>
      </c>
      <c r="L173">
        <f t="shared" si="8"/>
        <v>200.69997606730286</v>
      </c>
    </row>
    <row r="174" spans="1:12" x14ac:dyDescent="0.3">
      <c r="A174" s="20">
        <v>172</v>
      </c>
      <c r="B174" s="4">
        <v>43385</v>
      </c>
      <c r="C174">
        <v>2767.1298830000001</v>
      </c>
      <c r="D174">
        <v>25462.259765999999</v>
      </c>
      <c r="E174" s="14">
        <v>7.82</v>
      </c>
      <c r="F174" s="18">
        <f t="shared" si="6"/>
        <v>3256.0434483375957</v>
      </c>
      <c r="G174">
        <v>11523.809569999999</v>
      </c>
      <c r="H174">
        <v>1.1387</v>
      </c>
      <c r="I174" s="18">
        <f t="shared" si="7"/>
        <v>13122.161957359</v>
      </c>
      <c r="J174">
        <v>23783.720702999999</v>
      </c>
      <c r="K174" s="15">
        <v>120.11</v>
      </c>
      <c r="L174">
        <f t="shared" si="8"/>
        <v>198.01615771376237</v>
      </c>
    </row>
    <row r="175" spans="1:12" x14ac:dyDescent="0.3">
      <c r="A175" s="20">
        <v>173</v>
      </c>
      <c r="B175" s="4">
        <v>43388</v>
      </c>
      <c r="C175">
        <v>2750.790039</v>
      </c>
      <c r="D175">
        <v>25454.550781000002</v>
      </c>
      <c r="E175" s="14">
        <v>7.82</v>
      </c>
      <c r="F175" s="18">
        <f t="shared" si="6"/>
        <v>3255.0576446291561</v>
      </c>
      <c r="G175">
        <v>11614.160156</v>
      </c>
      <c r="H175">
        <v>1.1362000000000001</v>
      </c>
      <c r="I175" s="18">
        <f t="shared" si="7"/>
        <v>13196.008769247201</v>
      </c>
      <c r="J175">
        <f>(J174+J176)/2</f>
        <v>23626.555664</v>
      </c>
      <c r="K175" s="15">
        <v>119.87</v>
      </c>
      <c r="L175">
        <f t="shared" si="8"/>
        <v>197.1014904813548</v>
      </c>
    </row>
    <row r="176" spans="1:12" x14ac:dyDescent="0.3">
      <c r="A176" s="20">
        <v>174</v>
      </c>
      <c r="B176" s="4">
        <v>43389</v>
      </c>
      <c r="C176">
        <v>2809.919922</v>
      </c>
      <c r="D176">
        <v>25561.400390999999</v>
      </c>
      <c r="E176" s="14">
        <v>7.82</v>
      </c>
      <c r="F176" s="18">
        <f t="shared" si="6"/>
        <v>3268.7212776214833</v>
      </c>
      <c r="G176">
        <v>11776.549805000001</v>
      </c>
      <c r="H176">
        <v>1.1405000000000001</v>
      </c>
      <c r="I176" s="18">
        <f t="shared" si="7"/>
        <v>13431.155052602502</v>
      </c>
      <c r="J176">
        <v>23469.390625</v>
      </c>
      <c r="K176" s="15">
        <v>119.71</v>
      </c>
      <c r="L176">
        <f t="shared" si="8"/>
        <v>196.05204765683737</v>
      </c>
    </row>
    <row r="177" spans="1:12" x14ac:dyDescent="0.3">
      <c r="A177" s="20">
        <v>175</v>
      </c>
      <c r="B177" s="4">
        <v>43390</v>
      </c>
      <c r="C177">
        <v>2809.209961</v>
      </c>
      <c r="D177">
        <v>26153.150390999999</v>
      </c>
      <c r="E177" s="14">
        <v>7.82</v>
      </c>
      <c r="F177" s="18">
        <f t="shared" si="6"/>
        <v>3344.3926331202042</v>
      </c>
      <c r="G177">
        <v>11715.030273</v>
      </c>
      <c r="H177">
        <v>1.1392</v>
      </c>
      <c r="I177" s="18">
        <f t="shared" si="7"/>
        <v>13345.762487001601</v>
      </c>
      <c r="J177">
        <v>23506.039063</v>
      </c>
      <c r="K177" s="15">
        <v>120.43</v>
      </c>
      <c r="L177">
        <f t="shared" si="8"/>
        <v>195.18424863406128</v>
      </c>
    </row>
    <row r="178" spans="1:12" x14ac:dyDescent="0.3">
      <c r="A178" s="20">
        <v>176</v>
      </c>
      <c r="B178" s="4">
        <v>43391</v>
      </c>
      <c r="C178">
        <v>2768.780029</v>
      </c>
      <c r="D178">
        <v>25346.550781000002</v>
      </c>
      <c r="E178" s="14">
        <v>7.82</v>
      </c>
      <c r="F178" s="18">
        <f t="shared" si="6"/>
        <v>3241.2469029411764</v>
      </c>
      <c r="G178">
        <v>11589.209961</v>
      </c>
      <c r="H178">
        <v>1.1343000000000001</v>
      </c>
      <c r="I178" s="18">
        <f t="shared" si="7"/>
        <v>13145.640858762301</v>
      </c>
      <c r="J178">
        <v>22590.859375</v>
      </c>
      <c r="K178" s="15">
        <v>120.1</v>
      </c>
      <c r="L178">
        <f t="shared" si="8"/>
        <v>188.1004111157369</v>
      </c>
    </row>
    <row r="179" spans="1:12" x14ac:dyDescent="0.3">
      <c r="A179" s="20">
        <v>177</v>
      </c>
      <c r="B179" s="4">
        <v>43392</v>
      </c>
      <c r="C179">
        <v>2767.780029</v>
      </c>
      <c r="D179">
        <v>25249.779297000001</v>
      </c>
      <c r="E179" s="14">
        <v>7.82</v>
      </c>
      <c r="F179" s="18">
        <f t="shared" si="6"/>
        <v>3228.8720328644499</v>
      </c>
      <c r="G179">
        <v>11553.830078000001</v>
      </c>
      <c r="H179">
        <v>1.1314</v>
      </c>
      <c r="I179" s="18">
        <f t="shared" si="7"/>
        <v>13072.003350249201</v>
      </c>
      <c r="J179">
        <v>22694.660156000002</v>
      </c>
      <c r="K179" s="15">
        <v>120.36</v>
      </c>
      <c r="L179">
        <f t="shared" si="8"/>
        <v>188.55649847125292</v>
      </c>
    </row>
    <row r="180" spans="1:12" x14ac:dyDescent="0.3">
      <c r="A180" s="20">
        <v>178</v>
      </c>
      <c r="B180" s="4">
        <v>43395</v>
      </c>
      <c r="C180">
        <v>2755.8798830000001</v>
      </c>
      <c r="D180">
        <v>24994.460938</v>
      </c>
      <c r="E180" s="14">
        <v>7.82</v>
      </c>
      <c r="F180" s="18">
        <f t="shared" si="6"/>
        <v>3196.222626342711</v>
      </c>
      <c r="G180">
        <v>11524.339844</v>
      </c>
      <c r="H180">
        <v>1.1407</v>
      </c>
      <c r="I180" s="18">
        <f t="shared" si="7"/>
        <v>13145.8144600508</v>
      </c>
      <c r="J180">
        <v>22271.300781000002</v>
      </c>
      <c r="K180" s="15">
        <v>120.27</v>
      </c>
      <c r="L180">
        <f t="shared" si="8"/>
        <v>185.17752374657024</v>
      </c>
    </row>
    <row r="181" spans="1:12" x14ac:dyDescent="0.3">
      <c r="A181" s="20">
        <v>179</v>
      </c>
      <c r="B181" s="4">
        <v>43396</v>
      </c>
      <c r="C181">
        <v>2740.6899410000001</v>
      </c>
      <c r="D181">
        <v>24717.630859000001</v>
      </c>
      <c r="E181" s="14">
        <v>7.82</v>
      </c>
      <c r="F181" s="18">
        <f t="shared" si="6"/>
        <v>3160.8223604859336</v>
      </c>
      <c r="G181">
        <v>11274.280273</v>
      </c>
      <c r="H181">
        <v>1.1379999999999999</v>
      </c>
      <c r="I181" s="18">
        <f t="shared" si="7"/>
        <v>12830.130950674</v>
      </c>
      <c r="J181">
        <v>22549.240234000001</v>
      </c>
      <c r="K181" s="15">
        <v>120.69</v>
      </c>
      <c r="L181">
        <f t="shared" si="8"/>
        <v>186.83602812163394</v>
      </c>
    </row>
    <row r="182" spans="1:12" x14ac:dyDescent="0.3">
      <c r="A182" s="20">
        <v>180</v>
      </c>
      <c r="B182" s="4">
        <v>43397</v>
      </c>
      <c r="C182">
        <v>2656.1000979999999</v>
      </c>
      <c r="D182">
        <v>24812.039063</v>
      </c>
      <c r="E182" s="14">
        <v>7.82</v>
      </c>
      <c r="F182" s="18">
        <f t="shared" si="6"/>
        <v>3172.8950208439896</v>
      </c>
      <c r="G182">
        <v>11191.629883</v>
      </c>
      <c r="H182">
        <v>1.141</v>
      </c>
      <c r="I182" s="18">
        <f t="shared" si="7"/>
        <v>12769.649696503</v>
      </c>
      <c r="J182">
        <v>22841.119140999999</v>
      </c>
      <c r="K182" s="15">
        <v>121.27</v>
      </c>
      <c r="L182">
        <f t="shared" si="8"/>
        <v>188.34929612435062</v>
      </c>
    </row>
    <row r="183" spans="1:12" x14ac:dyDescent="0.3">
      <c r="A183" s="20">
        <v>181</v>
      </c>
      <c r="B183" s="4">
        <v>43398</v>
      </c>
      <c r="C183">
        <v>2705.570068</v>
      </c>
      <c r="D183">
        <v>24585.529297000001</v>
      </c>
      <c r="E183" s="14">
        <v>7.82</v>
      </c>
      <c r="F183" s="18">
        <f t="shared" si="6"/>
        <v>3143.9295776214835</v>
      </c>
      <c r="G183">
        <v>11307.120117</v>
      </c>
      <c r="H183">
        <v>1.1412</v>
      </c>
      <c r="I183" s="18">
        <f t="shared" si="7"/>
        <v>12903.685477520401</v>
      </c>
      <c r="J183">
        <v>22658.160156000002</v>
      </c>
      <c r="K183" s="15">
        <v>121.21</v>
      </c>
      <c r="L183">
        <f t="shared" si="8"/>
        <v>186.9330926161208</v>
      </c>
    </row>
    <row r="184" spans="1:12" x14ac:dyDescent="0.3">
      <c r="A184" s="20">
        <v>182</v>
      </c>
      <c r="B184" s="4">
        <v>43399</v>
      </c>
      <c r="C184">
        <v>2658.6899410000001</v>
      </c>
      <c r="D184">
        <v>24979.689452999999</v>
      </c>
      <c r="E184" s="14">
        <v>7.82</v>
      </c>
      <c r="F184" s="18">
        <f t="shared" si="6"/>
        <v>3194.3336896419437</v>
      </c>
      <c r="G184">
        <v>11200.620117</v>
      </c>
      <c r="H184">
        <v>1.1456</v>
      </c>
      <c r="I184" s="18">
        <f t="shared" si="7"/>
        <v>12831.430406035201</v>
      </c>
      <c r="J184">
        <v>22532.080077999999</v>
      </c>
      <c r="K184" s="15">
        <v>121.6</v>
      </c>
      <c r="L184">
        <f t="shared" si="8"/>
        <v>185.29671116776316</v>
      </c>
    </row>
    <row r="185" spans="1:12" x14ac:dyDescent="0.3">
      <c r="A185" s="20">
        <v>183</v>
      </c>
      <c r="B185" s="4">
        <v>43402</v>
      </c>
      <c r="C185">
        <v>2641.25</v>
      </c>
      <c r="D185">
        <v>25416</v>
      </c>
      <c r="E185" s="14">
        <v>7.82</v>
      </c>
      <c r="F185" s="18">
        <f t="shared" si="6"/>
        <v>3250.1278772378514</v>
      </c>
      <c r="G185">
        <v>11335.480469</v>
      </c>
      <c r="H185">
        <v>1.1364000000000001</v>
      </c>
      <c r="I185" s="18">
        <f t="shared" si="7"/>
        <v>12881.640004971601</v>
      </c>
      <c r="J185">
        <v>22614.820313</v>
      </c>
      <c r="K185" s="15">
        <v>121.42</v>
      </c>
      <c r="L185">
        <f t="shared" si="8"/>
        <v>186.25284395486739</v>
      </c>
    </row>
    <row r="186" spans="1:12" x14ac:dyDescent="0.3">
      <c r="A186" s="20">
        <v>184</v>
      </c>
      <c r="B186" s="4">
        <v>43403</v>
      </c>
      <c r="C186">
        <v>2682.6298830000001</v>
      </c>
      <c r="D186">
        <v>26486.349609000001</v>
      </c>
      <c r="E186" s="14">
        <v>7.82</v>
      </c>
      <c r="F186" s="18">
        <f t="shared" si="6"/>
        <v>3387.0012287723785</v>
      </c>
      <c r="G186">
        <v>11287.389648</v>
      </c>
      <c r="H186">
        <v>1.133</v>
      </c>
      <c r="I186" s="18">
        <f t="shared" si="7"/>
        <v>12788.612471184</v>
      </c>
      <c r="J186">
        <v>22010.779297000001</v>
      </c>
      <c r="K186" s="15">
        <v>121.44</v>
      </c>
      <c r="L186">
        <f t="shared" si="8"/>
        <v>181.24818261693019</v>
      </c>
    </row>
    <row r="187" spans="1:12" x14ac:dyDescent="0.3">
      <c r="A187" s="20">
        <v>185</v>
      </c>
      <c r="B187" s="4">
        <v>43404</v>
      </c>
      <c r="C187">
        <v>2711.73999</v>
      </c>
      <c r="D187">
        <v>25934.390625</v>
      </c>
      <c r="E187" s="14">
        <v>7.82</v>
      </c>
      <c r="F187" s="18">
        <f t="shared" si="6"/>
        <v>3316.4182384910487</v>
      </c>
      <c r="G187">
        <v>11447.509765999999</v>
      </c>
      <c r="H187">
        <v>1.1241000000000001</v>
      </c>
      <c r="I187" s="18">
        <f t="shared" si="7"/>
        <v>12868.1457279606</v>
      </c>
      <c r="J187">
        <v>22091.179688</v>
      </c>
      <c r="K187" s="15">
        <v>121.43</v>
      </c>
      <c r="L187">
        <f t="shared" si="8"/>
        <v>181.92522183974305</v>
      </c>
    </row>
    <row r="188" spans="1:12" x14ac:dyDescent="0.3">
      <c r="A188" s="20">
        <v>186</v>
      </c>
      <c r="B188" s="4">
        <v>43405</v>
      </c>
      <c r="C188">
        <v>2740.3701169999999</v>
      </c>
      <c r="D188">
        <v>26120.960938</v>
      </c>
      <c r="E188" s="14">
        <v>7.82</v>
      </c>
      <c r="F188" s="18">
        <f t="shared" si="6"/>
        <v>3340.2763347826085</v>
      </c>
      <c r="G188">
        <v>11468.540039</v>
      </c>
      <c r="H188">
        <v>1.1273</v>
      </c>
      <c r="I188" s="18">
        <f t="shared" si="7"/>
        <v>12928.485185964699</v>
      </c>
      <c r="J188">
        <v>21268.730468999998</v>
      </c>
      <c r="K188" s="15">
        <v>121.64</v>
      </c>
      <c r="L188">
        <f t="shared" si="8"/>
        <v>174.84980655212101</v>
      </c>
    </row>
    <row r="189" spans="1:12" x14ac:dyDescent="0.3">
      <c r="A189" s="20">
        <v>187</v>
      </c>
      <c r="B189" s="4">
        <v>43406</v>
      </c>
      <c r="C189">
        <v>2723.0600589999999</v>
      </c>
      <c r="D189">
        <v>26147.689452999999</v>
      </c>
      <c r="E189" s="14">
        <v>7.82</v>
      </c>
      <c r="F189" s="18">
        <f t="shared" si="6"/>
        <v>3343.6943034526853</v>
      </c>
      <c r="G189">
        <v>11518.990234000001</v>
      </c>
      <c r="H189">
        <v>1.1335999999999999</v>
      </c>
      <c r="I189" s="18">
        <f t="shared" si="7"/>
        <v>13057.9273292624</v>
      </c>
      <c r="J189">
        <v>21184.599609000001</v>
      </c>
      <c r="K189" s="15">
        <v>121.74</v>
      </c>
      <c r="L189">
        <f t="shared" si="8"/>
        <v>174.0151109659931</v>
      </c>
    </row>
    <row r="190" spans="1:12" x14ac:dyDescent="0.3">
      <c r="A190" s="20">
        <v>188</v>
      </c>
      <c r="B190" s="4">
        <v>43409</v>
      </c>
      <c r="C190">
        <v>2738.3100589999999</v>
      </c>
      <c r="D190">
        <v>26227.720702999999</v>
      </c>
      <c r="E190" s="14">
        <v>7.82</v>
      </c>
      <c r="F190" s="18">
        <f t="shared" si="6"/>
        <v>3353.928478644501</v>
      </c>
      <c r="G190">
        <v>11494.959961</v>
      </c>
      <c r="H190">
        <v>1.1348</v>
      </c>
      <c r="I190" s="18">
        <f t="shared" si="7"/>
        <v>13044.480563742802</v>
      </c>
      <c r="J190">
        <v>21149.800781000002</v>
      </c>
      <c r="K190" s="15">
        <v>121.52</v>
      </c>
      <c r="L190">
        <f t="shared" si="8"/>
        <v>174.04378522876894</v>
      </c>
    </row>
    <row r="191" spans="1:12" x14ac:dyDescent="0.3">
      <c r="A191" s="20">
        <v>189</v>
      </c>
      <c r="B191" s="4">
        <v>43410</v>
      </c>
      <c r="C191">
        <v>2755.4499510000001</v>
      </c>
      <c r="D191">
        <v>25601.919922000001</v>
      </c>
      <c r="E191" s="14">
        <v>7.82</v>
      </c>
      <c r="F191" s="18">
        <f t="shared" si="6"/>
        <v>3273.9028033248082</v>
      </c>
      <c r="G191">
        <v>11484.339844</v>
      </c>
      <c r="H191">
        <v>1.1409</v>
      </c>
      <c r="I191" s="18">
        <f t="shared" si="7"/>
        <v>13102.4833280196</v>
      </c>
      <c r="J191">
        <v>21457.289063</v>
      </c>
      <c r="K191" s="15">
        <v>121.81</v>
      </c>
      <c r="L191">
        <f t="shared" si="8"/>
        <v>176.15375636647238</v>
      </c>
    </row>
    <row r="192" spans="1:12" x14ac:dyDescent="0.3">
      <c r="A192" s="20">
        <v>190</v>
      </c>
      <c r="B192" s="4">
        <v>43411</v>
      </c>
      <c r="C192">
        <v>2813.889893</v>
      </c>
      <c r="D192">
        <v>25633.179688</v>
      </c>
      <c r="E192" s="14">
        <v>7.82</v>
      </c>
      <c r="F192" s="18">
        <f t="shared" si="6"/>
        <v>3277.9002158567773</v>
      </c>
      <c r="G192">
        <v>11579.099609000001</v>
      </c>
      <c r="H192">
        <v>1.1454</v>
      </c>
      <c r="I192" s="18">
        <f t="shared" si="7"/>
        <v>13262.700692148601</v>
      </c>
      <c r="J192">
        <v>21920.460938</v>
      </c>
      <c r="K192" s="15">
        <v>122.03</v>
      </c>
      <c r="L192">
        <f t="shared" si="8"/>
        <v>179.63173758911742</v>
      </c>
    </row>
    <row r="193" spans="1:12" x14ac:dyDescent="0.3">
      <c r="A193" s="20">
        <v>191</v>
      </c>
      <c r="B193" s="4">
        <v>43412</v>
      </c>
      <c r="C193">
        <v>2806.830078</v>
      </c>
      <c r="D193">
        <v>25792.869140999999</v>
      </c>
      <c r="E193" s="14">
        <v>7.82</v>
      </c>
      <c r="F193" s="18">
        <f t="shared" si="6"/>
        <v>3298.32086202046</v>
      </c>
      <c r="G193">
        <v>11527.320313</v>
      </c>
      <c r="H193">
        <v>1.1364000000000001</v>
      </c>
      <c r="I193" s="18">
        <f t="shared" si="7"/>
        <v>13099.646803693202</v>
      </c>
      <c r="J193">
        <v>21687.650390999999</v>
      </c>
      <c r="K193" s="15">
        <v>121.75</v>
      </c>
      <c r="L193">
        <f t="shared" si="8"/>
        <v>178.13265208213551</v>
      </c>
    </row>
    <row r="194" spans="1:12" x14ac:dyDescent="0.3">
      <c r="A194" s="20">
        <v>192</v>
      </c>
      <c r="B194" s="4">
        <v>43413</v>
      </c>
      <c r="C194">
        <v>2781.01001</v>
      </c>
      <c r="D194">
        <v>25654.429688</v>
      </c>
      <c r="E194" s="14">
        <v>7.82</v>
      </c>
      <c r="F194" s="18">
        <f t="shared" si="6"/>
        <v>3280.6176071611253</v>
      </c>
      <c r="G194">
        <v>11529.160156</v>
      </c>
      <c r="H194">
        <v>1.1391</v>
      </c>
      <c r="I194" s="18">
        <f t="shared" si="7"/>
        <v>13132.8663336996</v>
      </c>
      <c r="J194">
        <v>22243.660156000002</v>
      </c>
      <c r="K194" s="15">
        <v>121.65</v>
      </c>
      <c r="L194">
        <f t="shared" si="8"/>
        <v>182.84965191944102</v>
      </c>
    </row>
    <row r="195" spans="1:12" x14ac:dyDescent="0.3">
      <c r="A195" s="20">
        <v>193</v>
      </c>
      <c r="B195" s="4">
        <v>43416</v>
      </c>
      <c r="C195">
        <v>2726.219971</v>
      </c>
      <c r="D195">
        <v>26103.339843999998</v>
      </c>
      <c r="E195" s="14">
        <v>7.82</v>
      </c>
      <c r="F195" s="18">
        <f t="shared" ref="F195:F258" si="9">D195/E195</f>
        <v>3338.022997953964</v>
      </c>
      <c r="G195">
        <v>11325.440430000001</v>
      </c>
      <c r="H195">
        <v>1.1406000000000001</v>
      </c>
      <c r="I195" s="18">
        <f t="shared" ref="I195:I258" si="10">G195*H195</f>
        <v>12917.797354458002</v>
      </c>
      <c r="J195">
        <v>21898.990234000001</v>
      </c>
      <c r="K195" s="15">
        <v>121.05</v>
      </c>
      <c r="L195">
        <f t="shared" ref="L195:L258" si="11">J195/K195</f>
        <v>180.90863472945065</v>
      </c>
    </row>
    <row r="196" spans="1:12" x14ac:dyDescent="0.3">
      <c r="A196" s="20">
        <v>194</v>
      </c>
      <c r="B196" s="4">
        <v>43417</v>
      </c>
      <c r="C196">
        <v>2722.179932</v>
      </c>
      <c r="D196">
        <v>26183.529297000001</v>
      </c>
      <c r="E196" s="14">
        <v>7.82</v>
      </c>
      <c r="F196" s="18">
        <f t="shared" si="9"/>
        <v>3348.27740370844</v>
      </c>
      <c r="G196">
        <v>11472.219727</v>
      </c>
      <c r="H196">
        <v>1.1332</v>
      </c>
      <c r="I196" s="18">
        <f t="shared" si="10"/>
        <v>13000.319394636399</v>
      </c>
      <c r="J196">
        <v>22147.75</v>
      </c>
      <c r="K196" s="15">
        <v>121.45</v>
      </c>
      <c r="L196">
        <f t="shared" si="11"/>
        <v>182.36105393165911</v>
      </c>
    </row>
    <row r="197" spans="1:12" x14ac:dyDescent="0.3">
      <c r="A197" s="20">
        <v>195</v>
      </c>
      <c r="B197" s="4">
        <v>43418</v>
      </c>
      <c r="C197">
        <v>2701.580078</v>
      </c>
      <c r="D197">
        <v>26372</v>
      </c>
      <c r="E197" s="14">
        <v>7.82</v>
      </c>
      <c r="F197" s="18">
        <f t="shared" si="9"/>
        <v>3372.3785166240409</v>
      </c>
      <c r="G197">
        <v>11412.530273</v>
      </c>
      <c r="H197">
        <v>1.1329</v>
      </c>
      <c r="I197" s="18">
        <f t="shared" si="10"/>
        <v>12929.2555462817</v>
      </c>
      <c r="J197">
        <v>22085.800781000002</v>
      </c>
      <c r="K197" s="15">
        <v>121.56</v>
      </c>
      <c r="L197">
        <f t="shared" si="11"/>
        <v>181.68641642810135</v>
      </c>
    </row>
    <row r="198" spans="1:12" x14ac:dyDescent="0.3">
      <c r="A198" s="20">
        <v>196</v>
      </c>
      <c r="B198" s="4">
        <v>43419</v>
      </c>
      <c r="C198">
        <v>2730.1999510000001</v>
      </c>
      <c r="D198">
        <v>25840.339843999998</v>
      </c>
      <c r="E198" s="14">
        <v>7.82</v>
      </c>
      <c r="F198" s="18">
        <f t="shared" si="9"/>
        <v>3304.3912843989765</v>
      </c>
      <c r="G198">
        <v>11353.669921999999</v>
      </c>
      <c r="H198">
        <v>1.1291</v>
      </c>
      <c r="I198" s="18">
        <f t="shared" si="10"/>
        <v>12819.4287089302</v>
      </c>
      <c r="J198">
        <v>22486.919922000001</v>
      </c>
      <c r="K198" s="15">
        <v>121.73</v>
      </c>
      <c r="L198">
        <f t="shared" si="11"/>
        <v>184.72783966154606</v>
      </c>
    </row>
    <row r="199" spans="1:12" x14ac:dyDescent="0.3">
      <c r="A199" s="20">
        <v>197</v>
      </c>
      <c r="B199" s="4">
        <v>43420</v>
      </c>
      <c r="C199">
        <v>2736.2700199999999</v>
      </c>
      <c r="D199">
        <v>25971.470702999999</v>
      </c>
      <c r="E199" s="14">
        <v>7.82</v>
      </c>
      <c r="F199" s="18">
        <f t="shared" si="9"/>
        <v>3321.1599364450126</v>
      </c>
      <c r="G199">
        <v>11341</v>
      </c>
      <c r="H199">
        <v>1.137</v>
      </c>
      <c r="I199" s="18">
        <f t="shared" si="10"/>
        <v>12894.717000000001</v>
      </c>
      <c r="J199">
        <v>22250.25</v>
      </c>
      <c r="K199" s="15">
        <v>121.76</v>
      </c>
      <c r="L199">
        <f t="shared" si="11"/>
        <v>182.73858409986858</v>
      </c>
    </row>
    <row r="200" spans="1:12" x14ac:dyDescent="0.3">
      <c r="A200" s="20">
        <v>198</v>
      </c>
      <c r="B200" s="4">
        <v>43423</v>
      </c>
      <c r="C200">
        <v>2690.7299800000001</v>
      </c>
      <c r="D200">
        <v>26019.410156000002</v>
      </c>
      <c r="E200" s="14">
        <v>7.82</v>
      </c>
      <c r="F200" s="18">
        <f t="shared" si="9"/>
        <v>3327.2903012787724</v>
      </c>
      <c r="G200">
        <v>11244.540039</v>
      </c>
      <c r="H200">
        <v>1.1383000000000001</v>
      </c>
      <c r="I200" s="18">
        <f t="shared" si="10"/>
        <v>12799.659926393701</v>
      </c>
      <c r="J200">
        <v>22269.880859000001</v>
      </c>
      <c r="K200" s="15">
        <v>122.33</v>
      </c>
      <c r="L200">
        <f t="shared" si="11"/>
        <v>182.04758325022482</v>
      </c>
    </row>
    <row r="201" spans="1:12" x14ac:dyDescent="0.3">
      <c r="A201" s="20">
        <v>199</v>
      </c>
      <c r="B201" s="4">
        <v>43424</v>
      </c>
      <c r="C201">
        <v>2641.889893</v>
      </c>
      <c r="D201">
        <v>25927.679688</v>
      </c>
      <c r="E201" s="14">
        <v>7.82</v>
      </c>
      <c r="F201" s="18">
        <f t="shared" si="9"/>
        <v>3315.5600624040922</v>
      </c>
      <c r="G201">
        <v>11066.410156</v>
      </c>
      <c r="H201">
        <v>1.1311</v>
      </c>
      <c r="I201" s="18">
        <f t="shared" si="10"/>
        <v>12517.216527451599</v>
      </c>
      <c r="J201">
        <v>21810.519531000002</v>
      </c>
      <c r="K201" s="15">
        <v>122.92</v>
      </c>
      <c r="L201">
        <f t="shared" si="11"/>
        <v>177.43670298568176</v>
      </c>
    </row>
    <row r="202" spans="1:12" x14ac:dyDescent="0.3">
      <c r="A202" s="20">
        <v>200</v>
      </c>
      <c r="B202" s="4">
        <v>43425</v>
      </c>
      <c r="C202">
        <v>2649.929932</v>
      </c>
      <c r="D202">
        <v>26376.179688</v>
      </c>
      <c r="E202" s="14">
        <v>7.82</v>
      </c>
      <c r="F202" s="18">
        <f t="shared" si="9"/>
        <v>3372.9130035805624</v>
      </c>
      <c r="G202">
        <v>11244.169921999999</v>
      </c>
      <c r="H202">
        <v>1.1339999999999999</v>
      </c>
      <c r="I202" s="18">
        <f t="shared" si="10"/>
        <v>12750.888691547998</v>
      </c>
      <c r="J202">
        <v>21846.480468999998</v>
      </c>
      <c r="K202" s="15">
        <v>123.52</v>
      </c>
      <c r="L202">
        <f t="shared" si="11"/>
        <v>176.865936439443</v>
      </c>
    </row>
    <row r="203" spans="1:12" x14ac:dyDescent="0.3">
      <c r="A203" s="20">
        <v>201</v>
      </c>
      <c r="B203" s="4">
        <v>43427</v>
      </c>
      <c r="C203">
        <v>2632.5600589999999</v>
      </c>
      <c r="D203">
        <v>26331.960938</v>
      </c>
      <c r="E203" s="14">
        <v>7.82</v>
      </c>
      <c r="F203" s="18">
        <f t="shared" si="9"/>
        <v>3367.2584319693092</v>
      </c>
      <c r="G203">
        <v>11138.490234000001</v>
      </c>
      <c r="H203">
        <v>1.1342000000000001</v>
      </c>
      <c r="I203" s="18">
        <f t="shared" si="10"/>
        <v>12633.275623402802</v>
      </c>
      <c r="J203">
        <v>21803.619140999999</v>
      </c>
      <c r="K203" s="15">
        <v>123.66</v>
      </c>
      <c r="L203">
        <f t="shared" si="11"/>
        <v>176.31909381368268</v>
      </c>
    </row>
    <row r="204" spans="1:12" x14ac:dyDescent="0.3">
      <c r="A204" s="20">
        <v>202</v>
      </c>
      <c r="B204" s="4">
        <v>43430</v>
      </c>
      <c r="C204">
        <v>2673.4499510000001</v>
      </c>
      <c r="D204">
        <v>26682.560547000001</v>
      </c>
      <c r="E204" s="14">
        <v>7.82</v>
      </c>
      <c r="F204" s="18">
        <f t="shared" si="9"/>
        <v>3412.0921415601024</v>
      </c>
      <c r="G204">
        <v>11192.690430000001</v>
      </c>
      <c r="H204">
        <v>1.1347</v>
      </c>
      <c r="I204" s="18">
        <f t="shared" si="10"/>
        <v>12700.345830921002</v>
      </c>
      <c r="J204">
        <v>21680.339843999998</v>
      </c>
      <c r="K204" s="15">
        <v>123.38</v>
      </c>
      <c r="L204">
        <f t="shared" si="11"/>
        <v>175.72005060787808</v>
      </c>
    </row>
    <row r="205" spans="1:12" x14ac:dyDescent="0.3">
      <c r="A205" s="20">
        <v>203</v>
      </c>
      <c r="B205" s="4">
        <v>43431</v>
      </c>
      <c r="C205">
        <v>2682.169922</v>
      </c>
      <c r="D205">
        <v>26451.029297000001</v>
      </c>
      <c r="E205" s="14">
        <v>7.82</v>
      </c>
      <c r="F205" s="18">
        <f t="shared" si="9"/>
        <v>3382.4845648337596</v>
      </c>
      <c r="G205">
        <v>11354.719727</v>
      </c>
      <c r="H205">
        <v>1.1379999999999999</v>
      </c>
      <c r="I205" s="18">
        <f t="shared" si="10"/>
        <v>12921.671049325998</v>
      </c>
      <c r="J205">
        <v>21821.160156000002</v>
      </c>
      <c r="K205" s="15">
        <v>123.65</v>
      </c>
      <c r="L205">
        <f t="shared" si="11"/>
        <v>176.47521355438738</v>
      </c>
    </row>
    <row r="206" spans="1:12" x14ac:dyDescent="0.3">
      <c r="A206" s="20">
        <v>204</v>
      </c>
      <c r="B206" s="4">
        <v>43432</v>
      </c>
      <c r="C206">
        <v>2743.790039</v>
      </c>
      <c r="D206">
        <v>26506.75</v>
      </c>
      <c r="E206" s="14">
        <v>7.82</v>
      </c>
      <c r="F206" s="18">
        <f t="shared" si="9"/>
        <v>3389.6099744245521</v>
      </c>
      <c r="G206">
        <v>11309.110352</v>
      </c>
      <c r="H206">
        <v>1.1412</v>
      </c>
      <c r="I206" s="18">
        <f t="shared" si="10"/>
        <v>12905.9567337024</v>
      </c>
      <c r="J206">
        <v>21583.119140999999</v>
      </c>
      <c r="K206" s="15">
        <v>123.66</v>
      </c>
      <c r="L206">
        <f t="shared" si="11"/>
        <v>174.53597882096071</v>
      </c>
    </row>
    <row r="207" spans="1:12" x14ac:dyDescent="0.3">
      <c r="A207" s="20">
        <v>205</v>
      </c>
      <c r="B207" s="4">
        <v>43433</v>
      </c>
      <c r="C207">
        <v>2737.8000489999999</v>
      </c>
      <c r="D207">
        <v>27182.039063</v>
      </c>
      <c r="E207" s="14">
        <v>7.82</v>
      </c>
      <c r="F207" s="18">
        <f t="shared" si="9"/>
        <v>3475.9640745524293</v>
      </c>
      <c r="G207">
        <v>11298.879883</v>
      </c>
      <c r="H207">
        <v>1.1352</v>
      </c>
      <c r="I207" s="18">
        <f t="shared" si="10"/>
        <v>12826.488443181599</v>
      </c>
      <c r="J207">
        <v>21507.539063</v>
      </c>
      <c r="K207" s="15">
        <v>124.09</v>
      </c>
      <c r="L207">
        <f t="shared" si="11"/>
        <v>173.32209737287451</v>
      </c>
    </row>
    <row r="208" spans="1:12" x14ac:dyDescent="0.3">
      <c r="A208" s="20">
        <v>206</v>
      </c>
      <c r="B208" s="4">
        <v>43434</v>
      </c>
      <c r="C208">
        <v>2760.169922</v>
      </c>
      <c r="D208">
        <v>27260.439452999999</v>
      </c>
      <c r="E208" s="14">
        <v>7.82</v>
      </c>
      <c r="F208" s="18">
        <f t="shared" si="9"/>
        <v>3485.9896998721224</v>
      </c>
      <c r="G208">
        <v>11298.230469</v>
      </c>
      <c r="H208">
        <v>1.1326000000000001</v>
      </c>
      <c r="I208" s="18">
        <f t="shared" si="10"/>
        <v>12796.375829189401</v>
      </c>
      <c r="J208">
        <v>21646.550781000002</v>
      </c>
      <c r="K208" s="15">
        <v>123.74</v>
      </c>
      <c r="L208">
        <f t="shared" si="11"/>
        <v>174.9357586956522</v>
      </c>
    </row>
    <row r="209" spans="1:12" x14ac:dyDescent="0.3">
      <c r="A209" s="20">
        <v>207</v>
      </c>
      <c r="B209" s="4">
        <v>43437</v>
      </c>
      <c r="C209">
        <v>2790.3701169999999</v>
      </c>
      <c r="D209">
        <v>26819.679688</v>
      </c>
      <c r="E209" s="14">
        <v>7.82</v>
      </c>
      <c r="F209" s="18">
        <f t="shared" si="9"/>
        <v>3429.6265585677747</v>
      </c>
      <c r="G209">
        <v>11257.240234000001</v>
      </c>
      <c r="H209">
        <v>1.1366000000000001</v>
      </c>
      <c r="I209" s="18">
        <f t="shared" si="10"/>
        <v>12794.979249964401</v>
      </c>
      <c r="J209">
        <v>21729.275390499999</v>
      </c>
      <c r="K209" s="15">
        <v>123.09</v>
      </c>
      <c r="L209">
        <f t="shared" si="11"/>
        <v>176.53160606466813</v>
      </c>
    </row>
    <row r="210" spans="1:12" x14ac:dyDescent="0.3">
      <c r="A210" s="20">
        <v>208</v>
      </c>
      <c r="B210" s="4">
        <v>43438</v>
      </c>
      <c r="C210">
        <v>2700.0600589999999</v>
      </c>
      <c r="D210">
        <v>26156.380859000001</v>
      </c>
      <c r="E210" s="14">
        <v>7.82</v>
      </c>
      <c r="F210" s="18">
        <f t="shared" si="9"/>
        <v>3344.8057364450128</v>
      </c>
      <c r="G210">
        <v>11465.459961</v>
      </c>
      <c r="H210">
        <v>1.1366000000000001</v>
      </c>
      <c r="I210" s="18">
        <f t="shared" si="10"/>
        <v>13031.6417916726</v>
      </c>
      <c r="J210">
        <v>21812</v>
      </c>
      <c r="K210" s="15">
        <v>122.48</v>
      </c>
      <c r="L210">
        <f t="shared" si="11"/>
        <v>178.08621815806663</v>
      </c>
    </row>
    <row r="211" spans="1:12" x14ac:dyDescent="0.3">
      <c r="A211" s="20">
        <v>209</v>
      </c>
      <c r="B211" s="4">
        <v>43440</v>
      </c>
      <c r="C211">
        <v>2695.9499510000001</v>
      </c>
      <c r="D211">
        <v>26063.759765999999</v>
      </c>
      <c r="E211" s="14">
        <v>7.82</v>
      </c>
      <c r="F211" s="18">
        <f t="shared" si="9"/>
        <v>3332.9616069053704</v>
      </c>
      <c r="G211">
        <v>11335.320313</v>
      </c>
      <c r="H211">
        <v>1.1306</v>
      </c>
      <c r="I211" s="18">
        <f t="shared" si="10"/>
        <v>12815.7131458778</v>
      </c>
      <c r="J211">
        <v>21952.400390999999</v>
      </c>
      <c r="K211" s="15">
        <v>122.97</v>
      </c>
      <c r="L211">
        <f t="shared" si="11"/>
        <v>178.51834098560624</v>
      </c>
    </row>
    <row r="212" spans="1:12" x14ac:dyDescent="0.3">
      <c r="A212" s="20">
        <v>210</v>
      </c>
      <c r="B212" s="4">
        <v>43441</v>
      </c>
      <c r="C212">
        <v>2633.080078</v>
      </c>
      <c r="D212">
        <v>25752.380859000001</v>
      </c>
      <c r="E212" s="14">
        <v>7.82</v>
      </c>
      <c r="F212" s="18">
        <f t="shared" si="9"/>
        <v>3293.1433323529413</v>
      </c>
      <c r="G212">
        <v>11200.240234000001</v>
      </c>
      <c r="H212">
        <v>1.1348</v>
      </c>
      <c r="I212" s="18">
        <f t="shared" si="10"/>
        <v>12710.032617543202</v>
      </c>
      <c r="J212">
        <v>22177.019531000002</v>
      </c>
      <c r="K212" s="15">
        <v>123.51</v>
      </c>
      <c r="L212">
        <f t="shared" si="11"/>
        <v>179.55646936280465</v>
      </c>
    </row>
    <row r="213" spans="1:12" x14ac:dyDescent="0.3">
      <c r="A213" s="20">
        <v>211</v>
      </c>
      <c r="B213" s="4">
        <v>43444</v>
      </c>
      <c r="C213">
        <v>2637.719971</v>
      </c>
      <c r="D213">
        <v>25771.669922000001</v>
      </c>
      <c r="E213" s="14">
        <v>7.82</v>
      </c>
      <c r="F213" s="18">
        <f t="shared" si="9"/>
        <v>3295.6099644501278</v>
      </c>
      <c r="G213">
        <v>10810.980469</v>
      </c>
      <c r="H213">
        <v>1.1353</v>
      </c>
      <c r="I213" s="18">
        <f t="shared" si="10"/>
        <v>12273.7061264557</v>
      </c>
      <c r="J213">
        <v>22262.599609000001</v>
      </c>
      <c r="K213" s="15">
        <v>122.31</v>
      </c>
      <c r="L213">
        <f t="shared" si="11"/>
        <v>182.01782036628239</v>
      </c>
    </row>
    <row r="214" spans="1:12" x14ac:dyDescent="0.3">
      <c r="A214" s="20">
        <v>212</v>
      </c>
      <c r="B214" s="4">
        <v>43445</v>
      </c>
      <c r="C214">
        <v>2636.780029</v>
      </c>
      <c r="D214">
        <v>26186.710938</v>
      </c>
      <c r="E214" s="14">
        <v>7.82</v>
      </c>
      <c r="F214" s="18">
        <f t="shared" si="9"/>
        <v>3348.6842631713553</v>
      </c>
      <c r="G214">
        <v>10788.089844</v>
      </c>
      <c r="H214">
        <v>1.1378999999999999</v>
      </c>
      <c r="I214" s="18">
        <f t="shared" si="10"/>
        <v>12275.767433487599</v>
      </c>
      <c r="J214">
        <v>22351.060547000001</v>
      </c>
      <c r="K214" s="15">
        <v>122.33</v>
      </c>
      <c r="L214">
        <f t="shared" si="11"/>
        <v>182.71119551213931</v>
      </c>
    </row>
    <row r="215" spans="1:12" x14ac:dyDescent="0.3">
      <c r="A215" s="20">
        <v>213</v>
      </c>
      <c r="B215" s="4">
        <v>43446</v>
      </c>
      <c r="C215">
        <v>2651.070068</v>
      </c>
      <c r="D215">
        <v>26524.349609000001</v>
      </c>
      <c r="E215" s="14">
        <v>7.82</v>
      </c>
      <c r="F215" s="18">
        <f t="shared" si="9"/>
        <v>3391.8605638107415</v>
      </c>
      <c r="G215">
        <v>10622.070313</v>
      </c>
      <c r="H215">
        <v>1.1469</v>
      </c>
      <c r="I215" s="18">
        <f t="shared" si="10"/>
        <v>12182.4524419797</v>
      </c>
      <c r="J215">
        <v>22574.759765999999</v>
      </c>
      <c r="K215" s="15">
        <v>122.82</v>
      </c>
      <c r="L215">
        <f t="shared" si="11"/>
        <v>183.80361314118221</v>
      </c>
    </row>
    <row r="216" spans="1:12" x14ac:dyDescent="0.3">
      <c r="A216" s="20">
        <v>214</v>
      </c>
      <c r="B216" s="4">
        <v>43447</v>
      </c>
      <c r="C216">
        <v>2650.540039</v>
      </c>
      <c r="D216">
        <v>26094.789063</v>
      </c>
      <c r="E216" s="14">
        <v>7.82</v>
      </c>
      <c r="F216" s="18">
        <f t="shared" si="9"/>
        <v>3336.9295476982097</v>
      </c>
      <c r="G216">
        <v>10780.509765999999</v>
      </c>
      <c r="H216">
        <v>1.1371</v>
      </c>
      <c r="I216" s="18">
        <f t="shared" si="10"/>
        <v>12258.5176549186</v>
      </c>
      <c r="J216">
        <v>22036.050781000002</v>
      </c>
      <c r="K216" s="15">
        <v>123.2</v>
      </c>
      <c r="L216">
        <f t="shared" si="11"/>
        <v>178.86404854707794</v>
      </c>
    </row>
    <row r="217" spans="1:12" x14ac:dyDescent="0.3">
      <c r="A217" s="20">
        <v>215</v>
      </c>
      <c r="B217" s="4">
        <v>43448</v>
      </c>
      <c r="C217">
        <v>2599.9499510000001</v>
      </c>
      <c r="D217">
        <v>26087.980468999998</v>
      </c>
      <c r="E217" s="14">
        <v>7.82</v>
      </c>
      <c r="F217" s="18">
        <f t="shared" si="9"/>
        <v>3336.0588835038361</v>
      </c>
      <c r="G217">
        <v>10929.429688</v>
      </c>
      <c r="H217">
        <v>1.1415</v>
      </c>
      <c r="I217" s="18">
        <f t="shared" si="10"/>
        <v>12475.943988851999</v>
      </c>
      <c r="J217">
        <v>21919.330077999999</v>
      </c>
      <c r="K217" s="15">
        <v>123.31</v>
      </c>
      <c r="L217">
        <f t="shared" si="11"/>
        <v>177.75792780796365</v>
      </c>
    </row>
    <row r="218" spans="1:12" x14ac:dyDescent="0.3">
      <c r="A218" s="20">
        <v>216</v>
      </c>
      <c r="B218" s="4">
        <v>43451</v>
      </c>
      <c r="C218">
        <v>2545.9399410000001</v>
      </c>
      <c r="D218">
        <v>25814.25</v>
      </c>
      <c r="E218" s="14">
        <v>7.82</v>
      </c>
      <c r="F218" s="18">
        <f t="shared" si="9"/>
        <v>3301.054987212276</v>
      </c>
      <c r="G218">
        <v>10924.700194999999</v>
      </c>
      <c r="H218">
        <v>1.1397999999999999</v>
      </c>
      <c r="I218" s="18">
        <f t="shared" si="10"/>
        <v>12451.973282260999</v>
      </c>
      <c r="J218">
        <v>21501.619140999999</v>
      </c>
      <c r="K218" s="15">
        <v>122.08</v>
      </c>
      <c r="L218">
        <f t="shared" si="11"/>
        <v>176.12728654161205</v>
      </c>
    </row>
    <row r="219" spans="1:12" x14ac:dyDescent="0.3">
      <c r="A219" s="20">
        <v>217</v>
      </c>
      <c r="B219" s="4">
        <v>43452</v>
      </c>
      <c r="C219">
        <v>2546.1599120000001</v>
      </c>
      <c r="D219">
        <v>25865.390625</v>
      </c>
      <c r="E219" s="14">
        <v>7.82</v>
      </c>
      <c r="F219" s="18">
        <f t="shared" si="9"/>
        <v>3307.5947090792838</v>
      </c>
      <c r="G219">
        <v>10865.769531</v>
      </c>
      <c r="H219">
        <v>1.1355</v>
      </c>
      <c r="I219" s="18">
        <f t="shared" si="10"/>
        <v>12338.081302450499</v>
      </c>
      <c r="J219">
        <v>21678.679688</v>
      </c>
      <c r="K219" s="15">
        <v>121.84</v>
      </c>
      <c r="L219">
        <f t="shared" si="11"/>
        <v>177.92744326986212</v>
      </c>
    </row>
    <row r="220" spans="1:12" x14ac:dyDescent="0.3">
      <c r="A220" s="20">
        <v>218</v>
      </c>
      <c r="B220" s="4">
        <v>43453</v>
      </c>
      <c r="C220">
        <v>2506.959961</v>
      </c>
      <c r="D220">
        <v>25623.529297000001</v>
      </c>
      <c r="E220" s="14">
        <v>7.82</v>
      </c>
      <c r="F220" s="18">
        <f t="shared" si="9"/>
        <v>3276.6661505115089</v>
      </c>
      <c r="G220">
        <v>10772.200194999999</v>
      </c>
      <c r="H220">
        <v>1.1445000000000001</v>
      </c>
      <c r="I220" s="18">
        <f t="shared" si="10"/>
        <v>12328.7831231775</v>
      </c>
      <c r="J220">
        <v>21219.5</v>
      </c>
      <c r="K220" s="15">
        <v>122.46</v>
      </c>
      <c r="L220">
        <f t="shared" si="11"/>
        <v>173.27698840437694</v>
      </c>
    </row>
    <row r="221" spans="1:12" x14ac:dyDescent="0.3">
      <c r="A221" s="20">
        <v>219</v>
      </c>
      <c r="B221" s="4">
        <v>43454</v>
      </c>
      <c r="C221">
        <v>2467.419922</v>
      </c>
      <c r="D221">
        <v>25753.419922000001</v>
      </c>
      <c r="E221" s="14">
        <v>7.82</v>
      </c>
      <c r="F221" s="18">
        <f t="shared" si="9"/>
        <v>3293.2762048593349</v>
      </c>
      <c r="G221">
        <v>10740.889648</v>
      </c>
      <c r="H221">
        <v>1.1440999999999999</v>
      </c>
      <c r="I221" s="18">
        <f t="shared" si="10"/>
        <v>12288.6518462768</v>
      </c>
      <c r="J221">
        <v>21148.019531000002</v>
      </c>
      <c r="K221" s="15">
        <v>122.24</v>
      </c>
      <c r="L221">
        <f t="shared" si="11"/>
        <v>173.00408647742148</v>
      </c>
    </row>
    <row r="222" spans="1:12" x14ac:dyDescent="0.3">
      <c r="A222" s="20">
        <v>220</v>
      </c>
      <c r="B222" s="4">
        <v>43455</v>
      </c>
      <c r="C222">
        <v>2416.6201169999999</v>
      </c>
      <c r="D222">
        <v>25651.380859000001</v>
      </c>
      <c r="E222" s="14">
        <v>7.82</v>
      </c>
      <c r="F222" s="18">
        <f t="shared" si="9"/>
        <v>3280.2277313299232</v>
      </c>
      <c r="G222">
        <v>10766.209961</v>
      </c>
      <c r="H222">
        <v>1.1445000000000001</v>
      </c>
      <c r="I222" s="18">
        <f t="shared" si="10"/>
        <v>12321.927300364501</v>
      </c>
      <c r="J222">
        <v>21602.75</v>
      </c>
      <c r="K222" s="15">
        <v>122.22</v>
      </c>
      <c r="L222">
        <f t="shared" si="11"/>
        <v>176.75298641793486</v>
      </c>
    </row>
    <row r="223" spans="1:12" x14ac:dyDescent="0.3">
      <c r="A223" s="20">
        <v>221</v>
      </c>
      <c r="B223" s="4">
        <v>43458</v>
      </c>
      <c r="C223">
        <v>2351.1000979999999</v>
      </c>
      <c r="D223">
        <v>25478.880859000001</v>
      </c>
      <c r="E223" s="14">
        <v>7.82</v>
      </c>
      <c r="F223" s="18">
        <f t="shared" si="9"/>
        <v>3258.1689078005115</v>
      </c>
      <c r="G223">
        <v>10611.099609000001</v>
      </c>
      <c r="H223">
        <v>1.1424000000000001</v>
      </c>
      <c r="I223" s="18">
        <f t="shared" si="10"/>
        <v>12122.120193321602</v>
      </c>
      <c r="J223">
        <v>21816.189452999999</v>
      </c>
      <c r="K223" s="15">
        <v>121.83</v>
      </c>
      <c r="L223">
        <f t="shared" si="11"/>
        <v>179.0707498399409</v>
      </c>
    </row>
    <row r="224" spans="1:12" x14ac:dyDescent="0.3">
      <c r="A224" s="20">
        <v>222</v>
      </c>
      <c r="B224" s="4">
        <v>43460</v>
      </c>
      <c r="C224">
        <v>2467.6999510000001</v>
      </c>
      <c r="D224">
        <v>25504.199218999998</v>
      </c>
      <c r="E224" s="14">
        <v>7.82</v>
      </c>
      <c r="F224" s="18">
        <f t="shared" si="9"/>
        <v>3261.4065497442452</v>
      </c>
      <c r="G224">
        <v>10633.820313</v>
      </c>
      <c r="H224">
        <v>1.1341000000000001</v>
      </c>
      <c r="I224" s="18">
        <f t="shared" si="10"/>
        <v>12059.815616973301</v>
      </c>
      <c r="J224">
        <v>21374.830077999999</v>
      </c>
      <c r="K224" s="15">
        <v>122.01</v>
      </c>
      <c r="L224">
        <f t="shared" si="11"/>
        <v>175.18916546184738</v>
      </c>
    </row>
    <row r="225" spans="1:12" x14ac:dyDescent="0.3">
      <c r="A225" s="20">
        <v>223</v>
      </c>
      <c r="B225" s="4">
        <v>43461</v>
      </c>
      <c r="C225">
        <v>2488.830078</v>
      </c>
      <c r="D225">
        <v>25845.699218999998</v>
      </c>
      <c r="E225" s="14">
        <v>7.82</v>
      </c>
      <c r="F225" s="18">
        <f t="shared" si="9"/>
        <v>3305.0766264705881</v>
      </c>
      <c r="G225">
        <v>10381.509765999999</v>
      </c>
      <c r="H225">
        <v>1.1395999999999999</v>
      </c>
      <c r="I225" s="18">
        <f t="shared" si="10"/>
        <v>11830.768529333598</v>
      </c>
      <c r="J225">
        <v>21506.880859000001</v>
      </c>
      <c r="K225" s="15">
        <v>121.2</v>
      </c>
      <c r="L225">
        <f t="shared" si="11"/>
        <v>177.44951203795381</v>
      </c>
    </row>
    <row r="226" spans="1:12" x14ac:dyDescent="0.3">
      <c r="A226" s="20">
        <v>224</v>
      </c>
      <c r="B226" s="4">
        <v>43462</v>
      </c>
      <c r="C226">
        <v>2485.73999</v>
      </c>
      <c r="D226">
        <v>25130.349609000001</v>
      </c>
      <c r="E226" s="14">
        <v>7.82</v>
      </c>
      <c r="F226" s="18">
        <f t="shared" si="9"/>
        <v>3213.5996942455245</v>
      </c>
      <c r="G226">
        <v>10558.959961</v>
      </c>
      <c r="H226">
        <v>1.1395999999999999</v>
      </c>
      <c r="I226" s="18">
        <f t="shared" si="10"/>
        <v>12032.9907715556</v>
      </c>
      <c r="J226">
        <v>21115.449218999998</v>
      </c>
      <c r="K226" s="15">
        <v>121.35</v>
      </c>
      <c r="L226">
        <f t="shared" si="11"/>
        <v>174.00452590852905</v>
      </c>
    </row>
    <row r="227" spans="1:12" x14ac:dyDescent="0.3">
      <c r="A227" s="20">
        <v>225</v>
      </c>
      <c r="B227" s="4">
        <v>43465</v>
      </c>
      <c r="C227">
        <v>2506.8500979999999</v>
      </c>
      <c r="D227">
        <v>25064.359375</v>
      </c>
      <c r="E227" s="14">
        <v>7.82</v>
      </c>
      <c r="F227" s="18">
        <f t="shared" si="9"/>
        <v>3205.1610453964195</v>
      </c>
      <c r="G227">
        <v>10580.190430000001</v>
      </c>
      <c r="H227">
        <v>1.1476</v>
      </c>
      <c r="I227" s="18">
        <f t="shared" si="10"/>
        <v>12141.826537468</v>
      </c>
      <c r="J227">
        <v>20987.919922000001</v>
      </c>
      <c r="K227" s="15">
        <v>120.66</v>
      </c>
      <c r="L227">
        <f t="shared" si="11"/>
        <v>173.94264811868061</v>
      </c>
    </row>
    <row r="228" spans="1:12" x14ac:dyDescent="0.3">
      <c r="A228" s="20">
        <v>226</v>
      </c>
      <c r="B228" s="4">
        <v>43467</v>
      </c>
      <c r="C228">
        <v>2510.030029</v>
      </c>
      <c r="D228">
        <v>25626.029297000001</v>
      </c>
      <c r="E228" s="14">
        <v>7.82</v>
      </c>
      <c r="F228" s="18">
        <f t="shared" si="9"/>
        <v>3276.9858436061381</v>
      </c>
      <c r="G228">
        <v>10416.660156</v>
      </c>
      <c r="H228">
        <v>1.1438999999999999</v>
      </c>
      <c r="I228" s="18">
        <f t="shared" si="10"/>
        <v>11915.617552448399</v>
      </c>
      <c r="J228">
        <v>20392.580077999999</v>
      </c>
      <c r="K228" s="15">
        <v>120.25</v>
      </c>
      <c r="L228">
        <f t="shared" si="11"/>
        <v>169.58486551351351</v>
      </c>
    </row>
    <row r="229" spans="1:12" x14ac:dyDescent="0.3">
      <c r="A229" s="20">
        <v>227</v>
      </c>
      <c r="B229" s="4">
        <v>43468</v>
      </c>
      <c r="C229">
        <v>2447.889893</v>
      </c>
      <c r="D229">
        <v>25835.699218999998</v>
      </c>
      <c r="E229" s="14">
        <v>7.82</v>
      </c>
      <c r="F229" s="18">
        <f t="shared" si="9"/>
        <v>3303.7978540920712</v>
      </c>
      <c r="G229">
        <v>10767.690430000001</v>
      </c>
      <c r="H229">
        <v>1.1539999999999999</v>
      </c>
      <c r="I229" s="18">
        <f t="shared" si="10"/>
        <v>12425.91475622</v>
      </c>
      <c r="J229">
        <v>20166.189452999999</v>
      </c>
      <c r="K229" s="15">
        <v>119.31</v>
      </c>
      <c r="L229">
        <f t="shared" si="11"/>
        <v>169.02346369122452</v>
      </c>
    </row>
    <row r="230" spans="1:12" x14ac:dyDescent="0.3">
      <c r="A230" s="20">
        <v>228</v>
      </c>
      <c r="B230" s="4">
        <v>43469</v>
      </c>
      <c r="C230">
        <v>2531.9399410000001</v>
      </c>
      <c r="D230">
        <v>25875.449218999998</v>
      </c>
      <c r="E230" s="14">
        <v>7.82</v>
      </c>
      <c r="F230" s="18">
        <f t="shared" si="9"/>
        <v>3308.880974296675</v>
      </c>
      <c r="G230">
        <v>10747.809569999999</v>
      </c>
      <c r="H230">
        <v>1.1496999999999999</v>
      </c>
      <c r="I230" s="18">
        <f t="shared" si="10"/>
        <v>12356.756662628999</v>
      </c>
      <c r="J230">
        <v>19660.964843499998</v>
      </c>
      <c r="K230" s="15">
        <v>118.8</v>
      </c>
      <c r="L230">
        <f t="shared" si="11"/>
        <v>165.49633706649831</v>
      </c>
    </row>
    <row r="231" spans="1:12" x14ac:dyDescent="0.3">
      <c r="A231" s="20">
        <v>229</v>
      </c>
      <c r="B231" s="4">
        <v>43472</v>
      </c>
      <c r="C231">
        <v>2549.6899410000001</v>
      </c>
      <c r="D231">
        <v>26462.320313</v>
      </c>
      <c r="E231" s="14">
        <v>7.82</v>
      </c>
      <c r="F231" s="18">
        <f t="shared" si="9"/>
        <v>3383.9284287723785</v>
      </c>
      <c r="G231">
        <v>10803.980469</v>
      </c>
      <c r="H231">
        <v>1.1462000000000001</v>
      </c>
      <c r="I231" s="18">
        <f t="shared" si="10"/>
        <v>12383.522413567802</v>
      </c>
      <c r="J231">
        <v>19155.740234000001</v>
      </c>
      <c r="K231" s="15">
        <v>118.46</v>
      </c>
      <c r="L231">
        <f t="shared" si="11"/>
        <v>161.70640075975015</v>
      </c>
    </row>
    <row r="232" spans="1:12" x14ac:dyDescent="0.3">
      <c r="A232" s="20">
        <v>230</v>
      </c>
      <c r="B232" s="4">
        <v>43473</v>
      </c>
      <c r="C232">
        <v>2574.4099120000001</v>
      </c>
      <c r="D232">
        <v>26521.429688</v>
      </c>
      <c r="E232" s="14">
        <v>7.82</v>
      </c>
      <c r="F232" s="18">
        <f t="shared" si="9"/>
        <v>3391.4871723785163</v>
      </c>
      <c r="G232">
        <v>10893.320313</v>
      </c>
      <c r="H232">
        <v>1.1464000000000001</v>
      </c>
      <c r="I232" s="18">
        <f t="shared" si="10"/>
        <v>12488.102406823202</v>
      </c>
      <c r="J232">
        <v>19327.060547000001</v>
      </c>
      <c r="K232" s="15">
        <v>119.07</v>
      </c>
      <c r="L232">
        <f t="shared" si="11"/>
        <v>162.31679303770892</v>
      </c>
    </row>
    <row r="233" spans="1:12" x14ac:dyDescent="0.3">
      <c r="A233" s="20">
        <v>231</v>
      </c>
      <c r="B233" s="4">
        <v>43474</v>
      </c>
      <c r="C233">
        <v>2584.959961</v>
      </c>
      <c r="D233">
        <v>26667.269531000002</v>
      </c>
      <c r="E233" s="14">
        <v>7.82</v>
      </c>
      <c r="F233" s="18">
        <f t="shared" si="9"/>
        <v>3410.1367686700769</v>
      </c>
      <c r="G233">
        <v>10921.589844</v>
      </c>
      <c r="H233">
        <v>1.1407</v>
      </c>
      <c r="I233" s="18">
        <f t="shared" si="10"/>
        <v>12458.257535050801</v>
      </c>
      <c r="J233">
        <v>20077.619140999999</v>
      </c>
      <c r="K233" s="15">
        <v>118.55</v>
      </c>
      <c r="L233">
        <f t="shared" si="11"/>
        <v>169.35992527203712</v>
      </c>
    </row>
    <row r="234" spans="1:12" x14ac:dyDescent="0.3">
      <c r="A234" s="20">
        <v>232</v>
      </c>
      <c r="B234" s="4">
        <v>43475</v>
      </c>
      <c r="C234">
        <v>2596.639893</v>
      </c>
      <c r="D234">
        <v>26298.330077999999</v>
      </c>
      <c r="E234" s="14">
        <v>7.82</v>
      </c>
      <c r="F234" s="18">
        <f t="shared" si="9"/>
        <v>3362.9578104859334</v>
      </c>
      <c r="G234">
        <v>10887.459961</v>
      </c>
      <c r="H234">
        <v>1.1398999999999999</v>
      </c>
      <c r="I234" s="18">
        <f t="shared" si="10"/>
        <v>12410.6156095439</v>
      </c>
      <c r="J234">
        <v>20014.769531000002</v>
      </c>
      <c r="K234" s="15">
        <v>118.99</v>
      </c>
      <c r="L234">
        <f t="shared" si="11"/>
        <v>168.20547551054713</v>
      </c>
    </row>
    <row r="235" spans="1:12" x14ac:dyDescent="0.3">
      <c r="A235" s="20">
        <v>233</v>
      </c>
      <c r="B235" s="4">
        <v>43476</v>
      </c>
      <c r="C235">
        <v>2596.26001</v>
      </c>
      <c r="D235">
        <v>26830.289063</v>
      </c>
      <c r="E235" s="14">
        <v>7.82</v>
      </c>
      <c r="F235" s="18">
        <f t="shared" si="9"/>
        <v>3430.9832561381072</v>
      </c>
      <c r="G235">
        <v>10855.910156</v>
      </c>
      <c r="H235">
        <v>1.139</v>
      </c>
      <c r="I235" s="18">
        <f t="shared" si="10"/>
        <v>12364.881667684</v>
      </c>
      <c r="J235">
        <v>19788.365234500001</v>
      </c>
      <c r="K235" s="15">
        <v>118.37</v>
      </c>
      <c r="L235">
        <f t="shared" si="11"/>
        <v>167.17382136098675</v>
      </c>
    </row>
    <row r="236" spans="1:12" x14ac:dyDescent="0.3">
      <c r="A236" s="20">
        <v>234</v>
      </c>
      <c r="B236" s="4">
        <v>43479</v>
      </c>
      <c r="C236">
        <v>2582.610107</v>
      </c>
      <c r="D236">
        <v>26902.099609000001</v>
      </c>
      <c r="E236" s="14">
        <v>7.82</v>
      </c>
      <c r="F236" s="18">
        <f t="shared" si="9"/>
        <v>3440.166190409207</v>
      </c>
      <c r="G236">
        <v>10891.790039</v>
      </c>
      <c r="H236">
        <v>1.1363000000000001</v>
      </c>
      <c r="I236" s="18">
        <f t="shared" si="10"/>
        <v>12376.3410213157</v>
      </c>
      <c r="J236">
        <v>19561.960938</v>
      </c>
      <c r="K236" s="15">
        <v>117.8</v>
      </c>
      <c r="L236">
        <f t="shared" si="11"/>
        <v>166.06078894736842</v>
      </c>
    </row>
    <row r="237" spans="1:12" x14ac:dyDescent="0.3">
      <c r="A237" s="20">
        <v>235</v>
      </c>
      <c r="B237" s="4">
        <v>43480</v>
      </c>
      <c r="C237">
        <v>2610.3000489999999</v>
      </c>
      <c r="D237">
        <v>26755.630859000001</v>
      </c>
      <c r="E237" s="14">
        <v>7.82</v>
      </c>
      <c r="F237" s="18">
        <f t="shared" si="9"/>
        <v>3421.4361712276213</v>
      </c>
      <c r="G237">
        <v>10931.240234000001</v>
      </c>
      <c r="H237">
        <v>1.1368</v>
      </c>
      <c r="I237" s="18">
        <f t="shared" si="10"/>
        <v>12426.633898011201</v>
      </c>
      <c r="J237">
        <v>20038.970702999999</v>
      </c>
      <c r="K237" s="15">
        <v>118.4</v>
      </c>
      <c r="L237">
        <f t="shared" si="11"/>
        <v>169.24806336993242</v>
      </c>
    </row>
    <row r="238" spans="1:12" x14ac:dyDescent="0.3">
      <c r="A238" s="20">
        <v>236</v>
      </c>
      <c r="B238" s="4">
        <v>43481</v>
      </c>
      <c r="C238">
        <v>2616.1000979999999</v>
      </c>
      <c r="D238">
        <v>27090.810547000001</v>
      </c>
      <c r="E238" s="14">
        <v>7.82</v>
      </c>
      <c r="F238" s="18">
        <f t="shared" si="9"/>
        <v>3464.2980239130434</v>
      </c>
      <c r="G238">
        <v>10918.620117</v>
      </c>
      <c r="H238">
        <v>1.1361000000000001</v>
      </c>
      <c r="I238" s="18">
        <f t="shared" si="10"/>
        <v>12404.644314923702</v>
      </c>
      <c r="J238">
        <v>20204.039063</v>
      </c>
      <c r="K238" s="15">
        <v>119.64</v>
      </c>
      <c r="L238">
        <f t="shared" si="11"/>
        <v>168.87361303075895</v>
      </c>
    </row>
    <row r="239" spans="1:12" x14ac:dyDescent="0.3">
      <c r="A239" s="20">
        <v>237</v>
      </c>
      <c r="B239" s="4">
        <v>43482</v>
      </c>
      <c r="C239">
        <v>2635.959961</v>
      </c>
      <c r="D239">
        <v>27196.539063</v>
      </c>
      <c r="E239" s="14">
        <v>7.82</v>
      </c>
      <c r="F239" s="18">
        <f t="shared" si="9"/>
        <v>3477.8182945012786</v>
      </c>
      <c r="G239">
        <v>11205.540039</v>
      </c>
      <c r="H239">
        <v>1.1380999999999999</v>
      </c>
      <c r="I239" s="18">
        <f t="shared" si="10"/>
        <v>12753.025118385898</v>
      </c>
      <c r="J239">
        <v>20427.060547000001</v>
      </c>
      <c r="K239" s="15">
        <v>118.66</v>
      </c>
      <c r="L239">
        <f t="shared" si="11"/>
        <v>172.14782190291589</v>
      </c>
    </row>
    <row r="240" spans="1:12" x14ac:dyDescent="0.3">
      <c r="A240" s="20">
        <v>238</v>
      </c>
      <c r="B240" s="4">
        <v>43483</v>
      </c>
      <c r="C240">
        <v>2670.709961</v>
      </c>
      <c r="D240">
        <v>27005.449218999998</v>
      </c>
      <c r="E240" s="14">
        <v>7.82</v>
      </c>
      <c r="F240" s="18">
        <f t="shared" si="9"/>
        <v>3453.3822530690531</v>
      </c>
      <c r="G240">
        <v>11136.200194999999</v>
      </c>
      <c r="H240">
        <v>1.1299999999999999</v>
      </c>
      <c r="I240" s="18">
        <f t="shared" si="10"/>
        <v>12583.906220349998</v>
      </c>
      <c r="J240">
        <v>20163.800781000002</v>
      </c>
      <c r="K240" s="15">
        <v>117.78</v>
      </c>
      <c r="L240">
        <f t="shared" si="11"/>
        <v>171.19885193581254</v>
      </c>
    </row>
    <row r="241" spans="1:12" x14ac:dyDescent="0.3">
      <c r="A241" s="20">
        <v>239</v>
      </c>
      <c r="B241" s="4">
        <v>43487</v>
      </c>
      <c r="C241">
        <v>2632.8999020000001</v>
      </c>
      <c r="D241">
        <v>27008.199218999998</v>
      </c>
      <c r="E241" s="14">
        <v>7.82</v>
      </c>
      <c r="F241" s="18">
        <f t="shared" si="9"/>
        <v>3453.7339154731453</v>
      </c>
      <c r="G241">
        <v>11090.110352</v>
      </c>
      <c r="H241">
        <v>1.1406000000000001</v>
      </c>
      <c r="I241" s="18">
        <f t="shared" si="10"/>
        <v>12649.3798674912</v>
      </c>
      <c r="J241">
        <v>20359.699218999998</v>
      </c>
      <c r="K241" s="15">
        <v>118.37</v>
      </c>
      <c r="L241">
        <f t="shared" si="11"/>
        <v>172.00050028723493</v>
      </c>
    </row>
    <row r="242" spans="1:12" x14ac:dyDescent="0.3">
      <c r="A242" s="20">
        <v>240</v>
      </c>
      <c r="B242" s="4">
        <v>43488</v>
      </c>
      <c r="C242">
        <v>2638.6999510000001</v>
      </c>
      <c r="D242">
        <v>27120.980468999998</v>
      </c>
      <c r="E242" s="14">
        <v>7.82</v>
      </c>
      <c r="F242" s="18">
        <f t="shared" si="9"/>
        <v>3468.1560702046031</v>
      </c>
      <c r="G242">
        <v>11071.540039</v>
      </c>
      <c r="H242">
        <v>1.1426000000000001</v>
      </c>
      <c r="I242" s="18">
        <f t="shared" si="10"/>
        <v>12650.3416485614</v>
      </c>
      <c r="J242">
        <v>20555.289063</v>
      </c>
      <c r="K242" s="15">
        <v>117.93</v>
      </c>
      <c r="L242">
        <f t="shared" si="11"/>
        <v>174.30076369880436</v>
      </c>
    </row>
    <row r="243" spans="1:12" x14ac:dyDescent="0.3">
      <c r="A243" s="20">
        <v>241</v>
      </c>
      <c r="B243" s="4">
        <v>43489</v>
      </c>
      <c r="C243">
        <v>2642.330078</v>
      </c>
      <c r="D243">
        <v>27345.084961</v>
      </c>
      <c r="E243" s="14">
        <v>7.82</v>
      </c>
      <c r="F243" s="18">
        <f t="shared" si="9"/>
        <v>3496.8139336317136</v>
      </c>
      <c r="G243">
        <v>11130.179688</v>
      </c>
      <c r="H243">
        <v>1.1433</v>
      </c>
      <c r="I243" s="18">
        <f t="shared" si="10"/>
        <v>12725.1344372904</v>
      </c>
      <c r="J243">
        <v>20442.75</v>
      </c>
      <c r="K243" s="15">
        <v>117.25</v>
      </c>
      <c r="L243">
        <f t="shared" si="11"/>
        <v>174.35181236673773</v>
      </c>
    </row>
    <row r="244" spans="1:12" x14ac:dyDescent="0.3">
      <c r="A244" s="20">
        <v>242</v>
      </c>
      <c r="B244" s="4">
        <v>43490</v>
      </c>
      <c r="C244">
        <v>2664.76001</v>
      </c>
      <c r="D244">
        <v>27569.189452999999</v>
      </c>
      <c r="E244" s="14">
        <v>7.82</v>
      </c>
      <c r="F244" s="18">
        <f t="shared" si="9"/>
        <v>3525.4717970588231</v>
      </c>
      <c r="G244">
        <v>11281.790039</v>
      </c>
      <c r="H244">
        <v>1.1479999999999999</v>
      </c>
      <c r="I244" s="18">
        <f t="shared" si="10"/>
        <v>12951.494964771999</v>
      </c>
      <c r="J244">
        <v>20402.269531000002</v>
      </c>
      <c r="K244" s="15">
        <v>114.23</v>
      </c>
      <c r="L244">
        <f t="shared" si="11"/>
        <v>178.60692927427121</v>
      </c>
    </row>
    <row r="245" spans="1:12" x14ac:dyDescent="0.3">
      <c r="A245" s="20">
        <v>243</v>
      </c>
      <c r="B245" s="4">
        <v>43493</v>
      </c>
      <c r="C245">
        <v>2643.8500979999999</v>
      </c>
      <c r="D245">
        <v>27576.960938</v>
      </c>
      <c r="E245" s="14">
        <v>7.82</v>
      </c>
      <c r="F245" s="18">
        <f t="shared" si="9"/>
        <v>3526.4655930946292</v>
      </c>
      <c r="G245">
        <v>11210.309569999999</v>
      </c>
      <c r="H245">
        <v>1.1443000000000001</v>
      </c>
      <c r="I245" s="18">
        <f t="shared" si="10"/>
        <v>12827.957240951</v>
      </c>
      <c r="J245">
        <v>20666.070313</v>
      </c>
      <c r="K245" s="15">
        <v>113.78</v>
      </c>
      <c r="L245">
        <f t="shared" si="11"/>
        <v>181.63183611355248</v>
      </c>
    </row>
    <row r="246" spans="1:12" x14ac:dyDescent="0.3">
      <c r="A246" s="20">
        <v>244</v>
      </c>
      <c r="B246" s="4">
        <v>43494</v>
      </c>
      <c r="C246">
        <v>2640</v>
      </c>
      <c r="D246">
        <v>27531.679688</v>
      </c>
      <c r="E246" s="14">
        <v>7.82</v>
      </c>
      <c r="F246" s="18">
        <f t="shared" si="9"/>
        <v>3520.6751519181585</v>
      </c>
      <c r="G246">
        <v>11218.830078000001</v>
      </c>
      <c r="H246">
        <v>1.1458999999999999</v>
      </c>
      <c r="I246" s="18">
        <f t="shared" si="10"/>
        <v>12855.6573863802</v>
      </c>
      <c r="J246">
        <v>20719.330077999999</v>
      </c>
      <c r="K246" s="15">
        <v>114.83</v>
      </c>
      <c r="L246">
        <f t="shared" si="11"/>
        <v>180.43481736480013</v>
      </c>
    </row>
    <row r="247" spans="1:12" x14ac:dyDescent="0.3">
      <c r="A247" s="20">
        <v>245</v>
      </c>
      <c r="B247" s="4">
        <v>43495</v>
      </c>
      <c r="C247">
        <v>2681.0500489999999</v>
      </c>
      <c r="D247">
        <v>27642.849609000001</v>
      </c>
      <c r="E247" s="14">
        <v>7.82</v>
      </c>
      <c r="F247" s="18">
        <f t="shared" si="9"/>
        <v>3534.8912543478259</v>
      </c>
      <c r="G247">
        <v>11181.660156</v>
      </c>
      <c r="H247">
        <v>1.1433</v>
      </c>
      <c r="I247" s="18">
        <f t="shared" si="10"/>
        <v>12783.9920563548</v>
      </c>
      <c r="J247">
        <v>20622.910156000002</v>
      </c>
      <c r="K247" s="15">
        <v>114.34</v>
      </c>
      <c r="L247">
        <f t="shared" si="11"/>
        <v>180.36479058947</v>
      </c>
    </row>
    <row r="248" spans="1:12" x14ac:dyDescent="0.3">
      <c r="A248" s="20">
        <v>246</v>
      </c>
      <c r="B248" s="4">
        <v>43496</v>
      </c>
      <c r="C248">
        <v>2704.1000979999999</v>
      </c>
      <c r="D248">
        <v>27942.470702999999</v>
      </c>
      <c r="E248" s="14">
        <v>7.82</v>
      </c>
      <c r="F248" s="18">
        <f t="shared" si="9"/>
        <v>3573.2059722506392</v>
      </c>
      <c r="G248">
        <v>11173.099609000001</v>
      </c>
      <c r="H248">
        <v>1.141</v>
      </c>
      <c r="I248" s="18">
        <f t="shared" si="10"/>
        <v>12748.506653869001</v>
      </c>
      <c r="J248">
        <v>20593.720702999999</v>
      </c>
      <c r="K248" s="15">
        <v>115.03</v>
      </c>
      <c r="L248">
        <f t="shared" si="11"/>
        <v>179.02912894896983</v>
      </c>
    </row>
    <row r="249" spans="1:12" x14ac:dyDescent="0.3">
      <c r="A249" s="20">
        <v>247</v>
      </c>
      <c r="B249" s="4">
        <v>43497</v>
      </c>
      <c r="C249">
        <v>2706.530029</v>
      </c>
      <c r="D249">
        <v>27930.740234000001</v>
      </c>
      <c r="E249" s="14">
        <v>7.82</v>
      </c>
      <c r="F249" s="18">
        <f t="shared" si="9"/>
        <v>3571.7059122762148</v>
      </c>
      <c r="G249">
        <v>11180.660156</v>
      </c>
      <c r="H249">
        <v>1.1363000000000001</v>
      </c>
      <c r="I249" s="18">
        <f t="shared" si="10"/>
        <v>12704.584135262801</v>
      </c>
      <c r="J249">
        <v>20574.630859000001</v>
      </c>
      <c r="K249" s="15">
        <v>116.25</v>
      </c>
      <c r="L249">
        <f t="shared" si="11"/>
        <v>176.98607190537635</v>
      </c>
    </row>
    <row r="250" spans="1:12" x14ac:dyDescent="0.3">
      <c r="A250" s="20">
        <v>248</v>
      </c>
      <c r="B250" s="4">
        <v>43500</v>
      </c>
      <c r="C250">
        <v>2724.8701169999999</v>
      </c>
      <c r="D250">
        <v>27990.210938</v>
      </c>
      <c r="E250" s="14">
        <v>7.82</v>
      </c>
      <c r="F250" s="18">
        <f t="shared" si="9"/>
        <v>3579.3108616368286</v>
      </c>
      <c r="G250">
        <v>11176.580078000001</v>
      </c>
      <c r="H250">
        <v>1.1351</v>
      </c>
      <c r="I250" s="18">
        <f t="shared" si="10"/>
        <v>12686.536046537802</v>
      </c>
      <c r="J250">
        <v>20773.560547000001</v>
      </c>
      <c r="K250" s="15">
        <v>115.91</v>
      </c>
      <c r="L250">
        <f t="shared" si="11"/>
        <v>179.22146964886551</v>
      </c>
    </row>
    <row r="251" spans="1:12" x14ac:dyDescent="0.3">
      <c r="A251" s="20">
        <v>249</v>
      </c>
      <c r="B251" s="4">
        <v>43501</v>
      </c>
      <c r="C251">
        <v>2737.6999510000001</v>
      </c>
      <c r="D251">
        <v>27970.105469000002</v>
      </c>
      <c r="E251" s="14">
        <v>7.82</v>
      </c>
      <c r="F251" s="18">
        <f t="shared" si="9"/>
        <v>3576.7398297953964</v>
      </c>
      <c r="G251">
        <v>11367.980469</v>
      </c>
      <c r="H251">
        <v>1.1324000000000001</v>
      </c>
      <c r="I251" s="18">
        <f t="shared" si="10"/>
        <v>12873.1010830956</v>
      </c>
      <c r="J251">
        <v>20649</v>
      </c>
      <c r="K251" s="15">
        <v>114.95</v>
      </c>
      <c r="L251">
        <f t="shared" si="11"/>
        <v>179.63462374945627</v>
      </c>
    </row>
    <row r="252" spans="1:12" x14ac:dyDescent="0.3">
      <c r="A252" s="20">
        <v>250</v>
      </c>
      <c r="B252" s="4">
        <v>43502</v>
      </c>
      <c r="C252">
        <v>2731.610107</v>
      </c>
      <c r="D252">
        <v>27950</v>
      </c>
      <c r="E252" s="14">
        <v>7.82</v>
      </c>
      <c r="F252" s="18">
        <f t="shared" si="9"/>
        <v>3574.1687979539643</v>
      </c>
      <c r="G252">
        <v>11324.719727</v>
      </c>
      <c r="H252">
        <v>1.1275999999999999</v>
      </c>
      <c r="I252" s="18">
        <f t="shared" si="10"/>
        <v>12769.753964165198</v>
      </c>
      <c r="J252">
        <v>20664.640625</v>
      </c>
      <c r="K252" s="15">
        <v>115.09</v>
      </c>
      <c r="L252">
        <f t="shared" si="11"/>
        <v>179.55200821096534</v>
      </c>
    </row>
    <row r="253" spans="1:12" x14ac:dyDescent="0.3">
      <c r="A253" s="20">
        <v>251</v>
      </c>
      <c r="B253" s="4">
        <v>43503</v>
      </c>
      <c r="C253">
        <v>2706.0500489999999</v>
      </c>
      <c r="D253">
        <v>27946.320313</v>
      </c>
      <c r="E253" s="14">
        <v>7.82</v>
      </c>
      <c r="F253" s="18">
        <f t="shared" si="9"/>
        <v>3573.6982497442455</v>
      </c>
      <c r="G253">
        <v>11022.019531</v>
      </c>
      <c r="H253">
        <v>1.1332</v>
      </c>
      <c r="I253" s="18">
        <f t="shared" si="10"/>
        <v>12490.1525325292</v>
      </c>
      <c r="J253">
        <v>20556.539063</v>
      </c>
      <c r="K253" s="15">
        <v>115.8</v>
      </c>
      <c r="L253">
        <f t="shared" si="11"/>
        <v>177.51760848877376</v>
      </c>
    </row>
    <row r="254" spans="1:12" x14ac:dyDescent="0.3">
      <c r="A254" s="20">
        <v>252</v>
      </c>
      <c r="B254" s="4">
        <v>43504</v>
      </c>
      <c r="C254">
        <v>2707.8798830000001</v>
      </c>
      <c r="D254">
        <v>28143.839843999998</v>
      </c>
      <c r="E254" s="14">
        <v>7.82</v>
      </c>
      <c r="F254" s="18">
        <f t="shared" si="9"/>
        <v>3598.956501790281</v>
      </c>
      <c r="G254">
        <v>10906.780273</v>
      </c>
      <c r="H254">
        <v>1.1266</v>
      </c>
      <c r="I254" s="18">
        <f t="shared" si="10"/>
        <v>12287.578655561801</v>
      </c>
      <c r="J254">
        <v>20773.490234000001</v>
      </c>
      <c r="K254" s="15">
        <v>115.92</v>
      </c>
      <c r="L254">
        <f t="shared" si="11"/>
        <v>179.205402294686</v>
      </c>
    </row>
    <row r="255" spans="1:12" x14ac:dyDescent="0.3">
      <c r="A255" s="20">
        <v>253</v>
      </c>
      <c r="B255" s="4">
        <v>43507</v>
      </c>
      <c r="C255">
        <v>2709.8000489999999</v>
      </c>
      <c r="D255">
        <v>28171.330077999999</v>
      </c>
      <c r="E255" s="14">
        <v>7.82</v>
      </c>
      <c r="F255" s="18">
        <f t="shared" si="9"/>
        <v>3602.471876982097</v>
      </c>
      <c r="G255">
        <v>11014.589844</v>
      </c>
      <c r="H255">
        <v>1.1298999999999999</v>
      </c>
      <c r="I255" s="18">
        <f t="shared" si="10"/>
        <v>12445.385064735599</v>
      </c>
      <c r="J255">
        <v>20788.390625</v>
      </c>
      <c r="K255" s="15">
        <v>116.2</v>
      </c>
      <c r="L255">
        <f t="shared" si="11"/>
        <v>178.90181260757313</v>
      </c>
    </row>
    <row r="256" spans="1:12" x14ac:dyDescent="0.3">
      <c r="A256" s="20">
        <v>254</v>
      </c>
      <c r="B256" s="4">
        <v>43508</v>
      </c>
      <c r="C256">
        <v>2744.7299800000001</v>
      </c>
      <c r="D256">
        <v>28497.589843999998</v>
      </c>
      <c r="E256" s="14">
        <v>7.82</v>
      </c>
      <c r="F256" s="18">
        <f t="shared" si="9"/>
        <v>3644.1930746803064</v>
      </c>
      <c r="G256">
        <v>11126.080078000001</v>
      </c>
      <c r="H256">
        <v>1.1297999999999999</v>
      </c>
      <c r="I256" s="18">
        <f t="shared" si="10"/>
        <v>12570.245272124401</v>
      </c>
      <c r="J256">
        <v>20883.769531000002</v>
      </c>
      <c r="K256" s="15">
        <v>115.35</v>
      </c>
      <c r="L256">
        <f t="shared" si="11"/>
        <v>181.04698336367579</v>
      </c>
    </row>
    <row r="257" spans="1:12" x14ac:dyDescent="0.3">
      <c r="A257" s="20">
        <v>255</v>
      </c>
      <c r="B257" s="4">
        <v>43509</v>
      </c>
      <c r="C257">
        <v>2753.030029</v>
      </c>
      <c r="D257">
        <v>28432.050781000002</v>
      </c>
      <c r="E257" s="14">
        <v>7.82</v>
      </c>
      <c r="F257" s="18">
        <f t="shared" si="9"/>
        <v>3635.8121203324808</v>
      </c>
      <c r="G257">
        <v>11167.219727</v>
      </c>
      <c r="H257">
        <v>1.1308</v>
      </c>
      <c r="I257" s="18">
        <f t="shared" si="10"/>
        <v>12627.892067291599</v>
      </c>
      <c r="J257">
        <v>20844.449218999998</v>
      </c>
      <c r="K257" s="15">
        <v>115.25</v>
      </c>
      <c r="L257">
        <f t="shared" si="11"/>
        <v>180.86289994793924</v>
      </c>
    </row>
    <row r="258" spans="1:12" x14ac:dyDescent="0.3">
      <c r="A258" s="20">
        <v>256</v>
      </c>
      <c r="B258" s="4">
        <v>43510</v>
      </c>
      <c r="C258">
        <v>2745.7299800000001</v>
      </c>
      <c r="D258">
        <v>27900.839843999998</v>
      </c>
      <c r="E258" s="14">
        <v>7.82</v>
      </c>
      <c r="F258" s="18">
        <f t="shared" si="9"/>
        <v>3567.8823329923271</v>
      </c>
      <c r="G258">
        <v>11089.790039</v>
      </c>
      <c r="H258">
        <v>1.1335</v>
      </c>
      <c r="I258" s="18">
        <f t="shared" si="10"/>
        <v>12570.277009206498</v>
      </c>
      <c r="J258">
        <v>20874.060547000001</v>
      </c>
      <c r="K258" s="15">
        <v>113.45</v>
      </c>
      <c r="L258">
        <f t="shared" si="11"/>
        <v>183.99348212428382</v>
      </c>
    </row>
    <row r="259" spans="1:12" x14ac:dyDescent="0.3">
      <c r="A259" s="20">
        <v>257</v>
      </c>
      <c r="B259" s="4">
        <v>43511</v>
      </c>
      <c r="C259">
        <v>2775.6000979999999</v>
      </c>
      <c r="D259">
        <v>28347.009765999999</v>
      </c>
      <c r="E259" s="14">
        <v>7.82</v>
      </c>
      <c r="F259" s="18">
        <f t="shared" ref="F259:F322" si="12">D259/E259</f>
        <v>3624.9373102301788</v>
      </c>
      <c r="G259">
        <v>11299.799805000001</v>
      </c>
      <c r="H259">
        <v>1.1347</v>
      </c>
      <c r="I259" s="18">
        <f t="shared" ref="I259:I322" si="13">G259*H259</f>
        <v>12821.882838733502</v>
      </c>
      <c r="J259">
        <v>20751.279297000001</v>
      </c>
      <c r="K259" s="15">
        <v>113.29</v>
      </c>
      <c r="L259">
        <f t="shared" ref="L259:L322" si="14">J259/K259</f>
        <v>183.16955862829906</v>
      </c>
    </row>
    <row r="260" spans="1:12" x14ac:dyDescent="0.3">
      <c r="A260" s="20">
        <v>258</v>
      </c>
      <c r="B260" s="4">
        <v>43515</v>
      </c>
      <c r="C260">
        <v>2779.76001</v>
      </c>
      <c r="D260">
        <v>28228.130859000001</v>
      </c>
      <c r="E260" s="14">
        <v>7.82</v>
      </c>
      <c r="F260" s="18">
        <f t="shared" si="12"/>
        <v>3609.7354039641941</v>
      </c>
      <c r="G260">
        <v>11299.200194999999</v>
      </c>
      <c r="H260">
        <v>1.1328</v>
      </c>
      <c r="I260" s="18">
        <f t="shared" si="13"/>
        <v>12799.733980896001</v>
      </c>
      <c r="J260">
        <v>20333.169922000001</v>
      </c>
      <c r="K260" s="15">
        <v>114.1</v>
      </c>
      <c r="L260">
        <f t="shared" si="14"/>
        <v>178.20481964943033</v>
      </c>
    </row>
    <row r="261" spans="1:12" x14ac:dyDescent="0.3">
      <c r="A261" s="20">
        <v>259</v>
      </c>
      <c r="B261" s="4">
        <v>43516</v>
      </c>
      <c r="C261">
        <v>2784.6999510000001</v>
      </c>
      <c r="D261">
        <v>28514.050781000002</v>
      </c>
      <c r="E261" s="14">
        <v>7.82</v>
      </c>
      <c r="F261" s="18">
        <f t="shared" si="12"/>
        <v>3646.2980538363172</v>
      </c>
      <c r="G261">
        <v>11309.209961</v>
      </c>
      <c r="H261">
        <v>1.1333</v>
      </c>
      <c r="I261" s="18">
        <f t="shared" si="13"/>
        <v>12816.727648801299</v>
      </c>
      <c r="J261">
        <v>20864.210938</v>
      </c>
      <c r="K261" s="15">
        <v>114.2</v>
      </c>
      <c r="L261">
        <f t="shared" si="14"/>
        <v>182.69886985989493</v>
      </c>
    </row>
    <row r="262" spans="1:12" x14ac:dyDescent="0.3">
      <c r="A262" s="20">
        <v>260</v>
      </c>
      <c r="B262" s="4">
        <v>43517</v>
      </c>
      <c r="C262">
        <v>2774.8798830000001</v>
      </c>
      <c r="D262">
        <v>28629.919922000001</v>
      </c>
      <c r="E262" s="14">
        <v>7.82</v>
      </c>
      <c r="F262" s="18">
        <f t="shared" si="12"/>
        <v>3661.115079539642</v>
      </c>
      <c r="G262">
        <v>11401.969727</v>
      </c>
      <c r="H262">
        <v>1.1362000000000001</v>
      </c>
      <c r="I262" s="18">
        <f t="shared" si="13"/>
        <v>12954.9180038174</v>
      </c>
      <c r="J262">
        <v>21144.480468999998</v>
      </c>
      <c r="K262" s="15">
        <v>115.41</v>
      </c>
      <c r="L262">
        <f t="shared" si="14"/>
        <v>183.21185745602634</v>
      </c>
    </row>
    <row r="263" spans="1:12" x14ac:dyDescent="0.3">
      <c r="A263" s="20">
        <v>261</v>
      </c>
      <c r="B263" s="4">
        <v>43518</v>
      </c>
      <c r="C263">
        <v>2792.669922</v>
      </c>
      <c r="D263">
        <v>28816.300781000002</v>
      </c>
      <c r="E263" s="14">
        <v>7.82</v>
      </c>
      <c r="F263" s="18">
        <f t="shared" si="12"/>
        <v>3684.9489489769821</v>
      </c>
      <c r="G263">
        <v>11423.280273</v>
      </c>
      <c r="H263">
        <v>1.1394</v>
      </c>
      <c r="I263" s="18">
        <f t="shared" si="13"/>
        <v>13015.685543056199</v>
      </c>
      <c r="J263">
        <v>21139.710938</v>
      </c>
      <c r="K263" s="15">
        <v>115.07</v>
      </c>
      <c r="L263">
        <f t="shared" si="14"/>
        <v>183.71174883114628</v>
      </c>
    </row>
    <row r="264" spans="1:12" x14ac:dyDescent="0.3">
      <c r="A264" s="20">
        <v>262</v>
      </c>
      <c r="B264" s="4">
        <v>43521</v>
      </c>
      <c r="C264">
        <v>2796.110107</v>
      </c>
      <c r="D264">
        <v>28959.300781000002</v>
      </c>
      <c r="E264" s="14">
        <v>7.82</v>
      </c>
      <c r="F264" s="18">
        <f t="shared" si="12"/>
        <v>3703.2353939897698</v>
      </c>
      <c r="G264">
        <v>11457.700194999999</v>
      </c>
      <c r="H264">
        <v>1.137</v>
      </c>
      <c r="I264" s="18">
        <f t="shared" si="13"/>
        <v>13027.405121714999</v>
      </c>
      <c r="J264">
        <v>20900.630859000001</v>
      </c>
      <c r="K264" s="15">
        <v>115.81</v>
      </c>
      <c r="L264">
        <f t="shared" si="14"/>
        <v>180.47345530610482</v>
      </c>
    </row>
    <row r="265" spans="1:12" x14ac:dyDescent="0.3">
      <c r="A265" s="20">
        <v>263</v>
      </c>
      <c r="B265" s="4">
        <v>43522</v>
      </c>
      <c r="C265">
        <v>2793.8999020000001</v>
      </c>
      <c r="D265">
        <v>28772.060547000001</v>
      </c>
      <c r="E265" s="14">
        <v>7.82</v>
      </c>
      <c r="F265" s="18">
        <f t="shared" si="12"/>
        <v>3679.2916300511511</v>
      </c>
      <c r="G265">
        <v>11505.389648</v>
      </c>
      <c r="H265">
        <v>1.1374</v>
      </c>
      <c r="I265" s="18">
        <f t="shared" si="13"/>
        <v>13086.230185635201</v>
      </c>
      <c r="J265">
        <v>21281.849609000001</v>
      </c>
      <c r="K265" s="15">
        <v>116.27</v>
      </c>
      <c r="L265">
        <f t="shared" si="14"/>
        <v>183.03818361572203</v>
      </c>
    </row>
    <row r="266" spans="1:12" x14ac:dyDescent="0.3">
      <c r="A266" s="20">
        <v>264</v>
      </c>
      <c r="B266" s="4">
        <v>43523</v>
      </c>
      <c r="C266">
        <v>2792.3798830000001</v>
      </c>
      <c r="D266">
        <v>28757.439452999999</v>
      </c>
      <c r="E266" s="14">
        <v>7.82</v>
      </c>
      <c r="F266" s="18">
        <f t="shared" si="12"/>
        <v>3677.4219249360613</v>
      </c>
      <c r="G266">
        <v>11540.790039</v>
      </c>
      <c r="H266">
        <v>1.1355999999999999</v>
      </c>
      <c r="I266" s="18">
        <f t="shared" si="13"/>
        <v>13105.721168288399</v>
      </c>
      <c r="J266">
        <v>21302.650390999999</v>
      </c>
      <c r="K266" s="15">
        <v>114.55</v>
      </c>
      <c r="L266">
        <f t="shared" si="14"/>
        <v>185.96813959842862</v>
      </c>
    </row>
    <row r="267" spans="1:12" x14ac:dyDescent="0.3">
      <c r="A267" s="20">
        <v>265</v>
      </c>
      <c r="B267" s="4">
        <v>43524</v>
      </c>
      <c r="C267">
        <v>2784.48999</v>
      </c>
      <c r="D267">
        <v>28633.179688</v>
      </c>
      <c r="E267" s="14">
        <v>7.82</v>
      </c>
      <c r="F267" s="18">
        <f t="shared" si="12"/>
        <v>3661.5319294117644</v>
      </c>
      <c r="G267">
        <v>11487.330078000001</v>
      </c>
      <c r="H267">
        <v>1.1328</v>
      </c>
      <c r="I267" s="18">
        <f t="shared" si="13"/>
        <v>13012.847512358401</v>
      </c>
      <c r="J267">
        <v>21431.490234000001</v>
      </c>
      <c r="K267" s="15">
        <v>115.41</v>
      </c>
      <c r="L267">
        <f t="shared" si="14"/>
        <v>185.69872830777231</v>
      </c>
    </row>
    <row r="268" spans="1:12" x14ac:dyDescent="0.3">
      <c r="A268" s="20">
        <v>266</v>
      </c>
      <c r="B268" s="4">
        <v>43525</v>
      </c>
      <c r="C268">
        <v>2803.6899410000001</v>
      </c>
      <c r="D268">
        <v>28812.169922000001</v>
      </c>
      <c r="E268" s="14">
        <v>7.82</v>
      </c>
      <c r="F268" s="18">
        <f t="shared" si="12"/>
        <v>3684.4207061381076</v>
      </c>
      <c r="G268">
        <v>11515.639648</v>
      </c>
      <c r="H268">
        <v>1.1303000000000001</v>
      </c>
      <c r="I268" s="18">
        <f t="shared" si="13"/>
        <v>13016.127494134402</v>
      </c>
      <c r="J268">
        <v>21464.230468999998</v>
      </c>
      <c r="K268" s="15">
        <v>114.36</v>
      </c>
      <c r="L268">
        <f t="shared" si="14"/>
        <v>187.6900180919902</v>
      </c>
    </row>
    <row r="269" spans="1:12" x14ac:dyDescent="0.3">
      <c r="A269" s="20">
        <v>267</v>
      </c>
      <c r="B269" s="4">
        <v>43528</v>
      </c>
      <c r="C269">
        <v>2792.8100589999999</v>
      </c>
      <c r="D269">
        <v>28959.589843999998</v>
      </c>
      <c r="E269" s="14">
        <v>7.82</v>
      </c>
      <c r="F269" s="18">
        <f t="shared" si="12"/>
        <v>3703.2723585677745</v>
      </c>
      <c r="G269">
        <v>11601.679688</v>
      </c>
      <c r="H269">
        <v>1.131</v>
      </c>
      <c r="I269" s="18">
        <f t="shared" si="13"/>
        <v>13121.499727128001</v>
      </c>
      <c r="J269">
        <v>21425.509765999999</v>
      </c>
      <c r="K269" s="15">
        <v>115.7</v>
      </c>
      <c r="L269">
        <f t="shared" si="14"/>
        <v>185.18158829732064</v>
      </c>
    </row>
    <row r="270" spans="1:12" x14ac:dyDescent="0.3">
      <c r="A270" s="20">
        <v>268</v>
      </c>
      <c r="B270" s="4">
        <v>43529</v>
      </c>
      <c r="C270">
        <v>2789.6499020000001</v>
      </c>
      <c r="D270">
        <v>28961.599609000001</v>
      </c>
      <c r="E270" s="14">
        <v>7.82</v>
      </c>
      <c r="F270" s="18">
        <f t="shared" si="12"/>
        <v>3703.5293617647058</v>
      </c>
      <c r="G270">
        <v>11592.660156</v>
      </c>
      <c r="H270">
        <v>1.1186</v>
      </c>
      <c r="I270" s="18">
        <f t="shared" si="13"/>
        <v>12967.5496505016</v>
      </c>
      <c r="J270">
        <v>21528.230468999998</v>
      </c>
      <c r="K270" s="15">
        <v>115.67</v>
      </c>
      <c r="L270">
        <f t="shared" si="14"/>
        <v>186.11766636984524</v>
      </c>
    </row>
    <row r="271" spans="1:12" x14ac:dyDescent="0.3">
      <c r="A271" s="20">
        <v>269</v>
      </c>
      <c r="B271" s="4">
        <v>43530</v>
      </c>
      <c r="C271">
        <v>2771.4499510000001</v>
      </c>
      <c r="D271">
        <v>29037.599609000001</v>
      </c>
      <c r="E271" s="14">
        <v>7.82</v>
      </c>
      <c r="F271" s="18">
        <f t="shared" si="12"/>
        <v>3713.2480318414323</v>
      </c>
      <c r="G271">
        <v>11620.740234000001</v>
      </c>
      <c r="H271">
        <v>1.1237999999999999</v>
      </c>
      <c r="I271" s="18">
        <f t="shared" si="13"/>
        <v>13059.387874969199</v>
      </c>
      <c r="J271">
        <v>21449.390625</v>
      </c>
      <c r="K271" s="15">
        <v>115.02</v>
      </c>
      <c r="L271">
        <f t="shared" si="14"/>
        <v>186.48400821596246</v>
      </c>
    </row>
    <row r="272" spans="1:12" x14ac:dyDescent="0.3">
      <c r="A272" s="20">
        <v>270</v>
      </c>
      <c r="B272" s="4">
        <v>43531</v>
      </c>
      <c r="C272">
        <v>2748.929932</v>
      </c>
      <c r="D272">
        <v>28779.449218999998</v>
      </c>
      <c r="E272" s="14">
        <v>7.82</v>
      </c>
      <c r="F272" s="18">
        <f t="shared" si="12"/>
        <v>3680.2364730179024</v>
      </c>
      <c r="G272">
        <v>11587.629883</v>
      </c>
      <c r="H272">
        <v>1.1238999999999999</v>
      </c>
      <c r="I272" s="18">
        <f t="shared" si="13"/>
        <v>13023.337225503697</v>
      </c>
      <c r="J272">
        <v>21556.509765999999</v>
      </c>
      <c r="K272" s="15">
        <v>115.66</v>
      </c>
      <c r="L272">
        <f t="shared" si="14"/>
        <v>186.37826185370915</v>
      </c>
    </row>
    <row r="273" spans="1:12" x14ac:dyDescent="0.3">
      <c r="A273" s="20">
        <v>271</v>
      </c>
      <c r="B273" s="4">
        <v>43532</v>
      </c>
      <c r="C273">
        <v>2743.070068</v>
      </c>
      <c r="D273">
        <v>28228.419922000001</v>
      </c>
      <c r="E273" s="14">
        <v>7.82</v>
      </c>
      <c r="F273" s="18">
        <f t="shared" si="12"/>
        <v>3609.7723685421993</v>
      </c>
      <c r="G273">
        <v>11517.799805000001</v>
      </c>
      <c r="H273">
        <v>1.1304000000000001</v>
      </c>
      <c r="I273" s="18">
        <f t="shared" si="13"/>
        <v>13019.720899572001</v>
      </c>
      <c r="J273">
        <v>21385.160156000002</v>
      </c>
      <c r="K273" s="15">
        <v>115.9</v>
      </c>
      <c r="L273">
        <f t="shared" si="14"/>
        <v>184.51389263157895</v>
      </c>
    </row>
    <row r="274" spans="1:12" x14ac:dyDescent="0.3">
      <c r="A274" s="20">
        <v>272</v>
      </c>
      <c r="B274" s="4">
        <v>43535</v>
      </c>
      <c r="C274">
        <v>2783.3000489999999</v>
      </c>
      <c r="D274">
        <v>28503.300781000002</v>
      </c>
      <c r="E274" s="14">
        <v>7.82</v>
      </c>
      <c r="F274" s="18">
        <f t="shared" si="12"/>
        <v>3644.9233735294119</v>
      </c>
      <c r="G274">
        <v>11457.839844</v>
      </c>
      <c r="H274">
        <v>1.1332</v>
      </c>
      <c r="I274" s="18">
        <f t="shared" si="13"/>
        <v>12984.0241112208</v>
      </c>
      <c r="J274">
        <v>21602.689452999999</v>
      </c>
      <c r="K274" s="15">
        <v>116.75</v>
      </c>
      <c r="L274">
        <f t="shared" si="14"/>
        <v>185.03374263811563</v>
      </c>
    </row>
    <row r="275" spans="1:12" x14ac:dyDescent="0.3">
      <c r="A275" s="20">
        <v>273</v>
      </c>
      <c r="B275" s="4">
        <v>43536</v>
      </c>
      <c r="C275">
        <v>2791.5200199999999</v>
      </c>
      <c r="D275">
        <v>28920.869140999999</v>
      </c>
      <c r="E275" s="14">
        <v>7.82</v>
      </c>
      <c r="F275" s="18">
        <f t="shared" si="12"/>
        <v>3698.32086202046</v>
      </c>
      <c r="G275">
        <v>11543.480469</v>
      </c>
      <c r="H275">
        <v>1.1298999999999999</v>
      </c>
      <c r="I275" s="18">
        <f t="shared" si="13"/>
        <v>13042.978581923098</v>
      </c>
      <c r="J275">
        <v>21822.039063</v>
      </c>
      <c r="K275" s="15">
        <v>116.46</v>
      </c>
      <c r="L275">
        <f t="shared" si="14"/>
        <v>187.37797581143741</v>
      </c>
    </row>
    <row r="276" spans="1:12" x14ac:dyDescent="0.3">
      <c r="A276" s="20">
        <v>274</v>
      </c>
      <c r="B276" s="4">
        <v>43537</v>
      </c>
      <c r="C276">
        <v>2810.919922</v>
      </c>
      <c r="D276">
        <v>28807.449218999998</v>
      </c>
      <c r="E276" s="14">
        <v>7.82</v>
      </c>
      <c r="F276" s="18">
        <f t="shared" si="12"/>
        <v>3683.8170356777491</v>
      </c>
      <c r="G276">
        <v>11524.169921999999</v>
      </c>
      <c r="H276">
        <v>1.1321000000000001</v>
      </c>
      <c r="I276" s="18">
        <f t="shared" si="13"/>
        <v>13046.512768696201</v>
      </c>
      <c r="J276">
        <v>21726.279297000001</v>
      </c>
      <c r="K276" s="15">
        <v>116.7</v>
      </c>
      <c r="L276">
        <f t="shared" si="14"/>
        <v>186.17205910025709</v>
      </c>
    </row>
    <row r="277" spans="1:12" x14ac:dyDescent="0.3">
      <c r="A277" s="20">
        <v>275</v>
      </c>
      <c r="B277" s="4">
        <v>43538</v>
      </c>
      <c r="C277">
        <v>2808.4799800000001</v>
      </c>
      <c r="D277">
        <v>28851.390625</v>
      </c>
      <c r="E277" s="14">
        <v>7.82</v>
      </c>
      <c r="F277" s="18">
        <f t="shared" si="12"/>
        <v>3689.4361413043475</v>
      </c>
      <c r="G277">
        <v>11572.410156</v>
      </c>
      <c r="H277">
        <v>1.1335</v>
      </c>
      <c r="I277" s="18">
        <f t="shared" si="13"/>
        <v>13117.326911826</v>
      </c>
      <c r="J277">
        <v>21596.810547000001</v>
      </c>
      <c r="K277" s="15">
        <v>116.99</v>
      </c>
      <c r="L277">
        <f t="shared" si="14"/>
        <v>184.60390244465341</v>
      </c>
    </row>
    <row r="278" spans="1:12" x14ac:dyDescent="0.3">
      <c r="A278" s="20">
        <v>276</v>
      </c>
      <c r="B278" s="4">
        <v>43539</v>
      </c>
      <c r="C278">
        <v>2822.4799800000001</v>
      </c>
      <c r="D278">
        <v>29012.259765999999</v>
      </c>
      <c r="E278" s="14">
        <v>7.82</v>
      </c>
      <c r="F278" s="18">
        <f t="shared" si="12"/>
        <v>3710.0076427109971</v>
      </c>
      <c r="G278">
        <v>11587.469727</v>
      </c>
      <c r="H278">
        <v>1.1352</v>
      </c>
      <c r="I278" s="18">
        <f t="shared" si="13"/>
        <v>13154.095634090399</v>
      </c>
      <c r="J278">
        <v>21456.009765999999</v>
      </c>
      <c r="K278" s="15">
        <v>117.08</v>
      </c>
      <c r="L278">
        <f t="shared" si="14"/>
        <v>183.2593932866416</v>
      </c>
    </row>
    <row r="279" spans="1:12" x14ac:dyDescent="0.3">
      <c r="A279" s="20">
        <v>277</v>
      </c>
      <c r="B279" s="4">
        <v>43542</v>
      </c>
      <c r="C279">
        <v>2832.9399410000001</v>
      </c>
      <c r="D279">
        <v>29409.009765999999</v>
      </c>
      <c r="E279" s="14">
        <v>7.82</v>
      </c>
      <c r="F279" s="18">
        <f t="shared" si="12"/>
        <v>3760.7429368286444</v>
      </c>
      <c r="G279">
        <v>11685.690430000001</v>
      </c>
      <c r="H279">
        <v>1.1423000000000001</v>
      </c>
      <c r="I279" s="18">
        <f t="shared" si="13"/>
        <v>13348.564178189003</v>
      </c>
      <c r="J279">
        <v>21025.560547000001</v>
      </c>
      <c r="K279" s="15">
        <v>117.58</v>
      </c>
      <c r="L279">
        <f t="shared" si="14"/>
        <v>178.81919158870556</v>
      </c>
    </row>
    <row r="280" spans="1:12" x14ac:dyDescent="0.3">
      <c r="A280" s="20">
        <v>278</v>
      </c>
      <c r="B280" s="4">
        <v>43543</v>
      </c>
      <c r="C280">
        <v>2832.570068</v>
      </c>
      <c r="D280">
        <v>29466.279297000001</v>
      </c>
      <c r="E280" s="14">
        <v>7.82</v>
      </c>
      <c r="F280" s="18">
        <f t="shared" si="12"/>
        <v>3768.0664062659848</v>
      </c>
      <c r="G280">
        <v>11657.059569999999</v>
      </c>
      <c r="H280">
        <v>1.1356999999999999</v>
      </c>
      <c r="I280" s="18">
        <f t="shared" si="13"/>
        <v>13238.922553648999</v>
      </c>
      <c r="J280">
        <v>21125.089843999998</v>
      </c>
      <c r="K280" s="15">
        <v>117.43</v>
      </c>
      <c r="L280">
        <f t="shared" si="14"/>
        <v>179.89517026313547</v>
      </c>
    </row>
    <row r="281" spans="1:12" x14ac:dyDescent="0.3">
      <c r="A281" s="20">
        <v>279</v>
      </c>
      <c r="B281" s="4">
        <v>43544</v>
      </c>
      <c r="C281">
        <v>2824.2299800000001</v>
      </c>
      <c r="D281">
        <v>29320.970702999999</v>
      </c>
      <c r="E281" s="14">
        <v>7.82</v>
      </c>
      <c r="F281" s="18">
        <f t="shared" si="12"/>
        <v>3749.4847446291556</v>
      </c>
      <c r="G281">
        <v>11788.410156</v>
      </c>
      <c r="H281">
        <v>1.1294</v>
      </c>
      <c r="I281" s="18">
        <f t="shared" si="13"/>
        <v>13313.830430186399</v>
      </c>
      <c r="J281">
        <v>21503.689452999999</v>
      </c>
      <c r="K281" s="15">
        <v>117.46</v>
      </c>
      <c r="L281">
        <f t="shared" si="14"/>
        <v>183.07244553890686</v>
      </c>
    </row>
    <row r="282" spans="1:12" x14ac:dyDescent="0.3">
      <c r="A282" s="20">
        <v>280</v>
      </c>
      <c r="B282" s="4">
        <v>43545</v>
      </c>
      <c r="C282">
        <v>2854.8798830000001</v>
      </c>
      <c r="D282">
        <v>29071.560547000001</v>
      </c>
      <c r="E282" s="14">
        <v>7.82</v>
      </c>
      <c r="F282" s="18">
        <f t="shared" si="12"/>
        <v>3717.5908627877238</v>
      </c>
      <c r="G282">
        <v>11603.889648</v>
      </c>
      <c r="H282">
        <v>1.1317999999999999</v>
      </c>
      <c r="I282" s="18">
        <f t="shared" si="13"/>
        <v>13133.2823036064</v>
      </c>
      <c r="J282">
        <v>21290.240234000001</v>
      </c>
      <c r="K282" s="15">
        <v>116.57</v>
      </c>
      <c r="L282">
        <f t="shared" si="14"/>
        <v>182.63910297675218</v>
      </c>
    </row>
    <row r="283" spans="1:12" x14ac:dyDescent="0.3">
      <c r="A283" s="20">
        <v>281</v>
      </c>
      <c r="B283" s="4">
        <v>43546</v>
      </c>
      <c r="C283">
        <v>2800.709961</v>
      </c>
      <c r="D283">
        <v>29113.359375</v>
      </c>
      <c r="E283" s="14">
        <v>7.82</v>
      </c>
      <c r="F283" s="18">
        <f t="shared" si="12"/>
        <v>3722.9359814578002</v>
      </c>
      <c r="G283">
        <v>11549.959961</v>
      </c>
      <c r="H283">
        <v>1.1274999999999999</v>
      </c>
      <c r="I283" s="18">
        <f t="shared" si="13"/>
        <v>13022.5798560275</v>
      </c>
      <c r="J283">
        <v>21287.019531000002</v>
      </c>
      <c r="K283" s="15">
        <v>116.68</v>
      </c>
      <c r="L283">
        <f t="shared" si="14"/>
        <v>182.43931720089134</v>
      </c>
    </row>
    <row r="284" spans="1:12" x14ac:dyDescent="0.3">
      <c r="A284" s="20">
        <v>282</v>
      </c>
      <c r="B284" s="4">
        <v>43549</v>
      </c>
      <c r="C284">
        <v>2798.360107</v>
      </c>
      <c r="D284">
        <v>28523.349609000001</v>
      </c>
      <c r="E284" s="14">
        <v>7.82</v>
      </c>
      <c r="F284" s="18">
        <f t="shared" si="12"/>
        <v>3647.4871622762148</v>
      </c>
      <c r="G284">
        <v>11364.169921999999</v>
      </c>
      <c r="H284">
        <v>1.1258999999999999</v>
      </c>
      <c r="I284" s="18">
        <f t="shared" si="13"/>
        <v>12794.918915179798</v>
      </c>
      <c r="J284">
        <v>21450.849609000001</v>
      </c>
      <c r="K284" s="15">
        <v>115.67</v>
      </c>
      <c r="L284">
        <f t="shared" si="14"/>
        <v>185.44868685916833</v>
      </c>
    </row>
    <row r="285" spans="1:12" x14ac:dyDescent="0.3">
      <c r="A285" s="20">
        <v>283</v>
      </c>
      <c r="B285" s="4">
        <v>43550</v>
      </c>
      <c r="C285">
        <v>2818.459961</v>
      </c>
      <c r="D285">
        <v>28566.910156000002</v>
      </c>
      <c r="E285" s="14">
        <v>7.82</v>
      </c>
      <c r="F285" s="18">
        <f t="shared" si="12"/>
        <v>3653.0575647058827</v>
      </c>
      <c r="G285">
        <v>11346.650390999999</v>
      </c>
      <c r="H285">
        <v>1.1224000000000001</v>
      </c>
      <c r="I285" s="18">
        <f t="shared" si="13"/>
        <v>12735.480398858399</v>
      </c>
      <c r="J285">
        <v>21584.5</v>
      </c>
      <c r="K285" s="15">
        <v>114.94</v>
      </c>
      <c r="L285">
        <f t="shared" si="14"/>
        <v>187.78928136419</v>
      </c>
    </row>
    <row r="286" spans="1:12" x14ac:dyDescent="0.3">
      <c r="A286" s="20">
        <v>284</v>
      </c>
      <c r="B286" s="4">
        <v>43551</v>
      </c>
      <c r="C286">
        <v>2805.3701169999999</v>
      </c>
      <c r="D286">
        <v>28728.25</v>
      </c>
      <c r="E286" s="14">
        <v>7.82</v>
      </c>
      <c r="F286" s="18">
        <f t="shared" si="12"/>
        <v>3673.6892583120202</v>
      </c>
      <c r="G286">
        <v>11419.480469</v>
      </c>
      <c r="H286">
        <v>1.1222000000000001</v>
      </c>
      <c r="I286" s="18">
        <f t="shared" si="13"/>
        <v>12814.9409823118</v>
      </c>
      <c r="J286">
        <v>21566.849609000001</v>
      </c>
      <c r="K286" s="15">
        <v>114.06</v>
      </c>
      <c r="L286">
        <f t="shared" si="14"/>
        <v>189.08337374189023</v>
      </c>
    </row>
    <row r="287" spans="1:12" x14ac:dyDescent="0.3">
      <c r="A287" s="20">
        <v>285</v>
      </c>
      <c r="B287" s="4">
        <v>43552</v>
      </c>
      <c r="C287">
        <v>2815.4399410000001</v>
      </c>
      <c r="D287">
        <v>28775.210938</v>
      </c>
      <c r="E287" s="14">
        <v>7.82</v>
      </c>
      <c r="F287" s="18">
        <f t="shared" si="12"/>
        <v>3679.6944933503837</v>
      </c>
      <c r="G287">
        <v>11419.040039</v>
      </c>
      <c r="H287">
        <v>1.1211</v>
      </c>
      <c r="I287" s="18">
        <f t="shared" si="13"/>
        <v>12801.8857877229</v>
      </c>
      <c r="J287">
        <v>21608.919922000001</v>
      </c>
      <c r="K287" s="15">
        <v>114.67</v>
      </c>
      <c r="L287">
        <f t="shared" si="14"/>
        <v>188.44440500566844</v>
      </c>
    </row>
    <row r="288" spans="1:12" x14ac:dyDescent="0.3">
      <c r="A288" s="20">
        <v>286</v>
      </c>
      <c r="B288" s="4">
        <v>43553</v>
      </c>
      <c r="C288">
        <v>2834.3999020000001</v>
      </c>
      <c r="D288">
        <v>29051.359375</v>
      </c>
      <c r="E288" s="14">
        <v>7.82</v>
      </c>
      <c r="F288" s="18">
        <f t="shared" si="12"/>
        <v>3715.0075927109974</v>
      </c>
      <c r="G288">
        <v>11428.160156</v>
      </c>
      <c r="H288">
        <v>1.1194</v>
      </c>
      <c r="I288" s="18">
        <f t="shared" si="13"/>
        <v>12792.682478626399</v>
      </c>
      <c r="J288">
        <v>21627.339843999998</v>
      </c>
      <c r="K288" s="15">
        <v>114.08</v>
      </c>
      <c r="L288">
        <f t="shared" si="14"/>
        <v>189.58046847826085</v>
      </c>
    </row>
    <row r="289" spans="1:12" x14ac:dyDescent="0.3">
      <c r="A289" s="20">
        <v>287</v>
      </c>
      <c r="B289" s="4">
        <v>43556</v>
      </c>
      <c r="C289">
        <v>2867.1899410000001</v>
      </c>
      <c r="D289">
        <v>29562.019531000002</v>
      </c>
      <c r="E289" s="14">
        <v>7.82</v>
      </c>
      <c r="F289" s="18">
        <f t="shared" si="12"/>
        <v>3780.3094029411764</v>
      </c>
      <c r="G289">
        <v>11526.040039</v>
      </c>
      <c r="H289">
        <v>1.1238999999999999</v>
      </c>
      <c r="I289" s="18">
        <f t="shared" si="13"/>
        <v>12954.116399832099</v>
      </c>
      <c r="J289">
        <v>20977.109375</v>
      </c>
      <c r="K289" s="15">
        <v>114.25</v>
      </c>
      <c r="L289">
        <f t="shared" si="14"/>
        <v>183.60708424507658</v>
      </c>
    </row>
    <row r="290" spans="1:12" x14ac:dyDescent="0.3">
      <c r="A290" s="20">
        <v>288</v>
      </c>
      <c r="B290" s="4">
        <v>43557</v>
      </c>
      <c r="C290">
        <v>2867.23999</v>
      </c>
      <c r="D290">
        <v>29624.669922000001</v>
      </c>
      <c r="E290" s="14">
        <v>7.82</v>
      </c>
      <c r="F290" s="18">
        <f t="shared" si="12"/>
        <v>3788.320961892583</v>
      </c>
      <c r="G290">
        <v>11681.990234000001</v>
      </c>
      <c r="H290">
        <v>1.1221000000000001</v>
      </c>
      <c r="I290" s="18">
        <f t="shared" si="13"/>
        <v>13108.361241571401</v>
      </c>
      <c r="J290">
        <v>21428.390625</v>
      </c>
      <c r="K290" s="15">
        <v>114.15</v>
      </c>
      <c r="L290">
        <f t="shared" si="14"/>
        <v>187.72133705650458</v>
      </c>
    </row>
    <row r="291" spans="1:12" x14ac:dyDescent="0.3">
      <c r="A291" s="20">
        <v>289</v>
      </c>
      <c r="B291" s="4">
        <v>43558</v>
      </c>
      <c r="C291">
        <v>2873.3999020000001</v>
      </c>
      <c r="D291">
        <v>29986.390625</v>
      </c>
      <c r="E291" s="14">
        <v>7.82</v>
      </c>
      <c r="F291" s="18">
        <f t="shared" si="12"/>
        <v>3834.5768062659845</v>
      </c>
      <c r="G291">
        <v>11754.790039</v>
      </c>
      <c r="H291">
        <v>1.1215999999999999</v>
      </c>
      <c r="I291" s="18">
        <f t="shared" si="13"/>
        <v>13184.172507742398</v>
      </c>
      <c r="J291">
        <v>21378.730468999998</v>
      </c>
      <c r="K291" s="15">
        <v>114.7</v>
      </c>
      <c r="L291">
        <f t="shared" si="14"/>
        <v>186.38823425457713</v>
      </c>
    </row>
    <row r="292" spans="1:12" x14ac:dyDescent="0.3">
      <c r="A292" s="20">
        <v>290</v>
      </c>
      <c r="B292" s="4">
        <v>43559</v>
      </c>
      <c r="C292">
        <v>2879.389893</v>
      </c>
      <c r="D292">
        <v>29936.320313</v>
      </c>
      <c r="E292" s="14">
        <v>7.82</v>
      </c>
      <c r="F292" s="18">
        <f t="shared" si="12"/>
        <v>3828.1739530690534</v>
      </c>
      <c r="G292">
        <v>11954.400390999999</v>
      </c>
      <c r="H292">
        <v>1.1259999999999999</v>
      </c>
      <c r="I292" s="18">
        <f t="shared" si="13"/>
        <v>13460.654840265997</v>
      </c>
      <c r="J292">
        <v>21033.759765999999</v>
      </c>
      <c r="K292" s="15">
        <v>114.72</v>
      </c>
      <c r="L292">
        <f t="shared" si="14"/>
        <v>183.34867299511853</v>
      </c>
    </row>
    <row r="293" spans="1:12" x14ac:dyDescent="0.3">
      <c r="A293" s="20">
        <v>291</v>
      </c>
      <c r="B293" s="4">
        <v>43560</v>
      </c>
      <c r="C293">
        <v>2892.73999</v>
      </c>
      <c r="D293">
        <v>30006.735352</v>
      </c>
      <c r="E293" s="14">
        <v>7.82</v>
      </c>
      <c r="F293" s="18">
        <f t="shared" si="12"/>
        <v>3837.1784337595905</v>
      </c>
      <c r="G293">
        <v>11988.009765999999</v>
      </c>
      <c r="H293">
        <v>1.1262000000000001</v>
      </c>
      <c r="I293" s="18">
        <f t="shared" si="13"/>
        <v>13500.8965984692</v>
      </c>
      <c r="J293">
        <v>21205.810547000001</v>
      </c>
      <c r="K293" s="15">
        <v>115.29</v>
      </c>
      <c r="L293">
        <f t="shared" si="14"/>
        <v>183.93451771185704</v>
      </c>
    </row>
    <row r="294" spans="1:12" x14ac:dyDescent="0.3">
      <c r="A294" s="20">
        <v>292</v>
      </c>
      <c r="B294" s="4">
        <v>43563</v>
      </c>
      <c r="C294">
        <v>2895.7700199999999</v>
      </c>
      <c r="D294">
        <v>30077.150390999999</v>
      </c>
      <c r="E294" s="14">
        <v>7.82</v>
      </c>
      <c r="F294" s="18">
        <f t="shared" si="12"/>
        <v>3846.1829144501276</v>
      </c>
      <c r="G294">
        <v>12009.75</v>
      </c>
      <c r="H294">
        <v>1.1264000000000001</v>
      </c>
      <c r="I294" s="18">
        <f t="shared" si="13"/>
        <v>13527.7824</v>
      </c>
      <c r="J294">
        <v>21509.029297000001</v>
      </c>
      <c r="K294" s="15">
        <v>114.88</v>
      </c>
      <c r="L294">
        <f t="shared" si="14"/>
        <v>187.23040822597494</v>
      </c>
    </row>
    <row r="295" spans="1:12" x14ac:dyDescent="0.3">
      <c r="A295" s="20">
        <v>293</v>
      </c>
      <c r="B295" s="4">
        <v>43564</v>
      </c>
      <c r="C295">
        <v>2878.1999510000001</v>
      </c>
      <c r="D295">
        <v>30157.490234000001</v>
      </c>
      <c r="E295" s="14">
        <v>7.82</v>
      </c>
      <c r="F295" s="18">
        <f t="shared" si="12"/>
        <v>3856.4565516624039</v>
      </c>
      <c r="G295">
        <v>11963.400390999999</v>
      </c>
      <c r="H295">
        <v>1.1274999999999999</v>
      </c>
      <c r="I295" s="18">
        <f t="shared" si="13"/>
        <v>13488.733940852499</v>
      </c>
      <c r="J295">
        <v>21505.310547000001</v>
      </c>
      <c r="K295" s="15">
        <v>114.76</v>
      </c>
      <c r="L295">
        <f t="shared" si="14"/>
        <v>187.39378308644126</v>
      </c>
    </row>
    <row r="296" spans="1:12" x14ac:dyDescent="0.3">
      <c r="A296" s="20">
        <v>294</v>
      </c>
      <c r="B296" s="4">
        <v>43565</v>
      </c>
      <c r="C296">
        <v>2888.209961</v>
      </c>
      <c r="D296">
        <v>30119.560547000001</v>
      </c>
      <c r="E296" s="14">
        <v>7.82</v>
      </c>
      <c r="F296" s="18">
        <f t="shared" si="12"/>
        <v>3851.606208056266</v>
      </c>
      <c r="G296">
        <v>11850.570313</v>
      </c>
      <c r="H296">
        <v>1.1296999999999999</v>
      </c>
      <c r="I296" s="18">
        <f t="shared" si="13"/>
        <v>13387.5892825961</v>
      </c>
      <c r="J296">
        <v>21713.210938</v>
      </c>
      <c r="K296" s="15">
        <v>114.5</v>
      </c>
      <c r="L296">
        <f t="shared" si="14"/>
        <v>189.63503002620087</v>
      </c>
    </row>
    <row r="297" spans="1:12" x14ac:dyDescent="0.3">
      <c r="A297" s="20">
        <v>295</v>
      </c>
      <c r="B297" s="4">
        <v>43566</v>
      </c>
      <c r="C297">
        <v>2888.320068</v>
      </c>
      <c r="D297">
        <v>29839.449218999998</v>
      </c>
      <c r="E297" s="14">
        <v>7.82</v>
      </c>
      <c r="F297" s="18">
        <f t="shared" si="12"/>
        <v>3815.7863451406647</v>
      </c>
      <c r="G297">
        <v>11905.910156</v>
      </c>
      <c r="H297">
        <v>1.1299999999999999</v>
      </c>
      <c r="I297" s="18">
        <f t="shared" si="13"/>
        <v>13453.678476279998</v>
      </c>
      <c r="J297">
        <v>21724.949218999998</v>
      </c>
      <c r="K297" s="15">
        <v>114.31</v>
      </c>
      <c r="L297">
        <f t="shared" si="14"/>
        <v>190.05291942087305</v>
      </c>
    </row>
    <row r="298" spans="1:12" x14ac:dyDescent="0.3">
      <c r="A298" s="20">
        <v>296</v>
      </c>
      <c r="B298" s="4">
        <v>43567</v>
      </c>
      <c r="C298">
        <v>2907.4099120000001</v>
      </c>
      <c r="D298">
        <v>29909.759765999999</v>
      </c>
      <c r="E298" s="14">
        <v>7.82</v>
      </c>
      <c r="F298" s="18">
        <f t="shared" si="12"/>
        <v>3824.7774636828644</v>
      </c>
      <c r="G298">
        <v>11935.200194999999</v>
      </c>
      <c r="H298">
        <v>1.1285000000000001</v>
      </c>
      <c r="I298" s="18">
        <f t="shared" si="13"/>
        <v>13468.8734200575</v>
      </c>
      <c r="J298">
        <v>21807.5</v>
      </c>
      <c r="K298" s="15">
        <v>113.25</v>
      </c>
      <c r="L298">
        <f t="shared" si="14"/>
        <v>192.560706401766</v>
      </c>
    </row>
    <row r="299" spans="1:12" x14ac:dyDescent="0.3">
      <c r="A299" s="20">
        <v>297</v>
      </c>
      <c r="B299" s="4">
        <v>43570</v>
      </c>
      <c r="C299">
        <v>2905.580078</v>
      </c>
      <c r="D299">
        <v>29810.720702999999</v>
      </c>
      <c r="E299" s="14">
        <v>7.82</v>
      </c>
      <c r="F299" s="18">
        <f t="shared" si="12"/>
        <v>3812.1126218670074</v>
      </c>
      <c r="G299">
        <v>11999.929688</v>
      </c>
      <c r="H299">
        <v>1.1298999999999999</v>
      </c>
      <c r="I299" s="18">
        <f t="shared" si="13"/>
        <v>13558.7205544712</v>
      </c>
      <c r="J299">
        <v>21761.650390999999</v>
      </c>
      <c r="K299" s="15">
        <v>112.76</v>
      </c>
      <c r="L299">
        <f t="shared" si="14"/>
        <v>192.99086902270307</v>
      </c>
    </row>
    <row r="300" spans="1:12" x14ac:dyDescent="0.3">
      <c r="A300" s="20">
        <v>298</v>
      </c>
      <c r="B300" s="4">
        <v>43571</v>
      </c>
      <c r="C300">
        <v>2907.0600589999999</v>
      </c>
      <c r="D300">
        <v>30129.869140999999</v>
      </c>
      <c r="E300" s="14">
        <v>7.82</v>
      </c>
      <c r="F300" s="18">
        <f t="shared" si="12"/>
        <v>3852.9244425831198</v>
      </c>
      <c r="G300">
        <v>12020.280273</v>
      </c>
      <c r="H300">
        <v>1.1228</v>
      </c>
      <c r="I300" s="18">
        <f t="shared" si="13"/>
        <v>13496.3706905244</v>
      </c>
      <c r="J300">
        <v>21802.589843999998</v>
      </c>
      <c r="K300" s="15">
        <v>110.65</v>
      </c>
      <c r="L300">
        <f t="shared" si="14"/>
        <v>197.04102886579301</v>
      </c>
    </row>
    <row r="301" spans="1:12" x14ac:dyDescent="0.3">
      <c r="A301" s="20">
        <v>299</v>
      </c>
      <c r="B301" s="4">
        <v>43572</v>
      </c>
      <c r="C301">
        <v>2900.4499510000001</v>
      </c>
      <c r="D301">
        <v>30124.679688</v>
      </c>
      <c r="E301" s="14">
        <v>7.82</v>
      </c>
      <c r="F301" s="18">
        <f t="shared" si="12"/>
        <v>3852.2608296675189</v>
      </c>
      <c r="G301">
        <v>12101.320313</v>
      </c>
      <c r="H301">
        <v>1.1244000000000001</v>
      </c>
      <c r="I301" s="18">
        <f t="shared" si="13"/>
        <v>13606.724559937202</v>
      </c>
      <c r="J301">
        <v>21687.570313</v>
      </c>
      <c r="K301" s="15">
        <v>109.38</v>
      </c>
      <c r="L301">
        <f t="shared" si="14"/>
        <v>198.27729304260379</v>
      </c>
    </row>
    <row r="302" spans="1:12" x14ac:dyDescent="0.3">
      <c r="A302" s="20">
        <v>300</v>
      </c>
      <c r="B302" s="4">
        <v>43573</v>
      </c>
      <c r="C302">
        <v>2905.030029</v>
      </c>
      <c r="D302">
        <v>29963.259765999999</v>
      </c>
      <c r="E302" s="14">
        <v>7.82</v>
      </c>
      <c r="F302" s="18">
        <f t="shared" si="12"/>
        <v>3831.6188959079282</v>
      </c>
      <c r="G302">
        <v>12153.070313</v>
      </c>
      <c r="H302">
        <v>1.1258999999999999</v>
      </c>
      <c r="I302" s="18">
        <f t="shared" si="13"/>
        <v>13683.141865406698</v>
      </c>
      <c r="J302">
        <v>21711.380859000001</v>
      </c>
      <c r="K302" s="15">
        <v>110.23</v>
      </c>
      <c r="L302">
        <f t="shared" si="14"/>
        <v>196.96435506667876</v>
      </c>
    </row>
    <row r="303" spans="1:12" x14ac:dyDescent="0.3">
      <c r="A303" s="20">
        <v>301</v>
      </c>
      <c r="B303" s="4">
        <v>43577</v>
      </c>
      <c r="C303">
        <v>2907.969971</v>
      </c>
      <c r="D303">
        <v>29963.240234000001</v>
      </c>
      <c r="E303" s="14">
        <v>7.82</v>
      </c>
      <c r="F303" s="18">
        <f t="shared" si="12"/>
        <v>3831.6163982097187</v>
      </c>
      <c r="G303">
        <v>12222.389648</v>
      </c>
      <c r="H303">
        <v>1.1214999999999999</v>
      </c>
      <c r="I303" s="18">
        <f t="shared" si="13"/>
        <v>13707.409990231999</v>
      </c>
      <c r="J303">
        <v>21870.560547000001</v>
      </c>
      <c r="K303" s="15">
        <v>111.4</v>
      </c>
      <c r="L303">
        <f t="shared" si="14"/>
        <v>196.32460096050269</v>
      </c>
    </row>
    <row r="304" spans="1:12" x14ac:dyDescent="0.3">
      <c r="A304" s="20">
        <v>302</v>
      </c>
      <c r="B304" s="4">
        <v>43578</v>
      </c>
      <c r="C304">
        <v>2933.679932</v>
      </c>
      <c r="D304">
        <v>29805.830077999999</v>
      </c>
      <c r="E304" s="14">
        <v>7.82</v>
      </c>
      <c r="F304" s="18">
        <f t="shared" si="12"/>
        <v>3811.4872222506392</v>
      </c>
      <c r="G304">
        <v>12235.509765999999</v>
      </c>
      <c r="H304">
        <v>1.1146</v>
      </c>
      <c r="I304" s="18">
        <f t="shared" si="13"/>
        <v>13637.699185183599</v>
      </c>
      <c r="J304">
        <v>22169.109375</v>
      </c>
      <c r="K304" s="15">
        <v>110.93</v>
      </c>
      <c r="L304">
        <f t="shared" si="14"/>
        <v>199.8477361849815</v>
      </c>
    </row>
    <row r="305" spans="1:12" x14ac:dyDescent="0.3">
      <c r="A305" s="20">
        <v>303</v>
      </c>
      <c r="B305" s="4">
        <v>43579</v>
      </c>
      <c r="C305">
        <v>2927.25</v>
      </c>
      <c r="D305">
        <v>29549.800781000002</v>
      </c>
      <c r="E305" s="14">
        <v>7.82</v>
      </c>
      <c r="F305" s="18">
        <f t="shared" si="12"/>
        <v>3778.7469029411764</v>
      </c>
      <c r="G305">
        <v>12313.160156</v>
      </c>
      <c r="H305">
        <v>1.113</v>
      </c>
      <c r="I305" s="18">
        <f t="shared" si="13"/>
        <v>13704.547253627999</v>
      </c>
      <c r="J305">
        <v>22221.660156000002</v>
      </c>
      <c r="K305" s="15">
        <v>110.61</v>
      </c>
      <c r="L305">
        <f t="shared" si="14"/>
        <v>200.90100493626255</v>
      </c>
    </row>
    <row r="306" spans="1:12" x14ac:dyDescent="0.3">
      <c r="A306" s="20">
        <v>304</v>
      </c>
      <c r="B306" s="4">
        <v>43580</v>
      </c>
      <c r="C306">
        <v>2926.169922</v>
      </c>
      <c r="D306">
        <v>29577.4052735</v>
      </c>
      <c r="E306" s="14">
        <v>7.82</v>
      </c>
      <c r="F306" s="18">
        <f t="shared" si="12"/>
        <v>3782.2768891943733</v>
      </c>
      <c r="G306">
        <v>12282.599609000001</v>
      </c>
      <c r="H306">
        <v>1.1152</v>
      </c>
      <c r="I306" s="18">
        <f t="shared" si="13"/>
        <v>13697.5550839568</v>
      </c>
      <c r="J306">
        <v>22277.970702999999</v>
      </c>
      <c r="K306" s="15">
        <v>110.18</v>
      </c>
      <c r="L306">
        <f t="shared" si="14"/>
        <v>202.19613998003265</v>
      </c>
    </row>
    <row r="307" spans="1:12" x14ac:dyDescent="0.3">
      <c r="A307" s="20">
        <v>305</v>
      </c>
      <c r="B307" s="4">
        <v>43581</v>
      </c>
      <c r="C307">
        <v>2939.8798830000001</v>
      </c>
      <c r="D307">
        <v>29605.009765999999</v>
      </c>
      <c r="E307" s="14">
        <v>7.82</v>
      </c>
      <c r="F307" s="18">
        <f t="shared" si="12"/>
        <v>3785.8068754475703</v>
      </c>
      <c r="G307">
        <v>12315.179688</v>
      </c>
      <c r="H307">
        <v>1.1182000000000001</v>
      </c>
      <c r="I307" s="18">
        <f t="shared" si="13"/>
        <v>13770.833927121601</v>
      </c>
      <c r="J307">
        <v>22090.119140999999</v>
      </c>
      <c r="K307" s="15">
        <v>110.16</v>
      </c>
      <c r="L307">
        <f t="shared" si="14"/>
        <v>200.52758842592593</v>
      </c>
    </row>
    <row r="308" spans="1:12" x14ac:dyDescent="0.3">
      <c r="A308" s="20">
        <v>306</v>
      </c>
      <c r="B308" s="4">
        <v>43584</v>
      </c>
      <c r="C308">
        <v>2943.030029</v>
      </c>
      <c r="D308">
        <v>29892.810547000001</v>
      </c>
      <c r="E308" s="14">
        <v>7.82</v>
      </c>
      <c r="F308" s="18">
        <f t="shared" si="12"/>
        <v>3822.6100443734017</v>
      </c>
      <c r="G308">
        <v>12328.019531</v>
      </c>
      <c r="H308">
        <v>1.1205000000000001</v>
      </c>
      <c r="I308" s="18">
        <f t="shared" si="13"/>
        <v>13813.5458844855</v>
      </c>
      <c r="J308">
        <v>22200.560547000001</v>
      </c>
      <c r="K308" s="15">
        <v>108.42</v>
      </c>
      <c r="L308">
        <f t="shared" si="14"/>
        <v>204.76443965135584</v>
      </c>
    </row>
    <row r="309" spans="1:12" x14ac:dyDescent="0.3">
      <c r="A309" s="20">
        <v>307</v>
      </c>
      <c r="B309" s="4">
        <v>43585</v>
      </c>
      <c r="C309">
        <v>2945.830078</v>
      </c>
      <c r="D309">
        <v>29699.109375</v>
      </c>
      <c r="E309" s="14">
        <v>7.82</v>
      </c>
      <c r="F309" s="18">
        <f t="shared" si="12"/>
        <v>3797.8400735294117</v>
      </c>
      <c r="G309">
        <v>12344.080078000001</v>
      </c>
      <c r="H309">
        <v>1.1195999999999999</v>
      </c>
      <c r="I309" s="18">
        <f t="shared" si="13"/>
        <v>13820.4320553288</v>
      </c>
      <c r="J309">
        <v>22217.900390999999</v>
      </c>
      <c r="K309" s="15">
        <v>108.26</v>
      </c>
      <c r="L309">
        <f t="shared" si="14"/>
        <v>205.22723435248474</v>
      </c>
    </row>
    <row r="310" spans="1:12" x14ac:dyDescent="0.3">
      <c r="A310" s="20">
        <v>308</v>
      </c>
      <c r="B310" s="4">
        <v>43586</v>
      </c>
      <c r="C310">
        <v>2923.7299800000001</v>
      </c>
      <c r="D310">
        <v>29821.644531500002</v>
      </c>
      <c r="E310" s="14">
        <v>7.82</v>
      </c>
      <c r="F310" s="18">
        <f t="shared" si="12"/>
        <v>3813.5095308823529</v>
      </c>
      <c r="G310">
        <v>12345.419921999999</v>
      </c>
      <c r="H310">
        <v>1.1173</v>
      </c>
      <c r="I310" s="18">
        <f t="shared" si="13"/>
        <v>13793.537678850598</v>
      </c>
      <c r="J310">
        <v>22259.740234000001</v>
      </c>
      <c r="K310" s="15">
        <v>108.57</v>
      </c>
      <c r="L310">
        <f t="shared" si="14"/>
        <v>205.02662092659116</v>
      </c>
    </row>
    <row r="311" spans="1:12" x14ac:dyDescent="0.3">
      <c r="A311" s="20">
        <v>309</v>
      </c>
      <c r="B311" s="4">
        <v>43587</v>
      </c>
      <c r="C311">
        <v>2917.5200199999999</v>
      </c>
      <c r="D311">
        <v>29944.179688</v>
      </c>
      <c r="E311" s="14">
        <v>7.82</v>
      </c>
      <c r="F311" s="18">
        <f t="shared" si="12"/>
        <v>3829.1789882352941</v>
      </c>
      <c r="G311">
        <v>12412.75</v>
      </c>
      <c r="H311">
        <v>1.1195999999999999</v>
      </c>
      <c r="I311" s="18">
        <f t="shared" si="13"/>
        <v>13897.314899999999</v>
      </c>
      <c r="J311">
        <v>22200</v>
      </c>
      <c r="K311" s="15">
        <v>109.96</v>
      </c>
      <c r="L311">
        <f t="shared" si="14"/>
        <v>201.89159694434341</v>
      </c>
    </row>
    <row r="312" spans="1:12" x14ac:dyDescent="0.3">
      <c r="A312" s="20">
        <v>310</v>
      </c>
      <c r="B312" s="4">
        <v>43588</v>
      </c>
      <c r="C312">
        <v>2945.639893</v>
      </c>
      <c r="D312">
        <v>30081.550781000002</v>
      </c>
      <c r="E312" s="14">
        <v>7.82</v>
      </c>
      <c r="F312" s="18">
        <f t="shared" si="12"/>
        <v>3846.7456241687983</v>
      </c>
      <c r="G312">
        <v>12286.879883</v>
      </c>
      <c r="H312">
        <v>1.1203000000000001</v>
      </c>
      <c r="I312" s="18">
        <f t="shared" si="13"/>
        <v>13764.9915329249</v>
      </c>
      <c r="J312">
        <v>22307.580077999999</v>
      </c>
      <c r="K312" s="15">
        <v>109.67</v>
      </c>
      <c r="L312">
        <f t="shared" si="14"/>
        <v>203.40640173247013</v>
      </c>
    </row>
    <row r="313" spans="1:12" x14ac:dyDescent="0.3">
      <c r="A313" s="20">
        <v>311</v>
      </c>
      <c r="B313" s="4">
        <v>43591</v>
      </c>
      <c r="C313">
        <v>2932.469971</v>
      </c>
      <c r="D313">
        <v>29209.820313</v>
      </c>
      <c r="E313" s="14">
        <v>7.82</v>
      </c>
      <c r="F313" s="18">
        <f t="shared" si="12"/>
        <v>3735.2711397698208</v>
      </c>
      <c r="G313">
        <v>12092.740234000001</v>
      </c>
      <c r="H313">
        <v>1.1185</v>
      </c>
      <c r="I313" s="18">
        <f t="shared" si="13"/>
        <v>13525.729951729001</v>
      </c>
      <c r="J313">
        <v>22258.730468999998</v>
      </c>
      <c r="K313" s="15">
        <v>110.88</v>
      </c>
      <c r="L313">
        <f t="shared" si="14"/>
        <v>200.74612616341992</v>
      </c>
    </row>
    <row r="314" spans="1:12" x14ac:dyDescent="0.3">
      <c r="A314" s="20">
        <v>312</v>
      </c>
      <c r="B314" s="4">
        <v>43592</v>
      </c>
      <c r="C314">
        <v>2884.0500489999999</v>
      </c>
      <c r="D314">
        <v>29363.019531000002</v>
      </c>
      <c r="E314" s="14">
        <v>7.82</v>
      </c>
      <c r="F314" s="18">
        <f t="shared" si="12"/>
        <v>3754.8618326086957</v>
      </c>
      <c r="G314">
        <v>12179.929688</v>
      </c>
      <c r="H314">
        <v>1.119</v>
      </c>
      <c r="I314" s="18">
        <f t="shared" si="13"/>
        <v>13629.341320871999</v>
      </c>
      <c r="J314">
        <v>21923.720702999999</v>
      </c>
      <c r="K314" s="15">
        <v>110.47</v>
      </c>
      <c r="L314">
        <f t="shared" si="14"/>
        <v>198.45859240517788</v>
      </c>
    </row>
    <row r="315" spans="1:12" x14ac:dyDescent="0.3">
      <c r="A315" s="20">
        <v>313</v>
      </c>
      <c r="B315" s="4">
        <v>43593</v>
      </c>
      <c r="C315">
        <v>2879.419922</v>
      </c>
      <c r="D315">
        <v>29003.199218999998</v>
      </c>
      <c r="E315" s="14">
        <v>7.82</v>
      </c>
      <c r="F315" s="18">
        <f t="shared" si="12"/>
        <v>3708.8490049872121</v>
      </c>
      <c r="G315">
        <v>11973.919921999999</v>
      </c>
      <c r="H315">
        <v>1.1223000000000001</v>
      </c>
      <c r="I315" s="18">
        <f t="shared" si="13"/>
        <v>13438.330328460599</v>
      </c>
      <c r="J315">
        <v>21602.589843999998</v>
      </c>
      <c r="K315" s="15">
        <v>109.62</v>
      </c>
      <c r="L315">
        <f t="shared" si="14"/>
        <v>197.06796062762268</v>
      </c>
    </row>
    <row r="316" spans="1:12" x14ac:dyDescent="0.3">
      <c r="A316" s="20">
        <v>314</v>
      </c>
      <c r="B316" s="4">
        <v>43594</v>
      </c>
      <c r="C316">
        <v>2870.719971</v>
      </c>
      <c r="D316">
        <v>28311.070313</v>
      </c>
      <c r="E316" s="14">
        <v>7.82</v>
      </c>
      <c r="F316" s="18">
        <f t="shared" si="12"/>
        <v>3620.3414722506391</v>
      </c>
      <c r="G316">
        <v>12059.830078000001</v>
      </c>
      <c r="H316">
        <v>1.1228</v>
      </c>
      <c r="I316" s="18">
        <f t="shared" si="13"/>
        <v>13540.777211578401</v>
      </c>
      <c r="J316">
        <v>21402.130859000001</v>
      </c>
      <c r="K316" s="15">
        <v>110.93</v>
      </c>
      <c r="L316">
        <f t="shared" si="14"/>
        <v>192.93365959614169</v>
      </c>
    </row>
    <row r="317" spans="1:12" x14ac:dyDescent="0.3">
      <c r="A317" s="20">
        <v>315</v>
      </c>
      <c r="B317" s="4">
        <v>43595</v>
      </c>
      <c r="C317">
        <v>2881.3999020000001</v>
      </c>
      <c r="D317">
        <v>28550.240234000001</v>
      </c>
      <c r="E317" s="14">
        <v>7.82</v>
      </c>
      <c r="F317" s="18">
        <f t="shared" si="12"/>
        <v>3650.9258611253194</v>
      </c>
      <c r="G317">
        <v>11876.650390999999</v>
      </c>
      <c r="H317">
        <v>1.1227</v>
      </c>
      <c r="I317" s="18">
        <f t="shared" si="13"/>
        <v>13333.9153939757</v>
      </c>
      <c r="J317">
        <v>21344.919922000001</v>
      </c>
      <c r="K317" s="15">
        <v>111.36</v>
      </c>
      <c r="L317">
        <f t="shared" si="14"/>
        <v>191.6749274604885</v>
      </c>
    </row>
    <row r="318" spans="1:12" x14ac:dyDescent="0.3">
      <c r="A318" s="20">
        <v>316</v>
      </c>
      <c r="B318" s="4">
        <v>43598</v>
      </c>
      <c r="C318">
        <v>2811.8701169999999</v>
      </c>
      <c r="D318">
        <v>28336.129882500001</v>
      </c>
      <c r="E318" s="14">
        <v>7.82</v>
      </c>
      <c r="F318" s="18">
        <f t="shared" si="12"/>
        <v>3623.5460207800511</v>
      </c>
      <c r="G318">
        <v>11991.620117</v>
      </c>
      <c r="H318">
        <v>1.1205000000000001</v>
      </c>
      <c r="I318" s="18">
        <f t="shared" si="13"/>
        <v>13436.610341098502</v>
      </c>
      <c r="J318">
        <v>21191.279297000001</v>
      </c>
      <c r="K318" s="15">
        <v>111.67</v>
      </c>
      <c r="L318">
        <f t="shared" si="14"/>
        <v>189.7669857347542</v>
      </c>
    </row>
    <row r="319" spans="1:12" x14ac:dyDescent="0.3">
      <c r="A319" s="20">
        <v>317</v>
      </c>
      <c r="B319" s="4">
        <v>43599</v>
      </c>
      <c r="C319">
        <v>2834.4099120000001</v>
      </c>
      <c r="D319">
        <v>28122.019531000002</v>
      </c>
      <c r="E319" s="14">
        <v>7.82</v>
      </c>
      <c r="F319" s="18">
        <f t="shared" si="12"/>
        <v>3596.1661804347827</v>
      </c>
      <c r="G319">
        <v>12099.570313</v>
      </c>
      <c r="H319">
        <v>1.1200000000000001</v>
      </c>
      <c r="I319" s="18">
        <f t="shared" si="13"/>
        <v>13551.518750560001</v>
      </c>
      <c r="J319">
        <v>21067.230468999998</v>
      </c>
      <c r="K319" s="15">
        <v>111.71</v>
      </c>
      <c r="L319">
        <f t="shared" si="14"/>
        <v>188.58858176528511</v>
      </c>
    </row>
    <row r="320" spans="1:12" x14ac:dyDescent="0.3">
      <c r="A320" s="20">
        <v>318</v>
      </c>
      <c r="B320" s="4">
        <v>43600</v>
      </c>
      <c r="C320">
        <v>2850.959961</v>
      </c>
      <c r="D320">
        <v>28268.710938</v>
      </c>
      <c r="E320" s="14">
        <v>7.82</v>
      </c>
      <c r="F320" s="18">
        <f t="shared" si="12"/>
        <v>3614.9246723785163</v>
      </c>
      <c r="G320">
        <v>12310.370117</v>
      </c>
      <c r="H320">
        <v>1.1168</v>
      </c>
      <c r="I320" s="18">
        <f t="shared" si="13"/>
        <v>13748.221346665601</v>
      </c>
      <c r="J320">
        <v>21188.560547000001</v>
      </c>
      <c r="K320" s="15">
        <v>111.61</v>
      </c>
      <c r="L320">
        <f t="shared" si="14"/>
        <v>189.84464247827256</v>
      </c>
    </row>
    <row r="321" spans="1:12" x14ac:dyDescent="0.3">
      <c r="A321" s="20">
        <v>319</v>
      </c>
      <c r="B321" s="4">
        <v>43601</v>
      </c>
      <c r="C321">
        <v>2876.320068</v>
      </c>
      <c r="D321">
        <v>28275.070313</v>
      </c>
      <c r="E321" s="14">
        <v>7.82</v>
      </c>
      <c r="F321" s="18">
        <f t="shared" si="12"/>
        <v>3615.7378916879793</v>
      </c>
      <c r="G321">
        <v>12238.940430000001</v>
      </c>
      <c r="H321">
        <v>1.1160000000000001</v>
      </c>
      <c r="I321" s="18">
        <f t="shared" si="13"/>
        <v>13658.657519880002</v>
      </c>
      <c r="J321">
        <v>21062.980468999998</v>
      </c>
      <c r="K321" s="15">
        <v>112.24</v>
      </c>
      <c r="L321">
        <f t="shared" si="14"/>
        <v>187.6601966233072</v>
      </c>
    </row>
    <row r="322" spans="1:12" x14ac:dyDescent="0.3">
      <c r="A322" s="20">
        <v>320</v>
      </c>
      <c r="B322" s="4">
        <v>43602</v>
      </c>
      <c r="C322">
        <v>2859.530029</v>
      </c>
      <c r="D322">
        <v>27946.460938</v>
      </c>
      <c r="E322" s="14">
        <v>7.82</v>
      </c>
      <c r="F322" s="18">
        <f t="shared" si="12"/>
        <v>3573.7162324808182</v>
      </c>
      <c r="G322">
        <v>12041.290039</v>
      </c>
      <c r="H322">
        <v>1.1168</v>
      </c>
      <c r="I322" s="18">
        <f t="shared" si="13"/>
        <v>13447.712715555199</v>
      </c>
      <c r="J322">
        <v>21250.089843999998</v>
      </c>
      <c r="K322" s="15">
        <v>112.14</v>
      </c>
      <c r="L322">
        <f t="shared" si="14"/>
        <v>189.49607494203673</v>
      </c>
    </row>
    <row r="323" spans="1:12" x14ac:dyDescent="0.3">
      <c r="A323" s="20">
        <v>321</v>
      </c>
      <c r="B323" s="4">
        <v>43605</v>
      </c>
      <c r="C323">
        <v>2840.2299800000001</v>
      </c>
      <c r="D323">
        <v>27787.609375</v>
      </c>
      <c r="E323" s="14">
        <v>7.82</v>
      </c>
      <c r="F323" s="18">
        <f t="shared" ref="F323:F386" si="15">D323/E323</f>
        <v>3553.4027333759591</v>
      </c>
      <c r="G323">
        <v>12143.469727</v>
      </c>
      <c r="H323">
        <v>1.1156999999999999</v>
      </c>
      <c r="I323" s="18">
        <f t="shared" ref="I323:I386" si="16">G323*H323</f>
        <v>13548.469174413898</v>
      </c>
      <c r="J323">
        <v>21301.730468999998</v>
      </c>
      <c r="K323" s="15">
        <v>113.36</v>
      </c>
      <c r="L323">
        <f t="shared" ref="L323:L386" si="17">J323/K323</f>
        <v>187.91223067219477</v>
      </c>
    </row>
    <row r="324" spans="1:12" x14ac:dyDescent="0.3">
      <c r="A324" s="20">
        <v>322</v>
      </c>
      <c r="B324" s="4">
        <v>43606</v>
      </c>
      <c r="C324">
        <v>2864.360107</v>
      </c>
      <c r="D324">
        <v>27657.240234000001</v>
      </c>
      <c r="E324" s="14">
        <v>7.82</v>
      </c>
      <c r="F324" s="18">
        <f t="shared" si="15"/>
        <v>3536.731487723785</v>
      </c>
      <c r="G324">
        <v>12168.740234000001</v>
      </c>
      <c r="H324">
        <v>1.1154999999999999</v>
      </c>
      <c r="I324" s="18">
        <f t="shared" si="16"/>
        <v>13574.229731027001</v>
      </c>
      <c r="J324">
        <v>21272.449218999998</v>
      </c>
      <c r="K324" s="15">
        <v>113.24</v>
      </c>
      <c r="L324">
        <f t="shared" si="17"/>
        <v>187.85278363652418</v>
      </c>
    </row>
    <row r="325" spans="1:12" x14ac:dyDescent="0.3">
      <c r="A325" s="20">
        <v>323</v>
      </c>
      <c r="B325" s="4">
        <v>43607</v>
      </c>
      <c r="C325">
        <v>2856.2700199999999</v>
      </c>
      <c r="D325">
        <v>27705.939452999999</v>
      </c>
      <c r="E325" s="14">
        <v>7.82</v>
      </c>
      <c r="F325" s="18">
        <f t="shared" si="15"/>
        <v>3542.959009335038</v>
      </c>
      <c r="G325">
        <v>11952.410156</v>
      </c>
      <c r="H325">
        <v>1.1180000000000001</v>
      </c>
      <c r="I325" s="18">
        <f t="shared" si="16"/>
        <v>13362.794554408001</v>
      </c>
      <c r="J325">
        <v>21283.369140999999</v>
      </c>
      <c r="K325" s="15">
        <v>113.21</v>
      </c>
      <c r="L325">
        <f t="shared" si="17"/>
        <v>187.99902076671671</v>
      </c>
    </row>
    <row r="326" spans="1:12" x14ac:dyDescent="0.3">
      <c r="A326" s="20">
        <v>324</v>
      </c>
      <c r="B326" s="4">
        <v>43608</v>
      </c>
      <c r="C326">
        <v>2822.23999</v>
      </c>
      <c r="D326">
        <v>27267.130859000001</v>
      </c>
      <c r="E326" s="14">
        <v>7.82</v>
      </c>
      <c r="F326" s="18">
        <f t="shared" si="15"/>
        <v>3486.8453783887467</v>
      </c>
      <c r="G326">
        <v>12011.040039</v>
      </c>
      <c r="H326">
        <v>1.1205000000000001</v>
      </c>
      <c r="I326" s="18">
        <f t="shared" si="16"/>
        <v>13458.3703636995</v>
      </c>
      <c r="J326">
        <v>21151.140625</v>
      </c>
      <c r="K326" s="15">
        <v>113.37</v>
      </c>
      <c r="L326">
        <f t="shared" si="17"/>
        <v>186.56735137161505</v>
      </c>
    </row>
    <row r="327" spans="1:12" x14ac:dyDescent="0.3">
      <c r="A327" s="20">
        <v>325</v>
      </c>
      <c r="B327" s="4">
        <v>43609</v>
      </c>
      <c r="C327">
        <v>2826.0600589999999</v>
      </c>
      <c r="D327">
        <v>27353.929688</v>
      </c>
      <c r="E327" s="14">
        <v>7.82</v>
      </c>
      <c r="F327" s="18">
        <f t="shared" si="15"/>
        <v>3497.9449728900254</v>
      </c>
      <c r="G327">
        <v>12071.179688</v>
      </c>
      <c r="H327">
        <v>1.1195999999999999</v>
      </c>
      <c r="I327" s="18">
        <f t="shared" si="16"/>
        <v>13514.8927786848</v>
      </c>
      <c r="J327">
        <v>21117.220702999999</v>
      </c>
      <c r="K327" s="15">
        <v>112.91</v>
      </c>
      <c r="L327">
        <f t="shared" si="17"/>
        <v>187.02701889115224</v>
      </c>
    </row>
    <row r="328" spans="1:12" x14ac:dyDescent="0.3">
      <c r="A328" s="20">
        <v>326</v>
      </c>
      <c r="B328" s="4">
        <v>43613</v>
      </c>
      <c r="C328">
        <v>2802.389893</v>
      </c>
      <c r="D328">
        <v>27288.089843999998</v>
      </c>
      <c r="E328" s="14">
        <v>7.82</v>
      </c>
      <c r="F328" s="18">
        <f t="shared" si="15"/>
        <v>3489.5255554987207</v>
      </c>
      <c r="G328">
        <v>12027.049805000001</v>
      </c>
      <c r="H328">
        <v>1.1163000000000001</v>
      </c>
      <c r="I328" s="18">
        <f t="shared" si="16"/>
        <v>13425.795697321502</v>
      </c>
      <c r="J328">
        <v>21182.580077999999</v>
      </c>
      <c r="K328" s="15">
        <v>113.92</v>
      </c>
      <c r="L328">
        <f t="shared" si="17"/>
        <v>185.94259197682584</v>
      </c>
    </row>
    <row r="329" spans="1:12" x14ac:dyDescent="0.3">
      <c r="A329" s="20">
        <v>327</v>
      </c>
      <c r="B329" s="4">
        <v>43614</v>
      </c>
      <c r="C329">
        <v>2783.0200199999999</v>
      </c>
      <c r="D329">
        <v>27390.810547000001</v>
      </c>
      <c r="E329" s="14">
        <v>7.82</v>
      </c>
      <c r="F329" s="18">
        <f t="shared" si="15"/>
        <v>3502.6611952685421</v>
      </c>
      <c r="G329">
        <v>11837.809569999999</v>
      </c>
      <c r="H329">
        <v>1.1133999999999999</v>
      </c>
      <c r="I329" s="18">
        <f t="shared" si="16"/>
        <v>13180.217175237998</v>
      </c>
      <c r="J329">
        <v>21260.140625</v>
      </c>
      <c r="K329" s="15">
        <v>114.16</v>
      </c>
      <c r="L329">
        <f t="shared" si="17"/>
        <v>186.23108466187807</v>
      </c>
    </row>
    <row r="330" spans="1:12" x14ac:dyDescent="0.3">
      <c r="A330" s="20">
        <v>328</v>
      </c>
      <c r="B330" s="4">
        <v>43615</v>
      </c>
      <c r="C330">
        <v>2788.860107</v>
      </c>
      <c r="D330">
        <v>27235.710938</v>
      </c>
      <c r="E330" s="14">
        <v>7.82</v>
      </c>
      <c r="F330" s="18">
        <f t="shared" si="15"/>
        <v>3482.8274856777493</v>
      </c>
      <c r="G330">
        <v>11902.080078000001</v>
      </c>
      <c r="H330">
        <v>1.1134999999999999</v>
      </c>
      <c r="I330" s="18">
        <f t="shared" si="16"/>
        <v>13252.966166853001</v>
      </c>
      <c r="J330">
        <v>21003.369140999999</v>
      </c>
      <c r="K330" s="15">
        <v>113.13</v>
      </c>
      <c r="L330">
        <f t="shared" si="17"/>
        <v>185.65693574648634</v>
      </c>
    </row>
    <row r="331" spans="1:12" x14ac:dyDescent="0.3">
      <c r="A331" s="20">
        <v>329</v>
      </c>
      <c r="B331" s="4">
        <v>43616</v>
      </c>
      <c r="C331">
        <v>2752.0600589999999</v>
      </c>
      <c r="D331">
        <v>27114.880859000001</v>
      </c>
      <c r="E331" s="14">
        <v>7.82</v>
      </c>
      <c r="F331" s="18">
        <f t="shared" si="15"/>
        <v>3467.3760689258311</v>
      </c>
      <c r="G331">
        <v>11726.839844</v>
      </c>
      <c r="H331">
        <v>1.1172</v>
      </c>
      <c r="I331" s="18">
        <f t="shared" si="16"/>
        <v>13101.2254737168</v>
      </c>
      <c r="J331">
        <v>20942.529297000001</v>
      </c>
      <c r="K331" s="15">
        <v>108.23</v>
      </c>
      <c r="L331">
        <f t="shared" si="17"/>
        <v>193.50022449413288</v>
      </c>
    </row>
    <row r="332" spans="1:12" x14ac:dyDescent="0.3">
      <c r="A332" s="20">
        <v>330</v>
      </c>
      <c r="B332" s="4">
        <v>43619</v>
      </c>
      <c r="C332">
        <v>2744.4499510000001</v>
      </c>
      <c r="D332">
        <v>26901.089843999998</v>
      </c>
      <c r="E332" s="14">
        <v>7.82</v>
      </c>
      <c r="F332" s="18">
        <f t="shared" si="15"/>
        <v>3440.0370644501277</v>
      </c>
      <c r="G332">
        <v>11792.809569999999</v>
      </c>
      <c r="H332">
        <v>1.1254999999999999</v>
      </c>
      <c r="I332" s="18">
        <f t="shared" si="16"/>
        <v>13272.807171035</v>
      </c>
      <c r="J332">
        <v>20601.189452999999</v>
      </c>
      <c r="K332" s="15">
        <v>108.69</v>
      </c>
      <c r="L332">
        <f t="shared" si="17"/>
        <v>189.54079908915264</v>
      </c>
    </row>
    <row r="333" spans="1:12" x14ac:dyDescent="0.3">
      <c r="A333" s="20">
        <v>331</v>
      </c>
      <c r="B333" s="4">
        <v>43620</v>
      </c>
      <c r="C333">
        <v>2803.2700199999999</v>
      </c>
      <c r="D333">
        <v>26893.859375</v>
      </c>
      <c r="E333" s="14">
        <v>7.82</v>
      </c>
      <c r="F333" s="18">
        <f t="shared" si="15"/>
        <v>3439.1124520460357</v>
      </c>
      <c r="G333">
        <v>11971.169921999999</v>
      </c>
      <c r="H333">
        <v>1.1255999999999999</v>
      </c>
      <c r="I333" s="18">
        <f t="shared" si="16"/>
        <v>13474.748864203199</v>
      </c>
      <c r="J333">
        <v>20410.880859000001</v>
      </c>
      <c r="K333" s="15">
        <v>109.71</v>
      </c>
      <c r="L333">
        <f t="shared" si="17"/>
        <v>186.04394183757179</v>
      </c>
    </row>
    <row r="334" spans="1:12" x14ac:dyDescent="0.3">
      <c r="A334" s="20">
        <v>332</v>
      </c>
      <c r="B334" s="4">
        <v>43621</v>
      </c>
      <c r="C334">
        <v>2826.1499020000001</v>
      </c>
      <c r="D334">
        <v>26761.519531000002</v>
      </c>
      <c r="E334" s="14">
        <v>7.82</v>
      </c>
      <c r="F334" s="18">
        <f t="shared" si="15"/>
        <v>3422.1891983375958</v>
      </c>
      <c r="G334">
        <v>11980.809569999999</v>
      </c>
      <c r="H334">
        <v>1.1224000000000001</v>
      </c>
      <c r="I334" s="18">
        <f t="shared" si="16"/>
        <v>13447.260661368</v>
      </c>
      <c r="J334">
        <v>20408.539063</v>
      </c>
      <c r="K334" s="15">
        <v>109.54</v>
      </c>
      <c r="L334">
        <f t="shared" si="17"/>
        <v>186.31129325360598</v>
      </c>
    </row>
    <row r="335" spans="1:12" x14ac:dyDescent="0.3">
      <c r="A335" s="20">
        <v>333</v>
      </c>
      <c r="B335" s="4">
        <v>43622</v>
      </c>
      <c r="C335">
        <v>2843.48999</v>
      </c>
      <c r="D335">
        <v>26895.439452999999</v>
      </c>
      <c r="E335" s="14">
        <v>7.82</v>
      </c>
      <c r="F335" s="18">
        <f t="shared" si="15"/>
        <v>3439.3145080562658</v>
      </c>
      <c r="G335">
        <v>11953.139648</v>
      </c>
      <c r="H335">
        <v>1.1271</v>
      </c>
      <c r="I335" s="18">
        <f t="shared" si="16"/>
        <v>13472.383697260801</v>
      </c>
      <c r="J335">
        <v>20776.099609000001</v>
      </c>
      <c r="K335" s="15">
        <v>109.48</v>
      </c>
      <c r="L335">
        <f t="shared" si="17"/>
        <v>189.77073080928022</v>
      </c>
    </row>
    <row r="336" spans="1:12" x14ac:dyDescent="0.3">
      <c r="A336" s="20">
        <v>334</v>
      </c>
      <c r="B336" s="4">
        <v>43623</v>
      </c>
      <c r="C336">
        <v>2873.3400879999999</v>
      </c>
      <c r="D336">
        <v>26965.279297000001</v>
      </c>
      <c r="E336" s="14">
        <v>7.82</v>
      </c>
      <c r="F336" s="18">
        <f t="shared" si="15"/>
        <v>3448.2454343989771</v>
      </c>
      <c r="G336">
        <v>12045.379883</v>
      </c>
      <c r="H336">
        <v>1.1334</v>
      </c>
      <c r="I336" s="18">
        <f t="shared" si="16"/>
        <v>13652.2335593922</v>
      </c>
      <c r="J336">
        <v>20774.039063</v>
      </c>
      <c r="K336" s="15">
        <v>109.02</v>
      </c>
      <c r="L336">
        <f t="shared" si="17"/>
        <v>190.552550568703</v>
      </c>
    </row>
    <row r="337" spans="1:12" x14ac:dyDescent="0.3">
      <c r="A337" s="20">
        <v>335</v>
      </c>
      <c r="B337" s="4">
        <v>43626</v>
      </c>
      <c r="C337">
        <v>2886.7299800000001</v>
      </c>
      <c r="D337">
        <v>27578.640625</v>
      </c>
      <c r="E337" s="14">
        <v>7.82</v>
      </c>
      <c r="F337" s="18">
        <f t="shared" si="15"/>
        <v>3526.6803868286443</v>
      </c>
      <c r="G337">
        <v>12155.809569999999</v>
      </c>
      <c r="H337">
        <v>1.1312</v>
      </c>
      <c r="I337" s="18">
        <f t="shared" si="16"/>
        <v>13750.651785583999</v>
      </c>
      <c r="J337">
        <v>20884.710938</v>
      </c>
      <c r="K337" s="15">
        <v>106.82</v>
      </c>
      <c r="L337">
        <f t="shared" si="17"/>
        <v>195.51311494102228</v>
      </c>
    </row>
    <row r="338" spans="1:12" x14ac:dyDescent="0.3">
      <c r="A338" s="20">
        <v>336</v>
      </c>
      <c r="B338" s="4">
        <v>43627</v>
      </c>
      <c r="C338">
        <v>2885.719971</v>
      </c>
      <c r="D338">
        <v>27789.339843999998</v>
      </c>
      <c r="E338" s="14">
        <v>7.82</v>
      </c>
      <c r="F338" s="18">
        <f t="shared" si="15"/>
        <v>3553.6240209718667</v>
      </c>
      <c r="G338">
        <v>12115.679688</v>
      </c>
      <c r="H338">
        <v>1.1326000000000001</v>
      </c>
      <c r="I338" s="18">
        <f t="shared" si="16"/>
        <v>13722.218814628801</v>
      </c>
      <c r="J338">
        <v>21134.419922000001</v>
      </c>
      <c r="K338" s="15">
        <v>106.84</v>
      </c>
      <c r="L338">
        <f t="shared" si="17"/>
        <v>197.8137394421565</v>
      </c>
    </row>
    <row r="339" spans="1:12" x14ac:dyDescent="0.3">
      <c r="A339" s="20">
        <v>337</v>
      </c>
      <c r="B339" s="4">
        <v>43628</v>
      </c>
      <c r="C339">
        <v>2879.8400879999999</v>
      </c>
      <c r="D339">
        <v>27308.460938</v>
      </c>
      <c r="E339" s="14">
        <v>7.82</v>
      </c>
      <c r="F339" s="18">
        <f t="shared" si="15"/>
        <v>3492.1305547314578</v>
      </c>
      <c r="G339">
        <v>12169.049805000001</v>
      </c>
      <c r="H339">
        <v>1.1287</v>
      </c>
      <c r="I339" s="18">
        <f t="shared" si="16"/>
        <v>13735.206514903501</v>
      </c>
      <c r="J339">
        <v>21204.279297000001</v>
      </c>
      <c r="K339" s="15">
        <v>107.13</v>
      </c>
      <c r="L339">
        <f t="shared" si="17"/>
        <v>197.93035841500981</v>
      </c>
    </row>
    <row r="340" spans="1:12" x14ac:dyDescent="0.3">
      <c r="A340" s="20">
        <v>338</v>
      </c>
      <c r="B340" s="4">
        <v>43629</v>
      </c>
      <c r="C340">
        <v>2891.639893</v>
      </c>
      <c r="D340">
        <v>27294.710938</v>
      </c>
      <c r="E340" s="14">
        <v>7.82</v>
      </c>
      <c r="F340" s="18">
        <f t="shared" si="15"/>
        <v>3490.3722427109974</v>
      </c>
      <c r="G340">
        <v>12096.400390999999</v>
      </c>
      <c r="H340">
        <v>1.1277999999999999</v>
      </c>
      <c r="I340" s="18">
        <f t="shared" si="16"/>
        <v>13642.320360969798</v>
      </c>
      <c r="J340">
        <v>21129.720702999999</v>
      </c>
      <c r="K340" s="15">
        <v>107.07</v>
      </c>
      <c r="L340">
        <f t="shared" si="17"/>
        <v>197.34492110768656</v>
      </c>
    </row>
    <row r="341" spans="1:12" x14ac:dyDescent="0.3">
      <c r="A341" s="20">
        <v>339</v>
      </c>
      <c r="B341" s="4">
        <v>43630</v>
      </c>
      <c r="C341">
        <v>2886.9799800000001</v>
      </c>
      <c r="D341">
        <v>27118.349609000001</v>
      </c>
      <c r="E341" s="14">
        <v>7.82</v>
      </c>
      <c r="F341" s="18">
        <f t="shared" si="15"/>
        <v>3467.8196430946291</v>
      </c>
      <c r="G341">
        <v>12085.820313</v>
      </c>
      <c r="H341">
        <v>1.1208</v>
      </c>
      <c r="I341" s="18">
        <f t="shared" si="16"/>
        <v>13545.787406810401</v>
      </c>
      <c r="J341">
        <v>21032</v>
      </c>
      <c r="K341" s="15">
        <v>106.82</v>
      </c>
      <c r="L341">
        <f t="shared" si="17"/>
        <v>196.89196779629285</v>
      </c>
    </row>
    <row r="342" spans="1:12" x14ac:dyDescent="0.3">
      <c r="A342" s="20">
        <v>340</v>
      </c>
      <c r="B342" s="4">
        <v>43633</v>
      </c>
      <c r="C342">
        <v>2889.669922</v>
      </c>
      <c r="D342">
        <v>27227.160156000002</v>
      </c>
      <c r="E342" s="14">
        <v>7.82</v>
      </c>
      <c r="F342" s="18">
        <f t="shared" si="15"/>
        <v>3481.7340352941178</v>
      </c>
      <c r="G342">
        <v>12331.75</v>
      </c>
      <c r="H342">
        <v>1.1216999999999999</v>
      </c>
      <c r="I342" s="18">
        <f t="shared" si="16"/>
        <v>13832.523974999998</v>
      </c>
      <c r="J342">
        <v>21116.890625</v>
      </c>
      <c r="K342" s="15">
        <v>105.73</v>
      </c>
      <c r="L342">
        <f t="shared" si="17"/>
        <v>199.72468197294995</v>
      </c>
    </row>
    <row r="343" spans="1:12" x14ac:dyDescent="0.3">
      <c r="A343" s="20">
        <v>341</v>
      </c>
      <c r="B343" s="4">
        <v>43634</v>
      </c>
      <c r="C343">
        <v>2917.75</v>
      </c>
      <c r="D343">
        <v>27498.769531000002</v>
      </c>
      <c r="E343" s="14">
        <v>7.82</v>
      </c>
      <c r="F343" s="18">
        <f t="shared" si="15"/>
        <v>3516.4666919437341</v>
      </c>
      <c r="G343">
        <v>12308.530273</v>
      </c>
      <c r="H343">
        <v>1.1193</v>
      </c>
      <c r="I343" s="18">
        <f t="shared" si="16"/>
        <v>13776.937934568899</v>
      </c>
      <c r="J343">
        <v>21124</v>
      </c>
      <c r="K343" s="15">
        <v>106.67</v>
      </c>
      <c r="L343">
        <f t="shared" si="17"/>
        <v>198.03131152151494</v>
      </c>
    </row>
    <row r="344" spans="1:12" x14ac:dyDescent="0.3">
      <c r="A344" s="20">
        <v>342</v>
      </c>
      <c r="B344" s="4">
        <v>43635</v>
      </c>
      <c r="C344">
        <v>2926.459961</v>
      </c>
      <c r="D344">
        <v>28202.140625</v>
      </c>
      <c r="E344" s="14">
        <v>7.82</v>
      </c>
      <c r="F344" s="18">
        <f t="shared" si="15"/>
        <v>3606.4118446291559</v>
      </c>
      <c r="G344">
        <v>12355.389648</v>
      </c>
      <c r="H344">
        <v>1.1231</v>
      </c>
      <c r="I344" s="18">
        <f t="shared" si="16"/>
        <v>13876.3381136688</v>
      </c>
      <c r="J344">
        <v>20972.710938</v>
      </c>
      <c r="K344" s="15">
        <v>107.3</v>
      </c>
      <c r="L344">
        <f t="shared" si="17"/>
        <v>195.45862943150047</v>
      </c>
    </row>
    <row r="345" spans="1:12" x14ac:dyDescent="0.3">
      <c r="A345" s="20">
        <v>343</v>
      </c>
      <c r="B345" s="4">
        <v>43636</v>
      </c>
      <c r="C345">
        <v>2954.179932</v>
      </c>
      <c r="D345">
        <v>28550.429688</v>
      </c>
      <c r="E345" s="14">
        <v>7.82</v>
      </c>
      <c r="F345" s="18">
        <f t="shared" si="15"/>
        <v>3650.9500879795396</v>
      </c>
      <c r="G345">
        <v>12339.919921999999</v>
      </c>
      <c r="H345">
        <v>1.1294</v>
      </c>
      <c r="I345" s="18">
        <f t="shared" si="16"/>
        <v>13936.705559906799</v>
      </c>
      <c r="J345">
        <v>21333.869140999999</v>
      </c>
      <c r="K345" s="15">
        <v>106.79</v>
      </c>
      <c r="L345">
        <f t="shared" si="17"/>
        <v>199.77403446951959</v>
      </c>
    </row>
    <row r="346" spans="1:12" x14ac:dyDescent="0.3">
      <c r="A346" s="20">
        <v>344</v>
      </c>
      <c r="B346" s="4">
        <v>43637</v>
      </c>
      <c r="C346">
        <v>2950.459961</v>
      </c>
      <c r="D346">
        <v>28473.710938</v>
      </c>
      <c r="E346" s="14">
        <v>7.82</v>
      </c>
      <c r="F346" s="18">
        <f t="shared" si="15"/>
        <v>3641.1395061381072</v>
      </c>
      <c r="G346">
        <v>12274.570313</v>
      </c>
      <c r="H346">
        <v>1.1367</v>
      </c>
      <c r="I346" s="18">
        <f t="shared" si="16"/>
        <v>13952.504074787101</v>
      </c>
      <c r="J346">
        <v>21462.859375</v>
      </c>
      <c r="K346" s="15">
        <v>106.92</v>
      </c>
      <c r="L346">
        <f t="shared" si="17"/>
        <v>200.73755494762437</v>
      </c>
    </row>
    <row r="347" spans="1:12" x14ac:dyDescent="0.3">
      <c r="A347" s="20">
        <v>345</v>
      </c>
      <c r="B347" s="4">
        <v>43640</v>
      </c>
      <c r="C347">
        <v>2945.3500979999999</v>
      </c>
      <c r="D347">
        <v>28513</v>
      </c>
      <c r="E347" s="14">
        <v>7.82</v>
      </c>
      <c r="F347" s="18">
        <f t="shared" si="15"/>
        <v>3646.16368286445</v>
      </c>
      <c r="G347">
        <v>12228.440430000001</v>
      </c>
      <c r="H347">
        <v>1.1395999999999999</v>
      </c>
      <c r="I347" s="18">
        <f t="shared" si="16"/>
        <v>13935.530714028</v>
      </c>
      <c r="J347">
        <v>21258.640625</v>
      </c>
      <c r="K347" s="15">
        <v>107.35</v>
      </c>
      <c r="L347">
        <f t="shared" si="17"/>
        <v>198.03111900326039</v>
      </c>
    </row>
    <row r="348" spans="1:12" x14ac:dyDescent="0.3">
      <c r="A348" s="20">
        <v>346</v>
      </c>
      <c r="B348" s="4">
        <v>43641</v>
      </c>
      <c r="C348">
        <v>2917.3798830000001</v>
      </c>
      <c r="D348">
        <v>28185.980468999998</v>
      </c>
      <c r="E348" s="14">
        <v>7.82</v>
      </c>
      <c r="F348" s="18">
        <f t="shared" si="15"/>
        <v>3604.3453285166238</v>
      </c>
      <c r="G348">
        <v>12245.320313</v>
      </c>
      <c r="H348">
        <v>1.1372</v>
      </c>
      <c r="I348" s="18">
        <f t="shared" si="16"/>
        <v>13925.3782599436</v>
      </c>
      <c r="J348">
        <v>21285.990234000001</v>
      </c>
      <c r="K348" s="15">
        <v>106.32</v>
      </c>
      <c r="L348">
        <f t="shared" si="17"/>
        <v>200.20683064334088</v>
      </c>
    </row>
    <row r="349" spans="1:12" x14ac:dyDescent="0.3">
      <c r="A349" s="20">
        <v>347</v>
      </c>
      <c r="B349" s="4">
        <v>43642</v>
      </c>
      <c r="C349">
        <v>2913.780029</v>
      </c>
      <c r="D349">
        <v>28221.980468999998</v>
      </c>
      <c r="E349" s="14">
        <v>7.82</v>
      </c>
      <c r="F349" s="18">
        <f t="shared" si="15"/>
        <v>3608.9489090792836</v>
      </c>
      <c r="G349">
        <v>12271.030273</v>
      </c>
      <c r="H349">
        <v>1.1367</v>
      </c>
      <c r="I349" s="18">
        <f t="shared" si="16"/>
        <v>13948.480111319101</v>
      </c>
      <c r="J349">
        <v>21193.810547000001</v>
      </c>
      <c r="K349" s="15">
        <v>106.25</v>
      </c>
      <c r="L349">
        <f t="shared" si="17"/>
        <v>199.47115808941177</v>
      </c>
    </row>
    <row r="350" spans="1:12" x14ac:dyDescent="0.3">
      <c r="A350" s="20">
        <v>348</v>
      </c>
      <c r="B350" s="4">
        <v>43643</v>
      </c>
      <c r="C350">
        <v>2924.919922</v>
      </c>
      <c r="D350">
        <v>28621.419922000001</v>
      </c>
      <c r="E350" s="14">
        <v>7.82</v>
      </c>
      <c r="F350" s="18">
        <f t="shared" si="15"/>
        <v>3660.028123017903</v>
      </c>
      <c r="G350">
        <v>12398.799805000001</v>
      </c>
      <c r="H350">
        <v>1.1365000000000001</v>
      </c>
      <c r="I350" s="18">
        <f t="shared" si="16"/>
        <v>14091.235978382501</v>
      </c>
      <c r="J350">
        <v>21086.589843999998</v>
      </c>
      <c r="K350" s="15">
        <v>106.78</v>
      </c>
      <c r="L350">
        <f t="shared" si="17"/>
        <v>197.47696051695073</v>
      </c>
    </row>
    <row r="351" spans="1:12" x14ac:dyDescent="0.3">
      <c r="A351" s="20">
        <v>349</v>
      </c>
      <c r="B351" s="4">
        <v>43644</v>
      </c>
      <c r="C351">
        <v>2941.76001</v>
      </c>
      <c r="D351">
        <v>28542.619140999999</v>
      </c>
      <c r="E351" s="14">
        <v>7.82</v>
      </c>
      <c r="F351" s="18">
        <f t="shared" si="15"/>
        <v>3649.951296803069</v>
      </c>
      <c r="G351">
        <v>12521.379883</v>
      </c>
      <c r="H351">
        <v>1.1372</v>
      </c>
      <c r="I351" s="18">
        <f t="shared" si="16"/>
        <v>14239.3132029476</v>
      </c>
      <c r="J351">
        <v>21338.169922000001</v>
      </c>
      <c r="K351" s="15">
        <v>106.92</v>
      </c>
      <c r="L351">
        <f t="shared" si="17"/>
        <v>199.57136103628881</v>
      </c>
    </row>
    <row r="352" spans="1:12" x14ac:dyDescent="0.3">
      <c r="A352" s="20">
        <v>350</v>
      </c>
      <c r="B352" s="4">
        <v>43647</v>
      </c>
      <c r="C352">
        <v>2964.330078</v>
      </c>
      <c r="D352">
        <v>28875.560547000001</v>
      </c>
      <c r="E352" s="14">
        <v>7.82</v>
      </c>
      <c r="F352" s="18">
        <f t="shared" si="15"/>
        <v>3692.5269241687979</v>
      </c>
      <c r="G352">
        <v>12526.719727</v>
      </c>
      <c r="H352">
        <v>1.1286</v>
      </c>
      <c r="I352" s="18">
        <f t="shared" si="16"/>
        <v>14137.655883892201</v>
      </c>
      <c r="J352">
        <v>21275.919922000001</v>
      </c>
      <c r="K352" s="15">
        <v>106.74</v>
      </c>
      <c r="L352">
        <f t="shared" si="17"/>
        <v>199.32471352819937</v>
      </c>
    </row>
    <row r="353" spans="1:12" x14ac:dyDescent="0.3">
      <c r="A353" s="20">
        <v>351</v>
      </c>
      <c r="B353" s="4">
        <v>43648</v>
      </c>
      <c r="C353">
        <v>2973.01001</v>
      </c>
      <c r="D353">
        <v>28855.140625</v>
      </c>
      <c r="E353" s="14">
        <v>7.82</v>
      </c>
      <c r="F353" s="18">
        <f t="shared" si="15"/>
        <v>3689.9156809462916</v>
      </c>
      <c r="G353">
        <v>12616.240234000001</v>
      </c>
      <c r="H353">
        <v>1.1289</v>
      </c>
      <c r="I353" s="18">
        <f t="shared" si="16"/>
        <v>14242.473600162601</v>
      </c>
      <c r="J353">
        <v>21729.970702999999</v>
      </c>
      <c r="K353" s="15">
        <v>106.62</v>
      </c>
      <c r="L353">
        <f t="shared" si="17"/>
        <v>203.80764118364283</v>
      </c>
    </row>
    <row r="354" spans="1:12" x14ac:dyDescent="0.3">
      <c r="A354" s="20">
        <v>352</v>
      </c>
      <c r="B354" s="4">
        <v>43649</v>
      </c>
      <c r="C354">
        <v>2995.820068</v>
      </c>
      <c r="D354">
        <v>28795.769531000002</v>
      </c>
      <c r="E354" s="14">
        <v>7.82</v>
      </c>
      <c r="F354" s="18">
        <f t="shared" si="15"/>
        <v>3682.3234694373405</v>
      </c>
      <c r="G354">
        <v>12629.900390999999</v>
      </c>
      <c r="H354">
        <v>1.1282000000000001</v>
      </c>
      <c r="I354" s="18">
        <f t="shared" si="16"/>
        <v>14249.053621126201</v>
      </c>
      <c r="J354">
        <v>21754.269531000002</v>
      </c>
      <c r="K354" s="15">
        <v>107.45</v>
      </c>
      <c r="L354">
        <f t="shared" si="17"/>
        <v>202.45946515588648</v>
      </c>
    </row>
    <row r="355" spans="1:12" x14ac:dyDescent="0.3">
      <c r="A355" s="20">
        <v>353</v>
      </c>
      <c r="B355" s="4">
        <v>43651</v>
      </c>
      <c r="C355">
        <v>2990.4099120000001</v>
      </c>
      <c r="D355">
        <v>28774.830077999999</v>
      </c>
      <c r="E355" s="14">
        <v>7.82</v>
      </c>
      <c r="F355" s="18">
        <f t="shared" si="15"/>
        <v>3679.645790025575</v>
      </c>
      <c r="G355">
        <v>12568.530273</v>
      </c>
      <c r="H355">
        <v>1.1283000000000001</v>
      </c>
      <c r="I355" s="18">
        <f t="shared" si="16"/>
        <v>14181.072707025902</v>
      </c>
      <c r="J355">
        <v>21638.160156000002</v>
      </c>
      <c r="K355" s="15">
        <v>107.43</v>
      </c>
      <c r="L355">
        <f t="shared" si="17"/>
        <v>201.41636559620218</v>
      </c>
    </row>
    <row r="356" spans="1:12" x14ac:dyDescent="0.3">
      <c r="A356" s="20">
        <v>354</v>
      </c>
      <c r="B356" s="4">
        <v>43654</v>
      </c>
      <c r="C356">
        <v>2975.9499510000001</v>
      </c>
      <c r="D356">
        <v>28331.689452999999</v>
      </c>
      <c r="E356" s="14">
        <v>7.82</v>
      </c>
      <c r="F356" s="18">
        <f t="shared" si="15"/>
        <v>3622.9781909207159</v>
      </c>
      <c r="G356">
        <v>12543.509765999999</v>
      </c>
      <c r="H356">
        <v>1.1217999999999999</v>
      </c>
      <c r="I356" s="18">
        <f t="shared" si="16"/>
        <v>14071.309255498798</v>
      </c>
      <c r="J356">
        <v>21702.449218999998</v>
      </c>
      <c r="K356" s="15">
        <v>108.24</v>
      </c>
      <c r="L356">
        <f t="shared" si="17"/>
        <v>200.50304156504063</v>
      </c>
    </row>
    <row r="357" spans="1:12" x14ac:dyDescent="0.3">
      <c r="A357" s="20">
        <v>355</v>
      </c>
      <c r="B357" s="4">
        <v>43655</v>
      </c>
      <c r="C357">
        <v>2979.6298830000001</v>
      </c>
      <c r="D357">
        <v>28116.279297000001</v>
      </c>
      <c r="E357" s="14">
        <v>7.82</v>
      </c>
      <c r="F357" s="18">
        <f t="shared" si="15"/>
        <v>3595.4321351662402</v>
      </c>
      <c r="G357">
        <v>12436.549805000001</v>
      </c>
      <c r="H357">
        <v>1.1213</v>
      </c>
      <c r="I357" s="18">
        <f t="shared" si="16"/>
        <v>13945.1032963465</v>
      </c>
      <c r="J357">
        <v>21746.380859000001</v>
      </c>
      <c r="K357" s="15">
        <v>108.17</v>
      </c>
      <c r="L357">
        <f t="shared" si="17"/>
        <v>201.03892815937877</v>
      </c>
    </row>
    <row r="358" spans="1:12" x14ac:dyDescent="0.3">
      <c r="A358" s="20">
        <v>356</v>
      </c>
      <c r="B358" s="4">
        <v>43656</v>
      </c>
      <c r="C358">
        <v>2993.070068</v>
      </c>
      <c r="D358">
        <v>28204.689452999999</v>
      </c>
      <c r="E358" s="14">
        <v>7.82</v>
      </c>
      <c r="F358" s="18">
        <f t="shared" si="15"/>
        <v>3606.7377817135548</v>
      </c>
      <c r="G358">
        <v>12373.410156</v>
      </c>
      <c r="H358">
        <v>1.1209</v>
      </c>
      <c r="I358" s="18">
        <f t="shared" si="16"/>
        <v>13869.355443860401</v>
      </c>
      <c r="J358">
        <v>21534.349609000001</v>
      </c>
      <c r="K358" s="15">
        <v>107.62</v>
      </c>
      <c r="L358">
        <f t="shared" si="17"/>
        <v>200.09616808214088</v>
      </c>
    </row>
    <row r="359" spans="1:12" x14ac:dyDescent="0.3">
      <c r="A359" s="20">
        <v>357</v>
      </c>
      <c r="B359" s="4">
        <v>43657</v>
      </c>
      <c r="C359">
        <v>2999.9099120000001</v>
      </c>
      <c r="D359">
        <v>28431.800781000002</v>
      </c>
      <c r="E359" s="14">
        <v>7.82</v>
      </c>
      <c r="F359" s="18">
        <f t="shared" si="15"/>
        <v>3635.7801510230179</v>
      </c>
      <c r="G359">
        <v>12332.120117</v>
      </c>
      <c r="H359">
        <v>1.1252</v>
      </c>
      <c r="I359" s="18">
        <f t="shared" si="16"/>
        <v>13876.1015556484</v>
      </c>
      <c r="J359">
        <v>21565.150390999999</v>
      </c>
      <c r="K359" s="15">
        <v>107.54</v>
      </c>
      <c r="L359">
        <f t="shared" si="17"/>
        <v>200.53143380137621</v>
      </c>
    </row>
    <row r="360" spans="1:12" x14ac:dyDescent="0.3">
      <c r="A360" s="20">
        <v>358</v>
      </c>
      <c r="B360" s="4">
        <v>43658</v>
      </c>
      <c r="C360">
        <v>3013.7700199999999</v>
      </c>
      <c r="D360">
        <v>28471.619140999999</v>
      </c>
      <c r="E360" s="14">
        <v>7.82</v>
      </c>
      <c r="F360" s="18">
        <f t="shared" si="15"/>
        <v>3640.8720129156009</v>
      </c>
      <c r="G360">
        <v>12323.320313</v>
      </c>
      <c r="H360">
        <v>1.1254999999999999</v>
      </c>
      <c r="I360" s="18">
        <f t="shared" si="16"/>
        <v>13869.897012281499</v>
      </c>
      <c r="J360">
        <v>21533.480468999998</v>
      </c>
      <c r="K360" s="15">
        <v>108.03</v>
      </c>
      <c r="L360">
        <f t="shared" si="17"/>
        <v>199.32870933074145</v>
      </c>
    </row>
    <row r="361" spans="1:12" x14ac:dyDescent="0.3">
      <c r="A361" s="20">
        <v>359</v>
      </c>
      <c r="B361" s="4">
        <v>43661</v>
      </c>
      <c r="C361">
        <v>3014.3000489999999</v>
      </c>
      <c r="D361">
        <v>28554.880859000001</v>
      </c>
      <c r="E361" s="14">
        <v>7.82</v>
      </c>
      <c r="F361" s="18">
        <f t="shared" si="15"/>
        <v>3651.5192914322251</v>
      </c>
      <c r="G361">
        <v>12387.339844</v>
      </c>
      <c r="H361">
        <v>1.1271</v>
      </c>
      <c r="I361" s="18">
        <f t="shared" si="16"/>
        <v>13961.770738172399</v>
      </c>
      <c r="J361">
        <v>21643.529297000001</v>
      </c>
      <c r="K361" s="15">
        <v>107.51</v>
      </c>
      <c r="L361">
        <f t="shared" si="17"/>
        <v>201.3164291414752</v>
      </c>
    </row>
    <row r="362" spans="1:12" x14ac:dyDescent="0.3">
      <c r="A362" s="20">
        <v>360</v>
      </c>
      <c r="B362" s="4">
        <v>43662</v>
      </c>
      <c r="C362">
        <v>3004.040039</v>
      </c>
      <c r="D362">
        <v>28619.619140999999</v>
      </c>
      <c r="E362" s="14">
        <v>7.82</v>
      </c>
      <c r="F362" s="18">
        <f t="shared" si="15"/>
        <v>3659.7978441176469</v>
      </c>
      <c r="G362">
        <v>12430.969727</v>
      </c>
      <c r="H362">
        <v>1.1257999999999999</v>
      </c>
      <c r="I362" s="18">
        <f t="shared" si="16"/>
        <v>13994.785718656598</v>
      </c>
      <c r="J362">
        <v>21685.900390999999</v>
      </c>
      <c r="K362" s="15">
        <v>106.96</v>
      </c>
      <c r="L362">
        <f t="shared" si="17"/>
        <v>202.74775982610322</v>
      </c>
    </row>
    <row r="363" spans="1:12" x14ac:dyDescent="0.3">
      <c r="A363" s="20">
        <v>361</v>
      </c>
      <c r="B363" s="4">
        <v>43663</v>
      </c>
      <c r="C363">
        <v>2984.419922</v>
      </c>
      <c r="D363">
        <v>28593.169922000001</v>
      </c>
      <c r="E363" s="14">
        <v>7.82</v>
      </c>
      <c r="F363" s="18">
        <f t="shared" si="15"/>
        <v>3656.4155910485933</v>
      </c>
      <c r="G363">
        <v>12341.030273</v>
      </c>
      <c r="H363">
        <v>1.1203000000000001</v>
      </c>
      <c r="I363" s="18">
        <f t="shared" si="16"/>
        <v>13825.656214841902</v>
      </c>
      <c r="J363">
        <v>21535.25</v>
      </c>
      <c r="K363" s="15">
        <v>108.09</v>
      </c>
      <c r="L363">
        <f t="shared" si="17"/>
        <v>199.23443426773983</v>
      </c>
    </row>
    <row r="364" spans="1:12" x14ac:dyDescent="0.3">
      <c r="A364" s="20">
        <v>362</v>
      </c>
      <c r="B364" s="4">
        <v>43664</v>
      </c>
      <c r="C364">
        <v>2995.110107</v>
      </c>
      <c r="D364">
        <v>28461.660156000002</v>
      </c>
      <c r="E364" s="14">
        <v>7.82</v>
      </c>
      <c r="F364" s="18">
        <f t="shared" si="15"/>
        <v>3639.5984854219951</v>
      </c>
      <c r="G364">
        <v>12227.849609000001</v>
      </c>
      <c r="H364">
        <v>1.1220000000000001</v>
      </c>
      <c r="I364" s="18">
        <f t="shared" si="16"/>
        <v>13719.647261298001</v>
      </c>
      <c r="J364">
        <v>21469.179688</v>
      </c>
      <c r="K364" s="15">
        <v>107.65</v>
      </c>
      <c r="L364">
        <f t="shared" si="17"/>
        <v>199.43501800278679</v>
      </c>
    </row>
    <row r="365" spans="1:12" x14ac:dyDescent="0.3">
      <c r="A365" s="20">
        <v>363</v>
      </c>
      <c r="B365" s="4">
        <v>43665</v>
      </c>
      <c r="C365">
        <v>2976.610107</v>
      </c>
      <c r="D365">
        <v>28765.400390999999</v>
      </c>
      <c r="E365" s="14">
        <v>7.82</v>
      </c>
      <c r="F365" s="18">
        <f t="shared" si="15"/>
        <v>3678.4399476982094</v>
      </c>
      <c r="G365">
        <v>12260.070313</v>
      </c>
      <c r="H365">
        <v>1.1273</v>
      </c>
      <c r="I365" s="18">
        <f t="shared" si="16"/>
        <v>13820.777263844901</v>
      </c>
      <c r="J365">
        <v>21046.240234000001</v>
      </c>
      <c r="K365" s="15">
        <v>106.52</v>
      </c>
      <c r="L365">
        <f t="shared" si="17"/>
        <v>197.58017493428466</v>
      </c>
    </row>
    <row r="366" spans="1:12" x14ac:dyDescent="0.3">
      <c r="A366" s="20">
        <v>364</v>
      </c>
      <c r="B366" s="4">
        <v>43668</v>
      </c>
      <c r="C366">
        <v>2985.030029</v>
      </c>
      <c r="D366">
        <v>28371.259765999999</v>
      </c>
      <c r="E366" s="14">
        <v>7.82</v>
      </c>
      <c r="F366" s="18">
        <f t="shared" si="15"/>
        <v>3628.0383332480815</v>
      </c>
      <c r="G366">
        <v>12289.400390999999</v>
      </c>
      <c r="H366">
        <v>1.1215999999999999</v>
      </c>
      <c r="I366" s="18">
        <f t="shared" si="16"/>
        <v>13783.791478545598</v>
      </c>
      <c r="J366">
        <v>21466.990234000001</v>
      </c>
      <c r="K366" s="15">
        <v>105.77</v>
      </c>
      <c r="L366">
        <f t="shared" si="17"/>
        <v>202.95915887302638</v>
      </c>
    </row>
    <row r="367" spans="1:12" x14ac:dyDescent="0.3">
      <c r="A367" s="20">
        <v>365</v>
      </c>
      <c r="B367" s="4">
        <v>43669</v>
      </c>
      <c r="C367">
        <v>3005.469971</v>
      </c>
      <c r="D367">
        <v>28466.480468999998</v>
      </c>
      <c r="E367" s="14">
        <v>7.82</v>
      </c>
      <c r="F367" s="18">
        <f t="shared" si="15"/>
        <v>3640.2148937340148</v>
      </c>
      <c r="G367">
        <v>12490.740234000001</v>
      </c>
      <c r="H367">
        <v>1.1211</v>
      </c>
      <c r="I367" s="18">
        <f t="shared" si="16"/>
        <v>14003.368876337401</v>
      </c>
      <c r="J367">
        <v>21416.789063</v>
      </c>
      <c r="K367" s="15">
        <v>104.1</v>
      </c>
      <c r="L367">
        <f t="shared" si="17"/>
        <v>205.732844024976</v>
      </c>
    </row>
    <row r="368" spans="1:12" x14ac:dyDescent="0.3">
      <c r="A368" s="20">
        <v>366</v>
      </c>
      <c r="B368" s="4">
        <v>43670</v>
      </c>
      <c r="C368">
        <v>3019.5600589999999</v>
      </c>
      <c r="D368">
        <v>28524.039063</v>
      </c>
      <c r="E368" s="14">
        <v>7.82</v>
      </c>
      <c r="F368" s="18">
        <f t="shared" si="15"/>
        <v>3647.5753277493604</v>
      </c>
      <c r="G368">
        <v>12522.889648</v>
      </c>
      <c r="H368">
        <v>1.1148</v>
      </c>
      <c r="I368" s="18">
        <f t="shared" si="16"/>
        <v>13960.517379590401</v>
      </c>
      <c r="J368">
        <v>21620.880859000001</v>
      </c>
      <c r="K368" s="15">
        <v>103.39</v>
      </c>
      <c r="L368">
        <f t="shared" si="17"/>
        <v>209.11965237450431</v>
      </c>
    </row>
    <row r="369" spans="1:12" x14ac:dyDescent="0.3">
      <c r="A369" s="20">
        <v>367</v>
      </c>
      <c r="B369" s="4">
        <v>43671</v>
      </c>
      <c r="C369">
        <v>3003.669922</v>
      </c>
      <c r="D369">
        <v>28594.300781000002</v>
      </c>
      <c r="E369" s="14">
        <v>7.82</v>
      </c>
      <c r="F369" s="18">
        <f t="shared" si="15"/>
        <v>3656.5602021739132</v>
      </c>
      <c r="G369">
        <v>12362.099609000001</v>
      </c>
      <c r="H369">
        <v>1.1135999999999999</v>
      </c>
      <c r="I369" s="18">
        <f t="shared" si="16"/>
        <v>13766.4341245824</v>
      </c>
      <c r="J369">
        <v>21709.570313</v>
      </c>
      <c r="K369" s="15">
        <v>102.79</v>
      </c>
      <c r="L369">
        <f t="shared" si="17"/>
        <v>211.20313564549079</v>
      </c>
    </row>
    <row r="370" spans="1:12" x14ac:dyDescent="0.3">
      <c r="A370" s="20">
        <v>368</v>
      </c>
      <c r="B370" s="4">
        <v>43672</v>
      </c>
      <c r="C370">
        <v>3025.860107</v>
      </c>
      <c r="D370">
        <v>28397.740234000001</v>
      </c>
      <c r="E370" s="14">
        <v>7.82</v>
      </c>
      <c r="F370" s="18">
        <f t="shared" si="15"/>
        <v>3631.4245823529413</v>
      </c>
      <c r="G370">
        <v>12419.900390999999</v>
      </c>
      <c r="H370">
        <v>1.1148</v>
      </c>
      <c r="I370" s="18">
        <f t="shared" si="16"/>
        <v>13845.704955886798</v>
      </c>
      <c r="J370">
        <v>21756.550781000002</v>
      </c>
      <c r="K370" s="15">
        <v>103.96</v>
      </c>
      <c r="L370">
        <f t="shared" si="17"/>
        <v>209.27809523855331</v>
      </c>
    </row>
    <row r="371" spans="1:12" x14ac:dyDescent="0.3">
      <c r="A371" s="20">
        <v>369</v>
      </c>
      <c r="B371" s="4">
        <v>43675</v>
      </c>
      <c r="C371">
        <v>3020.969971</v>
      </c>
      <c r="D371">
        <v>28106.410156000002</v>
      </c>
      <c r="E371" s="14">
        <v>7.82</v>
      </c>
      <c r="F371" s="18">
        <f t="shared" si="15"/>
        <v>3594.1700966751919</v>
      </c>
      <c r="G371">
        <v>12417.469727</v>
      </c>
      <c r="H371">
        <v>1.1124000000000001</v>
      </c>
      <c r="I371" s="18">
        <f t="shared" si="16"/>
        <v>13813.1933243148</v>
      </c>
      <c r="J371">
        <v>21658.150390999999</v>
      </c>
      <c r="K371" s="15">
        <v>103.09</v>
      </c>
      <c r="L371">
        <f t="shared" si="17"/>
        <v>210.08973121544281</v>
      </c>
    </row>
    <row r="372" spans="1:12" x14ac:dyDescent="0.3">
      <c r="A372" s="20">
        <v>370</v>
      </c>
      <c r="B372" s="4">
        <v>43676</v>
      </c>
      <c r="C372">
        <v>3013.179932</v>
      </c>
      <c r="D372">
        <v>28146.5</v>
      </c>
      <c r="E372" s="14">
        <v>7.82</v>
      </c>
      <c r="F372" s="18">
        <f t="shared" si="15"/>
        <v>3599.2966751918157</v>
      </c>
      <c r="G372">
        <v>12147.240234000001</v>
      </c>
      <c r="H372">
        <v>1.1145</v>
      </c>
      <c r="I372" s="18">
        <f t="shared" si="16"/>
        <v>13538.099240793001</v>
      </c>
      <c r="J372">
        <v>21616.800781000002</v>
      </c>
      <c r="K372" s="15">
        <v>102.98</v>
      </c>
      <c r="L372">
        <f t="shared" si="17"/>
        <v>209.91261197319869</v>
      </c>
    </row>
    <row r="373" spans="1:12" x14ac:dyDescent="0.3">
      <c r="A373" s="20">
        <v>371</v>
      </c>
      <c r="B373" s="4">
        <v>43677</v>
      </c>
      <c r="C373">
        <v>2980.3798830000001</v>
      </c>
      <c r="D373">
        <v>27777.75</v>
      </c>
      <c r="E373" s="14">
        <v>7.82</v>
      </c>
      <c r="F373" s="18">
        <f t="shared" si="15"/>
        <v>3552.1419437340151</v>
      </c>
      <c r="G373">
        <v>12189.040039</v>
      </c>
      <c r="H373">
        <v>1.1156999999999999</v>
      </c>
      <c r="I373" s="18">
        <f t="shared" si="16"/>
        <v>13599.311971512298</v>
      </c>
      <c r="J373">
        <v>21709.310547000001</v>
      </c>
      <c r="K373" s="15">
        <v>101.82</v>
      </c>
      <c r="L373">
        <f t="shared" si="17"/>
        <v>213.21263550383031</v>
      </c>
    </row>
    <row r="374" spans="1:12" x14ac:dyDescent="0.3">
      <c r="A374" s="20">
        <v>372</v>
      </c>
      <c r="B374" s="4">
        <v>43678</v>
      </c>
      <c r="C374">
        <v>2953.5600589999999</v>
      </c>
      <c r="D374">
        <v>27565.699218999998</v>
      </c>
      <c r="E374" s="14">
        <v>7.82</v>
      </c>
      <c r="F374" s="18">
        <f t="shared" si="15"/>
        <v>3525.0254755754472</v>
      </c>
      <c r="G374">
        <v>12253.150390999999</v>
      </c>
      <c r="H374">
        <v>1.1089</v>
      </c>
      <c r="I374" s="18">
        <f t="shared" si="16"/>
        <v>13587.518468579899</v>
      </c>
      <c r="J374">
        <v>21521.529297000001</v>
      </c>
      <c r="K374" s="15">
        <v>102.88</v>
      </c>
      <c r="L374">
        <f t="shared" si="17"/>
        <v>209.19060358670296</v>
      </c>
    </row>
    <row r="375" spans="1:12" x14ac:dyDescent="0.3">
      <c r="A375" s="20">
        <v>373</v>
      </c>
      <c r="B375" s="4">
        <v>43679</v>
      </c>
      <c r="C375">
        <v>2932.0500489999999</v>
      </c>
      <c r="D375">
        <v>26918.580077999999</v>
      </c>
      <c r="E375" s="14">
        <v>7.82</v>
      </c>
      <c r="F375" s="18">
        <f t="shared" si="15"/>
        <v>3442.2736672634269</v>
      </c>
      <c r="G375">
        <v>11872.440430000001</v>
      </c>
      <c r="H375">
        <v>1.1081000000000001</v>
      </c>
      <c r="I375" s="18">
        <f t="shared" si="16"/>
        <v>13155.851240483002</v>
      </c>
      <c r="J375">
        <v>21540.990234000001</v>
      </c>
      <c r="K375" s="15">
        <v>102.4</v>
      </c>
      <c r="L375">
        <f t="shared" si="17"/>
        <v>210.36123275390625</v>
      </c>
    </row>
    <row r="376" spans="1:12" x14ac:dyDescent="0.3">
      <c r="A376" s="20">
        <v>374</v>
      </c>
      <c r="B376" s="4">
        <v>43682</v>
      </c>
      <c r="C376">
        <v>2844.73999</v>
      </c>
      <c r="D376">
        <v>26151.320313</v>
      </c>
      <c r="E376" s="14">
        <v>7.82</v>
      </c>
      <c r="F376" s="18">
        <f t="shared" si="15"/>
        <v>3344.1586078005116</v>
      </c>
      <c r="G376">
        <v>11658.509765999999</v>
      </c>
      <c r="H376">
        <v>1.111</v>
      </c>
      <c r="I376" s="18">
        <f t="shared" si="16"/>
        <v>12952.604350025998</v>
      </c>
      <c r="J376">
        <v>21087.160156000002</v>
      </c>
      <c r="K376" s="15">
        <v>100.59</v>
      </c>
      <c r="L376">
        <f t="shared" si="17"/>
        <v>209.63475649666967</v>
      </c>
    </row>
    <row r="377" spans="1:12" x14ac:dyDescent="0.3">
      <c r="A377" s="20">
        <v>375</v>
      </c>
      <c r="B377" s="4">
        <v>43683</v>
      </c>
      <c r="C377">
        <v>2881.7700199999999</v>
      </c>
      <c r="D377">
        <v>25976.240234000001</v>
      </c>
      <c r="E377" s="14">
        <v>7.82</v>
      </c>
      <c r="F377" s="18">
        <f t="shared" si="15"/>
        <v>3321.7698508951407</v>
      </c>
      <c r="G377">
        <v>11567.959961</v>
      </c>
      <c r="H377">
        <v>1.1198999999999999</v>
      </c>
      <c r="I377" s="18">
        <f t="shared" si="16"/>
        <v>12954.958360323899</v>
      </c>
      <c r="J377">
        <v>20720.289063</v>
      </c>
      <c r="K377" s="15">
        <v>100.21</v>
      </c>
      <c r="L377">
        <f t="shared" si="17"/>
        <v>206.76867640953998</v>
      </c>
    </row>
    <row r="378" spans="1:12" x14ac:dyDescent="0.3">
      <c r="A378" s="20">
        <v>376</v>
      </c>
      <c r="B378" s="4">
        <v>43684</v>
      </c>
      <c r="C378">
        <v>2883.9799800000001</v>
      </c>
      <c r="D378">
        <v>25997.029297000001</v>
      </c>
      <c r="E378" s="14">
        <v>7.82</v>
      </c>
      <c r="F378" s="18">
        <f t="shared" si="15"/>
        <v>3324.428298849105</v>
      </c>
      <c r="G378">
        <v>11650.150390999999</v>
      </c>
      <c r="H378">
        <v>1.1194999999999999</v>
      </c>
      <c r="I378" s="18">
        <f t="shared" si="16"/>
        <v>13042.343362724498</v>
      </c>
      <c r="J378">
        <v>20585.310547000001</v>
      </c>
      <c r="K378" s="15">
        <v>96.91</v>
      </c>
      <c r="L378">
        <f t="shared" si="17"/>
        <v>212.41678409864824</v>
      </c>
    </row>
    <row r="379" spans="1:12" x14ac:dyDescent="0.3">
      <c r="A379" s="20">
        <v>377</v>
      </c>
      <c r="B379" s="4">
        <v>43685</v>
      </c>
      <c r="C379">
        <v>2938.0900879999999</v>
      </c>
      <c r="D379">
        <v>26120.769531000002</v>
      </c>
      <c r="E379" s="14">
        <v>7.82</v>
      </c>
      <c r="F379" s="18">
        <f t="shared" si="15"/>
        <v>3340.2518581841432</v>
      </c>
      <c r="G379">
        <v>11845.410156</v>
      </c>
      <c r="H379">
        <v>1.121</v>
      </c>
      <c r="I379" s="18">
        <f t="shared" si="16"/>
        <v>13278.704784875999</v>
      </c>
      <c r="J379">
        <v>20516.560547000001</v>
      </c>
      <c r="K379" s="15">
        <v>98.24</v>
      </c>
      <c r="L379">
        <f t="shared" si="17"/>
        <v>208.84121077972316</v>
      </c>
    </row>
    <row r="380" spans="1:12" x14ac:dyDescent="0.3">
      <c r="A380" s="20">
        <v>378</v>
      </c>
      <c r="B380" s="4">
        <v>43686</v>
      </c>
      <c r="C380">
        <v>2918.6499020000001</v>
      </c>
      <c r="D380">
        <v>25939.300781000002</v>
      </c>
      <c r="E380" s="14">
        <v>7.82</v>
      </c>
      <c r="F380" s="18">
        <f t="shared" si="15"/>
        <v>3317.0461356777496</v>
      </c>
      <c r="G380">
        <v>11693.799805000001</v>
      </c>
      <c r="H380">
        <v>1.1184000000000001</v>
      </c>
      <c r="I380" s="18">
        <f t="shared" si="16"/>
        <v>13078.345701912001</v>
      </c>
      <c r="J380">
        <v>20593.349609000001</v>
      </c>
      <c r="K380" s="15">
        <v>99.35</v>
      </c>
      <c r="L380">
        <f t="shared" si="17"/>
        <v>207.2808214292904</v>
      </c>
    </row>
    <row r="381" spans="1:12" x14ac:dyDescent="0.3">
      <c r="A381" s="20">
        <v>379</v>
      </c>
      <c r="B381" s="4">
        <v>43689</v>
      </c>
      <c r="C381">
        <v>2882.6999510000001</v>
      </c>
      <c r="D381">
        <v>25824.720702999999</v>
      </c>
      <c r="E381" s="14">
        <v>7.82</v>
      </c>
      <c r="F381" s="18">
        <f t="shared" si="15"/>
        <v>3302.3939517902809</v>
      </c>
      <c r="G381">
        <v>11679.679688</v>
      </c>
      <c r="H381">
        <v>1.1204000000000001</v>
      </c>
      <c r="I381" s="18">
        <f t="shared" si="16"/>
        <v>13085.9131224352</v>
      </c>
      <c r="J381">
        <v>20684.820313</v>
      </c>
      <c r="K381" s="15">
        <v>100.08</v>
      </c>
      <c r="L381">
        <f t="shared" si="17"/>
        <v>206.68285684452439</v>
      </c>
    </row>
    <row r="382" spans="1:12" x14ac:dyDescent="0.3">
      <c r="A382" s="20">
        <v>380</v>
      </c>
      <c r="B382" s="4">
        <v>43690</v>
      </c>
      <c r="C382">
        <v>2926.320068</v>
      </c>
      <c r="D382">
        <v>25281.300781000002</v>
      </c>
      <c r="E382" s="14">
        <v>7.82</v>
      </c>
      <c r="F382" s="18">
        <f t="shared" si="15"/>
        <v>3232.9029131713555</v>
      </c>
      <c r="G382">
        <v>11750.129883</v>
      </c>
      <c r="H382">
        <v>1.1212</v>
      </c>
      <c r="I382" s="18">
        <f t="shared" si="16"/>
        <v>13174.245624819599</v>
      </c>
      <c r="J382">
        <v>20455.439452999999</v>
      </c>
      <c r="K382" s="15">
        <v>99.13</v>
      </c>
      <c r="L382">
        <f t="shared" si="17"/>
        <v>206.34963636638759</v>
      </c>
    </row>
    <row r="383" spans="1:12" x14ac:dyDescent="0.3">
      <c r="A383" s="20">
        <v>381</v>
      </c>
      <c r="B383" s="4">
        <v>43691</v>
      </c>
      <c r="C383">
        <v>2840.6000979999999</v>
      </c>
      <c r="D383">
        <v>25302.279297000001</v>
      </c>
      <c r="E383" s="14">
        <v>7.82</v>
      </c>
      <c r="F383" s="18">
        <f t="shared" si="15"/>
        <v>3235.5855878516622</v>
      </c>
      <c r="G383">
        <v>11492.660156</v>
      </c>
      <c r="H383">
        <v>1.1172</v>
      </c>
      <c r="I383" s="18">
        <f t="shared" si="16"/>
        <v>12839.599926283199</v>
      </c>
      <c r="J383">
        <v>20655.130859000001</v>
      </c>
      <c r="K383" s="15">
        <v>99.88</v>
      </c>
      <c r="L383">
        <f t="shared" si="17"/>
        <v>206.79946795154186</v>
      </c>
    </row>
    <row r="384" spans="1:12" x14ac:dyDescent="0.3">
      <c r="A384" s="20">
        <v>382</v>
      </c>
      <c r="B384" s="4">
        <v>43692</v>
      </c>
      <c r="C384">
        <v>2847.6000979999999</v>
      </c>
      <c r="D384">
        <v>25495.460938</v>
      </c>
      <c r="E384" s="14">
        <v>7.82</v>
      </c>
      <c r="F384" s="18">
        <f t="shared" si="15"/>
        <v>3260.2891225063936</v>
      </c>
      <c r="G384">
        <v>11412.669921999999</v>
      </c>
      <c r="H384">
        <v>1.1134999999999999</v>
      </c>
      <c r="I384" s="18">
        <f t="shared" si="16"/>
        <v>12708.007958146998</v>
      </c>
      <c r="J384">
        <v>20405.650390999999</v>
      </c>
      <c r="K384" s="15">
        <v>99.72</v>
      </c>
      <c r="L384">
        <f t="shared" si="17"/>
        <v>204.62946641596469</v>
      </c>
    </row>
    <row r="385" spans="1:12" x14ac:dyDescent="0.3">
      <c r="A385" s="20">
        <v>383</v>
      </c>
      <c r="B385" s="4">
        <v>43693</v>
      </c>
      <c r="C385">
        <v>2888.679932</v>
      </c>
      <c r="D385">
        <v>25734.220702999999</v>
      </c>
      <c r="E385" s="14">
        <v>7.82</v>
      </c>
      <c r="F385" s="18">
        <f t="shared" si="15"/>
        <v>3290.8210617647055</v>
      </c>
      <c r="G385">
        <v>11562.740234000001</v>
      </c>
      <c r="H385">
        <v>1.1101000000000001</v>
      </c>
      <c r="I385" s="18">
        <f t="shared" si="16"/>
        <v>12835.797933763402</v>
      </c>
      <c r="J385">
        <v>20418.810547000001</v>
      </c>
      <c r="K385" s="15">
        <v>99.52</v>
      </c>
      <c r="L385">
        <f t="shared" si="17"/>
        <v>205.17293556069134</v>
      </c>
    </row>
    <row r="386" spans="1:12" x14ac:dyDescent="0.3">
      <c r="A386" s="20">
        <v>384</v>
      </c>
      <c r="B386" s="4">
        <v>43696</v>
      </c>
      <c r="C386">
        <v>2923.6499020000001</v>
      </c>
      <c r="D386">
        <v>26291.839843999998</v>
      </c>
      <c r="E386" s="14">
        <v>7.82</v>
      </c>
      <c r="F386" s="18">
        <f t="shared" si="15"/>
        <v>3362.1278572890023</v>
      </c>
      <c r="G386">
        <v>11715.370117</v>
      </c>
      <c r="H386">
        <v>1.1099000000000001</v>
      </c>
      <c r="I386" s="18">
        <f t="shared" si="16"/>
        <v>13002.889292858301</v>
      </c>
      <c r="J386">
        <v>20563.160156000002</v>
      </c>
      <c r="K386" s="15">
        <v>101.86</v>
      </c>
      <c r="L386">
        <f t="shared" si="17"/>
        <v>201.87669503239744</v>
      </c>
    </row>
    <row r="387" spans="1:12" x14ac:dyDescent="0.3">
      <c r="A387" s="20">
        <v>385</v>
      </c>
      <c r="B387" s="4">
        <v>43697</v>
      </c>
      <c r="C387">
        <v>2900.51001</v>
      </c>
      <c r="D387">
        <v>26231.539063</v>
      </c>
      <c r="E387" s="14">
        <v>7.82</v>
      </c>
      <c r="F387" s="18">
        <f t="shared" ref="F387:F450" si="18">D387/E387</f>
        <v>3354.4167599744246</v>
      </c>
      <c r="G387">
        <v>11651.179688</v>
      </c>
      <c r="H387">
        <v>1.1080000000000001</v>
      </c>
      <c r="I387" s="18">
        <f t="shared" ref="I387:I450" si="19">G387*H387</f>
        <v>12909.507094304001</v>
      </c>
      <c r="J387">
        <v>20677.220702999999</v>
      </c>
      <c r="K387" s="15">
        <v>102.69</v>
      </c>
      <c r="L387">
        <f t="shared" ref="L387:L450" si="20">J387/K387</f>
        <v>201.35573768624013</v>
      </c>
    </row>
    <row r="388" spans="1:12" x14ac:dyDescent="0.3">
      <c r="A388" s="20">
        <v>386</v>
      </c>
      <c r="B388" s="4">
        <v>43698</v>
      </c>
      <c r="C388">
        <v>2924.429932</v>
      </c>
      <c r="D388">
        <v>26270.039063</v>
      </c>
      <c r="E388" s="14">
        <v>7.82</v>
      </c>
      <c r="F388" s="18">
        <f t="shared" si="18"/>
        <v>3359.3400336317136</v>
      </c>
      <c r="G388">
        <v>11802.849609000001</v>
      </c>
      <c r="H388">
        <v>1.1094999999999999</v>
      </c>
      <c r="I388" s="18">
        <f t="shared" si="19"/>
        <v>13095.2616411855</v>
      </c>
      <c r="J388">
        <v>20618.570313</v>
      </c>
      <c r="K388" s="15">
        <v>102.27</v>
      </c>
      <c r="L388">
        <f t="shared" si="20"/>
        <v>201.60917486066296</v>
      </c>
    </row>
    <row r="389" spans="1:12" x14ac:dyDescent="0.3">
      <c r="A389" s="20">
        <v>387</v>
      </c>
      <c r="B389" s="4">
        <v>43699</v>
      </c>
      <c r="C389">
        <v>2922.9499510000001</v>
      </c>
      <c r="D389">
        <v>26048.720702999999</v>
      </c>
      <c r="E389" s="14">
        <v>7.82</v>
      </c>
      <c r="F389" s="18">
        <f t="shared" si="18"/>
        <v>3331.0384530690535</v>
      </c>
      <c r="G389">
        <v>11747.040039</v>
      </c>
      <c r="H389">
        <v>1.1086</v>
      </c>
      <c r="I389" s="18">
        <f t="shared" si="19"/>
        <v>13022.7685872354</v>
      </c>
      <c r="J389">
        <v>20628.009765999999</v>
      </c>
      <c r="K389" s="15">
        <v>101.57</v>
      </c>
      <c r="L389">
        <f t="shared" si="20"/>
        <v>203.09156016540317</v>
      </c>
    </row>
    <row r="390" spans="1:12" x14ac:dyDescent="0.3">
      <c r="A390" s="20">
        <v>388</v>
      </c>
      <c r="B390" s="4">
        <v>43700</v>
      </c>
      <c r="C390">
        <v>2847.110107</v>
      </c>
      <c r="D390">
        <v>26179.330077999999</v>
      </c>
      <c r="E390" s="14">
        <v>7.82</v>
      </c>
      <c r="F390" s="18">
        <f t="shared" si="18"/>
        <v>3347.7404191815854</v>
      </c>
      <c r="G390">
        <v>11611.509765999999</v>
      </c>
      <c r="H390">
        <v>1.1079000000000001</v>
      </c>
      <c r="I390" s="18">
        <f t="shared" si="19"/>
        <v>12864.3916697514</v>
      </c>
      <c r="J390">
        <v>20710.910156000002</v>
      </c>
      <c r="K390" s="15">
        <v>102.53</v>
      </c>
      <c r="L390">
        <f t="shared" si="20"/>
        <v>201.99853853506292</v>
      </c>
    </row>
    <row r="391" spans="1:12" x14ac:dyDescent="0.3">
      <c r="A391" s="20">
        <v>389</v>
      </c>
      <c r="B391" s="4">
        <v>43703</v>
      </c>
      <c r="C391">
        <v>2878.3798830000001</v>
      </c>
      <c r="D391">
        <v>25680.330077999999</v>
      </c>
      <c r="E391" s="14">
        <v>7.82</v>
      </c>
      <c r="F391" s="18">
        <f t="shared" si="18"/>
        <v>3283.9296774936061</v>
      </c>
      <c r="G391">
        <v>11658.040039</v>
      </c>
      <c r="H391">
        <v>1.1145</v>
      </c>
      <c r="I391" s="18">
        <f t="shared" si="19"/>
        <v>12992.8856234655</v>
      </c>
      <c r="J391">
        <v>20261.039063</v>
      </c>
      <c r="K391" s="15">
        <v>102.58</v>
      </c>
      <c r="L391">
        <f t="shared" si="20"/>
        <v>197.5145161142523</v>
      </c>
    </row>
    <row r="392" spans="1:12" x14ac:dyDescent="0.3">
      <c r="A392" s="20">
        <v>390</v>
      </c>
      <c r="B392" s="4">
        <v>43704</v>
      </c>
      <c r="C392">
        <v>2869.1599120000001</v>
      </c>
      <c r="D392">
        <v>25664.070313</v>
      </c>
      <c r="E392" s="14">
        <v>7.82</v>
      </c>
      <c r="F392" s="18">
        <f t="shared" si="18"/>
        <v>3281.850423657289</v>
      </c>
      <c r="G392">
        <v>11730.019531</v>
      </c>
      <c r="H392">
        <v>1.1097999999999999</v>
      </c>
      <c r="I392" s="18">
        <f t="shared" si="19"/>
        <v>13017.975675503798</v>
      </c>
      <c r="J392">
        <v>20456.080077999999</v>
      </c>
      <c r="K392" s="15">
        <v>102.29</v>
      </c>
      <c r="L392">
        <f t="shared" si="20"/>
        <v>199.98123059927656</v>
      </c>
    </row>
    <row r="393" spans="1:12" x14ac:dyDescent="0.3">
      <c r="A393" s="20">
        <v>391</v>
      </c>
      <c r="B393" s="4">
        <v>43705</v>
      </c>
      <c r="C393">
        <v>2887.9399410000001</v>
      </c>
      <c r="D393">
        <v>25615.480468999998</v>
      </c>
      <c r="E393" s="14">
        <v>7.82</v>
      </c>
      <c r="F393" s="18">
        <f t="shared" si="18"/>
        <v>3275.6368886189257</v>
      </c>
      <c r="G393">
        <v>11701.019531</v>
      </c>
      <c r="H393">
        <v>1.1091</v>
      </c>
      <c r="I393" s="18">
        <f t="shared" si="19"/>
        <v>12977.6007618321</v>
      </c>
      <c r="J393">
        <v>20479.419922000001</v>
      </c>
      <c r="K393" s="15">
        <v>100.99</v>
      </c>
      <c r="L393">
        <f t="shared" si="20"/>
        <v>202.78661176354098</v>
      </c>
    </row>
    <row r="394" spans="1:12" x14ac:dyDescent="0.3">
      <c r="A394" s="20">
        <v>392</v>
      </c>
      <c r="B394" s="4">
        <v>43706</v>
      </c>
      <c r="C394">
        <v>2924.580078</v>
      </c>
      <c r="D394">
        <v>25703.5</v>
      </c>
      <c r="E394" s="14">
        <v>7.82</v>
      </c>
      <c r="F394" s="18">
        <f t="shared" si="18"/>
        <v>3286.8925831202046</v>
      </c>
      <c r="G394">
        <v>11838.879883</v>
      </c>
      <c r="H394">
        <v>1.1077999999999999</v>
      </c>
      <c r="I394" s="18">
        <f t="shared" si="19"/>
        <v>13115.111134387398</v>
      </c>
      <c r="J394">
        <v>20460.929688</v>
      </c>
      <c r="K394" s="15">
        <v>101.1</v>
      </c>
      <c r="L394">
        <f t="shared" si="20"/>
        <v>202.38308296735906</v>
      </c>
    </row>
    <row r="395" spans="1:12" x14ac:dyDescent="0.3">
      <c r="A395" s="20">
        <v>393</v>
      </c>
      <c r="B395" s="4">
        <v>43707</v>
      </c>
      <c r="C395">
        <v>2926.459961</v>
      </c>
      <c r="D395">
        <v>25724.730468999998</v>
      </c>
      <c r="E395" s="14">
        <v>7.82</v>
      </c>
      <c r="F395" s="18">
        <f t="shared" si="18"/>
        <v>3289.6074768542194</v>
      </c>
      <c r="G395">
        <v>11939.280273</v>
      </c>
      <c r="H395">
        <v>1.1051</v>
      </c>
      <c r="I395" s="18">
        <f t="shared" si="19"/>
        <v>13194.0986296923</v>
      </c>
      <c r="J395">
        <v>20704.369140999999</v>
      </c>
      <c r="K395" s="15">
        <v>100.72</v>
      </c>
      <c r="L395">
        <f t="shared" si="20"/>
        <v>205.5636332505957</v>
      </c>
    </row>
    <row r="396" spans="1:12" x14ac:dyDescent="0.3">
      <c r="A396" s="20">
        <v>394</v>
      </c>
      <c r="B396" s="4">
        <v>43711</v>
      </c>
      <c r="C396">
        <v>2906.2700199999999</v>
      </c>
      <c r="D396">
        <v>25626.550781000002</v>
      </c>
      <c r="E396" s="14">
        <v>7.82</v>
      </c>
      <c r="F396" s="18">
        <f t="shared" si="18"/>
        <v>3277.0525295396419</v>
      </c>
      <c r="G396">
        <v>11953.780273</v>
      </c>
      <c r="H396">
        <v>1.0974999999999999</v>
      </c>
      <c r="I396" s="18">
        <f t="shared" si="19"/>
        <v>13119.273849617499</v>
      </c>
      <c r="J396">
        <v>20620.189452999999</v>
      </c>
      <c r="K396" s="15">
        <v>101.35</v>
      </c>
      <c r="L396">
        <f t="shared" si="20"/>
        <v>203.45524867291564</v>
      </c>
    </row>
    <row r="397" spans="1:12" x14ac:dyDescent="0.3">
      <c r="A397" s="20">
        <v>395</v>
      </c>
      <c r="B397" s="4">
        <v>43712</v>
      </c>
      <c r="C397">
        <v>2937.780029</v>
      </c>
      <c r="D397">
        <v>25527.849609000001</v>
      </c>
      <c r="E397" s="14">
        <v>7.82</v>
      </c>
      <c r="F397" s="18">
        <f t="shared" si="18"/>
        <v>3264.4308962915602</v>
      </c>
      <c r="G397">
        <v>11910.860352</v>
      </c>
      <c r="H397">
        <v>1.097</v>
      </c>
      <c r="I397" s="18">
        <f t="shared" si="19"/>
        <v>13066.213806144</v>
      </c>
      <c r="J397">
        <v>20625.160156000002</v>
      </c>
      <c r="K397" s="15">
        <v>101.31</v>
      </c>
      <c r="L397">
        <f t="shared" si="20"/>
        <v>203.58464274010464</v>
      </c>
    </row>
    <row r="398" spans="1:12" x14ac:dyDescent="0.3">
      <c r="A398" s="20">
        <v>396</v>
      </c>
      <c r="B398" s="4">
        <v>43713</v>
      </c>
      <c r="C398">
        <v>2976</v>
      </c>
      <c r="D398">
        <v>26523.230468999998</v>
      </c>
      <c r="E398" s="14">
        <v>7.82</v>
      </c>
      <c r="F398" s="18">
        <f t="shared" si="18"/>
        <v>3391.7174512787719</v>
      </c>
      <c r="G398">
        <v>12025.040039</v>
      </c>
      <c r="H398">
        <v>1.0966</v>
      </c>
      <c r="I398" s="18">
        <f t="shared" si="19"/>
        <v>13186.658906767399</v>
      </c>
      <c r="J398">
        <v>20649.140625</v>
      </c>
      <c r="K398" s="15">
        <v>102.37</v>
      </c>
      <c r="L398">
        <f t="shared" si="20"/>
        <v>201.71085889420729</v>
      </c>
    </row>
    <row r="399" spans="1:12" x14ac:dyDescent="0.3">
      <c r="A399" s="20">
        <v>397</v>
      </c>
      <c r="B399" s="4">
        <v>43714</v>
      </c>
      <c r="C399">
        <v>2978.709961</v>
      </c>
      <c r="D399">
        <v>26515.529297000001</v>
      </c>
      <c r="E399" s="14">
        <v>7.82</v>
      </c>
      <c r="F399" s="18">
        <f t="shared" si="18"/>
        <v>3390.732646675192</v>
      </c>
      <c r="G399">
        <v>12126.780273</v>
      </c>
      <c r="H399">
        <v>1.103</v>
      </c>
      <c r="I399" s="18">
        <f t="shared" si="19"/>
        <v>13375.838641119</v>
      </c>
      <c r="J399">
        <v>21085.939452999999</v>
      </c>
      <c r="K399" s="15">
        <v>104.46</v>
      </c>
      <c r="L399">
        <f t="shared" si="20"/>
        <v>201.85659058969941</v>
      </c>
    </row>
    <row r="400" spans="1:12" x14ac:dyDescent="0.3">
      <c r="A400" s="20">
        <v>398</v>
      </c>
      <c r="B400" s="4">
        <v>43717</v>
      </c>
      <c r="C400">
        <v>2978.429932</v>
      </c>
      <c r="D400">
        <v>26690.759765999999</v>
      </c>
      <c r="E400" s="14">
        <v>7.82</v>
      </c>
      <c r="F400" s="18">
        <f t="shared" si="18"/>
        <v>3413.1406350383631</v>
      </c>
      <c r="G400">
        <v>12191.730469</v>
      </c>
      <c r="H400">
        <v>1.1032</v>
      </c>
      <c r="I400" s="18">
        <f t="shared" si="19"/>
        <v>13449.917053400799</v>
      </c>
      <c r="J400">
        <v>21199.570313</v>
      </c>
      <c r="K400" s="15">
        <v>103.13</v>
      </c>
      <c r="L400">
        <f t="shared" si="20"/>
        <v>205.56162428973141</v>
      </c>
    </row>
    <row r="401" spans="1:12" x14ac:dyDescent="0.3">
      <c r="A401" s="20">
        <v>399</v>
      </c>
      <c r="B401" s="4">
        <v>43718</v>
      </c>
      <c r="C401">
        <v>2979.389893</v>
      </c>
      <c r="D401">
        <v>26681.400390999999</v>
      </c>
      <c r="E401" s="14">
        <v>7.82</v>
      </c>
      <c r="F401" s="18">
        <f t="shared" si="18"/>
        <v>3411.943784015345</v>
      </c>
      <c r="G401">
        <v>12226.099609000001</v>
      </c>
      <c r="H401">
        <v>1.103</v>
      </c>
      <c r="I401" s="18">
        <f t="shared" si="19"/>
        <v>13485.387868727001</v>
      </c>
      <c r="J401">
        <v>21318.419922000001</v>
      </c>
      <c r="K401" s="15">
        <v>103.19</v>
      </c>
      <c r="L401">
        <f t="shared" si="20"/>
        <v>206.59385523791067</v>
      </c>
    </row>
    <row r="402" spans="1:12" x14ac:dyDescent="0.3">
      <c r="A402" s="20">
        <v>400</v>
      </c>
      <c r="B402" s="4">
        <v>43719</v>
      </c>
      <c r="C402">
        <v>3000.929932</v>
      </c>
      <c r="D402">
        <v>26683.679688</v>
      </c>
      <c r="E402" s="14">
        <v>7.82</v>
      </c>
      <c r="F402" s="18">
        <f t="shared" si="18"/>
        <v>3412.2352542199487</v>
      </c>
      <c r="G402">
        <v>12268.709961</v>
      </c>
      <c r="H402">
        <v>1.1049</v>
      </c>
      <c r="I402" s="18">
        <f t="shared" si="19"/>
        <v>13555.6976359089</v>
      </c>
      <c r="J402">
        <v>21392.099609000001</v>
      </c>
      <c r="K402" s="15">
        <v>103.62</v>
      </c>
      <c r="L402">
        <f t="shared" si="20"/>
        <v>206.44759321559545</v>
      </c>
    </row>
    <row r="403" spans="1:12" x14ac:dyDescent="0.3">
      <c r="A403" s="20">
        <v>401</v>
      </c>
      <c r="B403" s="4">
        <v>43720</v>
      </c>
      <c r="C403">
        <v>3009.570068</v>
      </c>
      <c r="D403">
        <v>27159.060547000001</v>
      </c>
      <c r="E403" s="14">
        <v>7.82</v>
      </c>
      <c r="F403" s="18">
        <f t="shared" si="18"/>
        <v>3473.0256453964193</v>
      </c>
      <c r="G403">
        <v>12359.070313</v>
      </c>
      <c r="H403">
        <v>1.1037999999999999</v>
      </c>
      <c r="I403" s="18">
        <f t="shared" si="19"/>
        <v>13641.9418114894</v>
      </c>
      <c r="J403">
        <v>21597.759765999999</v>
      </c>
      <c r="K403" s="15">
        <v>104.02</v>
      </c>
      <c r="L403">
        <f t="shared" si="20"/>
        <v>207.63083797346664</v>
      </c>
    </row>
    <row r="404" spans="1:12" x14ac:dyDescent="0.3">
      <c r="A404" s="20">
        <v>402</v>
      </c>
      <c r="B404" s="4">
        <v>43721</v>
      </c>
      <c r="C404">
        <v>3007.389893</v>
      </c>
      <c r="D404">
        <v>27087.630859000001</v>
      </c>
      <c r="E404" s="14">
        <v>7.82</v>
      </c>
      <c r="F404" s="18">
        <f t="shared" si="18"/>
        <v>3463.8914141943733</v>
      </c>
      <c r="G404">
        <v>12410.25</v>
      </c>
      <c r="H404">
        <v>1.1007</v>
      </c>
      <c r="I404" s="18">
        <f t="shared" si="19"/>
        <v>13659.962175000001</v>
      </c>
      <c r="J404">
        <v>21759.609375</v>
      </c>
      <c r="K404" s="15">
        <v>104.13</v>
      </c>
      <c r="L404">
        <f t="shared" si="20"/>
        <v>208.96580596369924</v>
      </c>
    </row>
    <row r="405" spans="1:12" x14ac:dyDescent="0.3">
      <c r="A405" s="20">
        <v>403</v>
      </c>
      <c r="B405" s="4">
        <v>43724</v>
      </c>
      <c r="C405">
        <v>2997.959961</v>
      </c>
      <c r="D405">
        <v>27352.689452999999</v>
      </c>
      <c r="E405" s="14">
        <v>7.82</v>
      </c>
      <c r="F405" s="18">
        <f t="shared" si="18"/>
        <v>3497.7863750639385</v>
      </c>
      <c r="G405">
        <v>12468.530273</v>
      </c>
      <c r="H405">
        <v>1.1064000000000001</v>
      </c>
      <c r="I405" s="18">
        <f t="shared" si="19"/>
        <v>13795.1818940472</v>
      </c>
      <c r="J405">
        <v>21988.289063</v>
      </c>
      <c r="K405" s="15">
        <v>104.49</v>
      </c>
      <c r="L405">
        <f t="shared" si="20"/>
        <v>210.43438666858074</v>
      </c>
    </row>
    <row r="406" spans="1:12" x14ac:dyDescent="0.3">
      <c r="A406" s="20">
        <v>404</v>
      </c>
      <c r="B406" s="4">
        <v>43725</v>
      </c>
      <c r="C406">
        <v>3005.6999510000001</v>
      </c>
      <c r="D406">
        <v>27124.550781000002</v>
      </c>
      <c r="E406" s="14">
        <v>7.82</v>
      </c>
      <c r="F406" s="18">
        <f t="shared" si="18"/>
        <v>3468.6126318414322</v>
      </c>
      <c r="G406">
        <v>12380.309569999999</v>
      </c>
      <c r="H406">
        <v>1.1073</v>
      </c>
      <c r="I406" s="18">
        <f t="shared" si="19"/>
        <v>13708.716786860999</v>
      </c>
      <c r="J406">
        <v>22001.320313</v>
      </c>
      <c r="K406" s="15">
        <v>104.51</v>
      </c>
      <c r="L406">
        <f t="shared" si="20"/>
        <v>210.51880502344272</v>
      </c>
    </row>
    <row r="407" spans="1:12" x14ac:dyDescent="0.3">
      <c r="A407" s="20">
        <v>405</v>
      </c>
      <c r="B407" s="4">
        <v>43726</v>
      </c>
      <c r="C407">
        <v>3006.7299800000001</v>
      </c>
      <c r="D407">
        <v>26790.240234000001</v>
      </c>
      <c r="E407" s="14">
        <v>7.82</v>
      </c>
      <c r="F407" s="18">
        <f t="shared" si="18"/>
        <v>3425.861922506394</v>
      </c>
      <c r="G407">
        <v>12372.610352</v>
      </c>
      <c r="H407">
        <v>1.0998000000000001</v>
      </c>
      <c r="I407" s="18">
        <f t="shared" si="19"/>
        <v>13607.396865129602</v>
      </c>
      <c r="J407">
        <v>21960.710938</v>
      </c>
      <c r="K407" s="15">
        <v>105.32</v>
      </c>
      <c r="L407">
        <f t="shared" si="20"/>
        <v>208.51415626661606</v>
      </c>
    </row>
    <row r="408" spans="1:12" x14ac:dyDescent="0.3">
      <c r="A408" s="20">
        <v>406</v>
      </c>
      <c r="B408" s="4">
        <v>43727</v>
      </c>
      <c r="C408">
        <v>3006.790039</v>
      </c>
      <c r="D408">
        <v>26754.119140999999</v>
      </c>
      <c r="E408" s="14">
        <v>7.82</v>
      </c>
      <c r="F408" s="18">
        <f t="shared" si="18"/>
        <v>3421.2428569053704</v>
      </c>
      <c r="G408">
        <v>12389.620117</v>
      </c>
      <c r="H408">
        <v>1.1068</v>
      </c>
      <c r="I408" s="18">
        <f t="shared" si="19"/>
        <v>13712.831545495601</v>
      </c>
      <c r="J408">
        <v>22044.449218999998</v>
      </c>
      <c r="K408" s="15">
        <v>105.34</v>
      </c>
      <c r="L408">
        <f t="shared" si="20"/>
        <v>209.26950084488323</v>
      </c>
    </row>
    <row r="409" spans="1:12" x14ac:dyDescent="0.3">
      <c r="A409" s="20">
        <v>407</v>
      </c>
      <c r="B409" s="4">
        <v>43728</v>
      </c>
      <c r="C409">
        <v>2992.070068</v>
      </c>
      <c r="D409">
        <v>26468.949218999998</v>
      </c>
      <c r="E409" s="14">
        <v>7.82</v>
      </c>
      <c r="F409" s="18">
        <f t="shared" si="18"/>
        <v>3384.7761149616363</v>
      </c>
      <c r="G409">
        <v>12457.700194999999</v>
      </c>
      <c r="H409">
        <v>1.1019000000000001</v>
      </c>
      <c r="I409" s="18">
        <f t="shared" si="19"/>
        <v>13727.1398448705</v>
      </c>
      <c r="J409">
        <v>22079.089843999998</v>
      </c>
      <c r="K409" s="15">
        <v>103.62</v>
      </c>
      <c r="L409">
        <f t="shared" si="20"/>
        <v>213.07749318664347</v>
      </c>
    </row>
    <row r="410" spans="1:12" x14ac:dyDescent="0.3">
      <c r="A410" s="20">
        <v>408</v>
      </c>
      <c r="B410" s="4">
        <v>43731</v>
      </c>
      <c r="C410">
        <v>2991.780029</v>
      </c>
      <c r="D410">
        <v>26435.669922000001</v>
      </c>
      <c r="E410" s="14">
        <v>7.82</v>
      </c>
      <c r="F410" s="18">
        <f t="shared" si="18"/>
        <v>3380.5204503836317</v>
      </c>
      <c r="G410">
        <v>12468.009765999999</v>
      </c>
      <c r="H410">
        <v>1.1041000000000001</v>
      </c>
      <c r="I410" s="18">
        <f t="shared" si="19"/>
        <v>13765.9295826406</v>
      </c>
      <c r="J410">
        <v>22098.839843999998</v>
      </c>
      <c r="K410" s="15">
        <v>103.23</v>
      </c>
      <c r="L410">
        <f t="shared" si="20"/>
        <v>214.07381424004646</v>
      </c>
    </row>
    <row r="411" spans="1:12" x14ac:dyDescent="0.3">
      <c r="A411" s="20">
        <v>409</v>
      </c>
      <c r="B411" s="4">
        <v>43732</v>
      </c>
      <c r="C411">
        <v>2966.6000979999999</v>
      </c>
      <c r="D411">
        <v>26222.400390999999</v>
      </c>
      <c r="E411" s="14">
        <v>7.82</v>
      </c>
      <c r="F411" s="18">
        <f t="shared" si="18"/>
        <v>3353.248131841432</v>
      </c>
      <c r="G411">
        <v>12342.330078000001</v>
      </c>
      <c r="H411">
        <v>1.1013999999999999</v>
      </c>
      <c r="I411" s="18">
        <f t="shared" si="19"/>
        <v>13593.8423479092</v>
      </c>
      <c r="J411">
        <v>22020.150390999999</v>
      </c>
      <c r="K411" s="15">
        <v>103.67</v>
      </c>
      <c r="L411">
        <f t="shared" si="20"/>
        <v>212.40619649850487</v>
      </c>
    </row>
    <row r="412" spans="1:12" x14ac:dyDescent="0.3">
      <c r="A412" s="20">
        <v>410</v>
      </c>
      <c r="B412" s="4">
        <v>43733</v>
      </c>
      <c r="C412">
        <v>2984.8701169999999</v>
      </c>
      <c r="D412">
        <v>26281</v>
      </c>
      <c r="E412" s="14">
        <v>7.82</v>
      </c>
      <c r="F412" s="18">
        <f t="shared" si="18"/>
        <v>3360.7416879795396</v>
      </c>
      <c r="G412">
        <v>12307.150390999999</v>
      </c>
      <c r="H412">
        <v>1.0995999999999999</v>
      </c>
      <c r="I412" s="18">
        <f t="shared" si="19"/>
        <v>13532.942569943598</v>
      </c>
      <c r="J412">
        <v>22048.240234000001</v>
      </c>
      <c r="K412" s="15">
        <v>104.45</v>
      </c>
      <c r="L412">
        <f t="shared" si="20"/>
        <v>211.08894431785544</v>
      </c>
    </row>
    <row r="413" spans="1:12" x14ac:dyDescent="0.3">
      <c r="A413" s="20">
        <v>411</v>
      </c>
      <c r="B413" s="4">
        <v>43734</v>
      </c>
      <c r="C413">
        <v>2977.6201169999999</v>
      </c>
      <c r="D413">
        <v>25945.349609000001</v>
      </c>
      <c r="E413" s="14">
        <v>7.82</v>
      </c>
      <c r="F413" s="18">
        <f t="shared" si="18"/>
        <v>3317.8196430946291</v>
      </c>
      <c r="G413">
        <v>12234.179688</v>
      </c>
      <c r="H413">
        <v>1.1015999999999999</v>
      </c>
      <c r="I413" s="18">
        <f t="shared" si="19"/>
        <v>13477.1723443008</v>
      </c>
      <c r="J413">
        <v>21878.900390999999</v>
      </c>
      <c r="K413" s="15">
        <v>105.26</v>
      </c>
      <c r="L413">
        <f t="shared" si="20"/>
        <v>207.85578938818162</v>
      </c>
    </row>
    <row r="414" spans="1:12" x14ac:dyDescent="0.3">
      <c r="A414" s="20">
        <v>412</v>
      </c>
      <c r="B414" s="4">
        <v>43735</v>
      </c>
      <c r="C414">
        <v>2961.790039</v>
      </c>
      <c r="D414">
        <v>26041.929688</v>
      </c>
      <c r="E414" s="14">
        <v>7.82</v>
      </c>
      <c r="F414" s="18">
        <f t="shared" si="18"/>
        <v>3330.1700368286442</v>
      </c>
      <c r="G414">
        <v>12288.540039</v>
      </c>
      <c r="H414">
        <v>1.0945</v>
      </c>
      <c r="I414" s="18">
        <f t="shared" si="19"/>
        <v>13449.8070726855</v>
      </c>
      <c r="J414">
        <v>21755.839843999998</v>
      </c>
      <c r="K414" s="15">
        <v>104.81</v>
      </c>
      <c r="L414">
        <f t="shared" si="20"/>
        <v>207.57408495372576</v>
      </c>
    </row>
    <row r="415" spans="1:12" x14ac:dyDescent="0.3">
      <c r="A415" s="20">
        <v>413</v>
      </c>
      <c r="B415" s="4">
        <v>43738</v>
      </c>
      <c r="C415">
        <v>2976.73999</v>
      </c>
      <c r="D415">
        <v>25954.810547000001</v>
      </c>
      <c r="E415" s="14">
        <v>7.82</v>
      </c>
      <c r="F415" s="18">
        <f t="shared" si="18"/>
        <v>3319.029481713555</v>
      </c>
      <c r="G415">
        <v>12380.940430000001</v>
      </c>
      <c r="H415">
        <v>1.0927</v>
      </c>
      <c r="I415" s="18">
        <f t="shared" si="19"/>
        <v>13528.653607861001</v>
      </c>
      <c r="J415">
        <v>21885.240234000001</v>
      </c>
      <c r="K415" s="15">
        <v>104.08</v>
      </c>
      <c r="L415">
        <f t="shared" si="20"/>
        <v>210.27325359338971</v>
      </c>
    </row>
    <row r="416" spans="1:12" x14ac:dyDescent="0.3">
      <c r="A416" s="20">
        <v>414</v>
      </c>
      <c r="B416" s="4">
        <v>43739</v>
      </c>
      <c r="C416">
        <v>2940.25</v>
      </c>
      <c r="D416">
        <v>26092.269531000002</v>
      </c>
      <c r="E416" s="14">
        <v>7.82</v>
      </c>
      <c r="F416" s="18">
        <f t="shared" si="18"/>
        <v>3336.607356905371</v>
      </c>
      <c r="G416">
        <v>12428.080078000001</v>
      </c>
      <c r="H416">
        <v>1.0941000000000001</v>
      </c>
      <c r="I416" s="18">
        <f t="shared" si="19"/>
        <v>13597.562413339801</v>
      </c>
      <c r="J416">
        <v>21778.609375</v>
      </c>
      <c r="K416" s="15">
        <v>104.48</v>
      </c>
      <c r="L416">
        <f t="shared" si="20"/>
        <v>208.44763950038285</v>
      </c>
    </row>
    <row r="417" spans="1:12" x14ac:dyDescent="0.3">
      <c r="A417" s="20">
        <v>415</v>
      </c>
      <c r="B417" s="4">
        <v>43740</v>
      </c>
      <c r="C417">
        <v>2887.610107</v>
      </c>
      <c r="D417">
        <v>26042.689452999999</v>
      </c>
      <c r="E417" s="14">
        <v>7.82</v>
      </c>
      <c r="F417" s="18">
        <f t="shared" si="18"/>
        <v>3330.2671934782607</v>
      </c>
      <c r="G417">
        <v>12263.830078000001</v>
      </c>
      <c r="H417">
        <v>1.0901000000000001</v>
      </c>
      <c r="I417" s="18">
        <f t="shared" si="19"/>
        <v>13368.801168027801</v>
      </c>
      <c r="J417">
        <v>21341.740234000001</v>
      </c>
      <c r="K417" s="15">
        <v>103.84</v>
      </c>
      <c r="L417">
        <f t="shared" si="20"/>
        <v>205.52523337827427</v>
      </c>
    </row>
    <row r="418" spans="1:12" x14ac:dyDescent="0.3">
      <c r="A418" s="20">
        <v>416</v>
      </c>
      <c r="B418" s="4">
        <v>43741</v>
      </c>
      <c r="C418">
        <v>2910.6298830000001</v>
      </c>
      <c r="D418">
        <v>26110.310547000001</v>
      </c>
      <c r="E418" s="14">
        <v>7.82</v>
      </c>
      <c r="F418" s="18">
        <f t="shared" si="18"/>
        <v>3338.9143921994887</v>
      </c>
      <c r="G418">
        <v>11925.25</v>
      </c>
      <c r="H418">
        <v>1.0931</v>
      </c>
      <c r="I418" s="18">
        <f t="shared" si="19"/>
        <v>13035.490775</v>
      </c>
      <c r="J418">
        <v>21410.199218999998</v>
      </c>
      <c r="K418" s="15">
        <v>103.27</v>
      </c>
      <c r="L418">
        <f t="shared" si="20"/>
        <v>207.32254496949741</v>
      </c>
    </row>
    <row r="419" spans="1:12" x14ac:dyDescent="0.3">
      <c r="A419" s="20">
        <v>417</v>
      </c>
      <c r="B419" s="4">
        <v>43742</v>
      </c>
      <c r="C419">
        <v>2952.01001</v>
      </c>
      <c r="D419">
        <v>25821.029297000001</v>
      </c>
      <c r="E419" s="14">
        <v>7.82</v>
      </c>
      <c r="F419" s="18">
        <f t="shared" si="18"/>
        <v>3301.9219049872122</v>
      </c>
      <c r="G419">
        <v>12012.809569999999</v>
      </c>
      <c r="H419">
        <v>1.0959000000000001</v>
      </c>
      <c r="I419" s="18">
        <f t="shared" si="19"/>
        <v>13164.838007763001</v>
      </c>
      <c r="J419">
        <v>21375.25</v>
      </c>
      <c r="K419" s="15">
        <v>103.95</v>
      </c>
      <c r="L419">
        <f t="shared" si="20"/>
        <v>205.63011063011064</v>
      </c>
    </row>
    <row r="420" spans="1:12" x14ac:dyDescent="0.3">
      <c r="A420" s="20">
        <v>418</v>
      </c>
      <c r="B420" s="4">
        <v>43745</v>
      </c>
      <c r="C420">
        <v>2938.790039</v>
      </c>
      <c r="D420">
        <v>25893.400390999999</v>
      </c>
      <c r="E420" s="14">
        <v>7.82</v>
      </c>
      <c r="F420" s="18">
        <f t="shared" si="18"/>
        <v>3311.1765205882352</v>
      </c>
      <c r="G420">
        <v>12097.429688</v>
      </c>
      <c r="H420">
        <v>1.0967</v>
      </c>
      <c r="I420" s="18">
        <f t="shared" si="19"/>
        <v>13267.251138829601</v>
      </c>
      <c r="J420">
        <v>21587.779297000001</v>
      </c>
      <c r="K420" s="15">
        <v>103.37</v>
      </c>
      <c r="L420">
        <f t="shared" si="20"/>
        <v>208.83988872013157</v>
      </c>
    </row>
    <row r="421" spans="1:12" x14ac:dyDescent="0.3">
      <c r="A421" s="20">
        <v>419</v>
      </c>
      <c r="B421" s="4">
        <v>43746</v>
      </c>
      <c r="C421">
        <v>2893.0600589999999</v>
      </c>
      <c r="D421">
        <v>25682.810547000001</v>
      </c>
      <c r="E421" s="14">
        <v>7.82</v>
      </c>
      <c r="F421" s="18">
        <f t="shared" si="18"/>
        <v>3284.246873017903</v>
      </c>
      <c r="G421">
        <v>11970.200194999999</v>
      </c>
      <c r="H421">
        <v>1.0978000000000001</v>
      </c>
      <c r="I421" s="18">
        <f t="shared" si="19"/>
        <v>13140.885774071001</v>
      </c>
      <c r="J421">
        <v>21456.380859000001</v>
      </c>
      <c r="K421" s="15">
        <v>104.1</v>
      </c>
      <c r="L421">
        <f t="shared" si="20"/>
        <v>206.11316867435161</v>
      </c>
    </row>
    <row r="422" spans="1:12" x14ac:dyDescent="0.3">
      <c r="A422" s="20">
        <v>420</v>
      </c>
      <c r="B422" s="4">
        <v>43747</v>
      </c>
      <c r="C422">
        <v>2919.3999020000001</v>
      </c>
      <c r="D422">
        <v>25707.929688</v>
      </c>
      <c r="E422" s="14">
        <v>7.82</v>
      </c>
      <c r="F422" s="18">
        <f t="shared" si="18"/>
        <v>3287.459039386189</v>
      </c>
      <c r="G422">
        <v>12094.259765999999</v>
      </c>
      <c r="H422">
        <v>1.097</v>
      </c>
      <c r="I422" s="18">
        <f t="shared" si="19"/>
        <v>13267.402963301998</v>
      </c>
      <c r="J422">
        <v>21551.980468999998</v>
      </c>
      <c r="K422" s="15">
        <v>104.75</v>
      </c>
      <c r="L422">
        <f t="shared" si="20"/>
        <v>205.74683025298327</v>
      </c>
    </row>
    <row r="423" spans="1:12" x14ac:dyDescent="0.3">
      <c r="A423" s="20">
        <v>421</v>
      </c>
      <c r="B423" s="4">
        <v>43748</v>
      </c>
      <c r="C423">
        <v>2938.1298830000001</v>
      </c>
      <c r="D423">
        <v>26308.439452999999</v>
      </c>
      <c r="E423" s="14">
        <v>7.82</v>
      </c>
      <c r="F423" s="18">
        <f t="shared" si="18"/>
        <v>3364.2505694373399</v>
      </c>
      <c r="G423">
        <v>12164.200194999999</v>
      </c>
      <c r="H423">
        <v>1.0954999999999999</v>
      </c>
      <c r="I423" s="18">
        <f t="shared" si="19"/>
        <v>13325.881313622498</v>
      </c>
      <c r="J423">
        <v>21798.869140999999</v>
      </c>
      <c r="K423" s="15">
        <v>105.41</v>
      </c>
      <c r="L423">
        <f t="shared" si="20"/>
        <v>206.80076976567688</v>
      </c>
    </row>
    <row r="424" spans="1:12" x14ac:dyDescent="0.3">
      <c r="A424" s="20">
        <v>422</v>
      </c>
      <c r="B424" s="4">
        <v>43749</v>
      </c>
      <c r="C424">
        <v>2970.2700199999999</v>
      </c>
      <c r="D424">
        <v>26521.849609000001</v>
      </c>
      <c r="E424" s="14">
        <v>7.82</v>
      </c>
      <c r="F424" s="18">
        <f t="shared" si="18"/>
        <v>3391.5408707161123</v>
      </c>
      <c r="G424">
        <v>12511.650390999999</v>
      </c>
      <c r="H424">
        <v>1.0972999999999999</v>
      </c>
      <c r="I424" s="18">
        <f t="shared" si="19"/>
        <v>13729.033974044298</v>
      </c>
      <c r="J424">
        <v>22207.210938</v>
      </c>
      <c r="K424" s="15">
        <v>105.57</v>
      </c>
      <c r="L424">
        <f t="shared" si="20"/>
        <v>210.3553181585678</v>
      </c>
    </row>
    <row r="425" spans="1:12" x14ac:dyDescent="0.3">
      <c r="A425" s="20">
        <v>423</v>
      </c>
      <c r="B425" s="4">
        <v>43752</v>
      </c>
      <c r="C425">
        <v>2966.1499020000001</v>
      </c>
      <c r="D425">
        <v>26503.929688</v>
      </c>
      <c r="E425" s="14">
        <v>7.82</v>
      </c>
      <c r="F425" s="18">
        <f t="shared" si="18"/>
        <v>3389.2493207161124</v>
      </c>
      <c r="G425">
        <v>12486.559569999999</v>
      </c>
      <c r="H425">
        <v>1.1005</v>
      </c>
      <c r="I425" s="18">
        <f t="shared" si="19"/>
        <v>13741.458806785</v>
      </c>
      <c r="J425">
        <v>22472.919922000001</v>
      </c>
      <c r="K425" s="15">
        <v>104.55</v>
      </c>
      <c r="L425">
        <f t="shared" si="20"/>
        <v>214.94901886178863</v>
      </c>
    </row>
    <row r="426" spans="1:12" x14ac:dyDescent="0.3">
      <c r="A426" s="20">
        <v>424</v>
      </c>
      <c r="B426" s="4">
        <v>43753</v>
      </c>
      <c r="C426">
        <v>2995.679932</v>
      </c>
      <c r="D426">
        <v>26664.279297000001</v>
      </c>
      <c r="E426" s="14">
        <v>7.82</v>
      </c>
      <c r="F426" s="18">
        <f t="shared" si="18"/>
        <v>3409.7543858056265</v>
      </c>
      <c r="G426">
        <v>12629.790039</v>
      </c>
      <c r="H426">
        <v>1.1040000000000001</v>
      </c>
      <c r="I426" s="18">
        <f t="shared" si="19"/>
        <v>13943.288203056001</v>
      </c>
      <c r="J426">
        <v>22451.859375</v>
      </c>
      <c r="K426" s="15">
        <v>105.26</v>
      </c>
      <c r="L426">
        <f t="shared" si="20"/>
        <v>213.29906303439103</v>
      </c>
    </row>
    <row r="427" spans="1:12" x14ac:dyDescent="0.3">
      <c r="A427" s="20">
        <v>425</v>
      </c>
      <c r="B427" s="4">
        <v>43754</v>
      </c>
      <c r="C427">
        <v>2989.6899410000001</v>
      </c>
      <c r="D427">
        <v>26848.490234000001</v>
      </c>
      <c r="E427" s="14">
        <v>7.82</v>
      </c>
      <c r="F427" s="18">
        <f t="shared" si="18"/>
        <v>3433.3107716112531</v>
      </c>
      <c r="G427">
        <v>12670.110352</v>
      </c>
      <c r="H427">
        <v>1.1025</v>
      </c>
      <c r="I427" s="18">
        <f t="shared" si="19"/>
        <v>13968.79666308</v>
      </c>
      <c r="J427">
        <v>22492.679688</v>
      </c>
      <c r="K427" s="15">
        <v>105.03</v>
      </c>
      <c r="L427">
        <f t="shared" si="20"/>
        <v>214.15480994001715</v>
      </c>
    </row>
    <row r="428" spans="1:12" x14ac:dyDescent="0.3">
      <c r="A428" s="20">
        <v>426</v>
      </c>
      <c r="B428" s="4">
        <v>43755</v>
      </c>
      <c r="C428">
        <v>2997.9499510000001</v>
      </c>
      <c r="D428">
        <v>26719.580077999999</v>
      </c>
      <c r="E428" s="14">
        <v>7.82</v>
      </c>
      <c r="F428" s="18">
        <f t="shared" si="18"/>
        <v>3416.8260969309458</v>
      </c>
      <c r="G428">
        <v>12654.950194999999</v>
      </c>
      <c r="H428">
        <v>1.103</v>
      </c>
      <c r="I428" s="18">
        <f t="shared" si="19"/>
        <v>13958.410065085</v>
      </c>
      <c r="J428">
        <v>22548.900390999999</v>
      </c>
      <c r="K428" s="15">
        <v>106.11</v>
      </c>
      <c r="L428">
        <f t="shared" si="20"/>
        <v>212.50495138064272</v>
      </c>
    </row>
    <row r="429" spans="1:12" x14ac:dyDescent="0.3">
      <c r="A429" s="20">
        <v>427</v>
      </c>
      <c r="B429" s="4">
        <v>43756</v>
      </c>
      <c r="C429">
        <v>2986.1999510000001</v>
      </c>
      <c r="D429">
        <v>26725.679688</v>
      </c>
      <c r="E429" s="14">
        <v>7.8</v>
      </c>
      <c r="F429" s="18">
        <f t="shared" si="18"/>
        <v>3426.369190769231</v>
      </c>
      <c r="G429">
        <v>12633.599609000001</v>
      </c>
      <c r="H429">
        <v>1.1073</v>
      </c>
      <c r="I429" s="18">
        <f t="shared" si="19"/>
        <v>13989.184847045701</v>
      </c>
      <c r="J429">
        <v>22625.380859000001</v>
      </c>
      <c r="K429" s="15">
        <v>105.32</v>
      </c>
      <c r="L429">
        <f t="shared" si="20"/>
        <v>214.82511259969618</v>
      </c>
    </row>
    <row r="430" spans="1:12" x14ac:dyDescent="0.3">
      <c r="A430" s="20">
        <v>428</v>
      </c>
      <c r="B430" s="4">
        <v>43759</v>
      </c>
      <c r="C430">
        <v>3006.719971</v>
      </c>
      <c r="D430">
        <v>26786.199218999998</v>
      </c>
      <c r="E430" s="14">
        <v>7.8</v>
      </c>
      <c r="F430" s="18">
        <f t="shared" si="18"/>
        <v>3434.1281049999998</v>
      </c>
      <c r="G430">
        <v>12747.959961</v>
      </c>
      <c r="H430">
        <v>1.1125</v>
      </c>
      <c r="I430" s="18">
        <f t="shared" si="19"/>
        <v>14182.1054566125</v>
      </c>
      <c r="J430">
        <v>22750.599609000001</v>
      </c>
      <c r="K430" s="15">
        <v>106.07</v>
      </c>
      <c r="L430">
        <f t="shared" si="20"/>
        <v>214.4866560667484</v>
      </c>
    </row>
    <row r="431" spans="1:12" x14ac:dyDescent="0.3">
      <c r="A431" s="20">
        <v>429</v>
      </c>
      <c r="B431" s="4">
        <v>43760</v>
      </c>
      <c r="C431">
        <v>2995.98999</v>
      </c>
      <c r="D431">
        <v>26566.730468999998</v>
      </c>
      <c r="E431" s="14">
        <v>7.8</v>
      </c>
      <c r="F431" s="18">
        <f t="shared" si="18"/>
        <v>3405.9910857692307</v>
      </c>
      <c r="G431">
        <v>12754.690430000001</v>
      </c>
      <c r="H431">
        <v>1.1162000000000001</v>
      </c>
      <c r="I431" s="18">
        <f t="shared" si="19"/>
        <v>14236.785457966002</v>
      </c>
      <c r="J431">
        <v>22799.810547000001</v>
      </c>
      <c r="K431" s="15">
        <v>107.19</v>
      </c>
      <c r="L431">
        <f t="shared" si="20"/>
        <v>212.70464172963898</v>
      </c>
    </row>
    <row r="432" spans="1:12" x14ac:dyDescent="0.3">
      <c r="A432" s="20">
        <v>430</v>
      </c>
      <c r="B432" s="4">
        <v>43761</v>
      </c>
      <c r="C432">
        <v>3004.5200199999999</v>
      </c>
      <c r="D432">
        <v>26797.949218999998</v>
      </c>
      <c r="E432" s="14">
        <v>7.8</v>
      </c>
      <c r="F432" s="18">
        <f t="shared" si="18"/>
        <v>3435.6345152564099</v>
      </c>
      <c r="G432">
        <v>12798.190430000001</v>
      </c>
      <c r="H432">
        <v>1.1145</v>
      </c>
      <c r="I432" s="18">
        <f t="shared" si="19"/>
        <v>14263.583234235</v>
      </c>
      <c r="J432">
        <v>22867.269531000002</v>
      </c>
      <c r="K432" s="15">
        <v>106.77</v>
      </c>
      <c r="L432">
        <f t="shared" si="20"/>
        <v>214.17317159314416</v>
      </c>
    </row>
    <row r="433" spans="1:12" x14ac:dyDescent="0.3">
      <c r="A433" s="20">
        <v>431</v>
      </c>
      <c r="B433" s="4">
        <v>43762</v>
      </c>
      <c r="C433">
        <v>3010.290039</v>
      </c>
      <c r="D433">
        <v>26667.390625</v>
      </c>
      <c r="E433" s="14">
        <v>7.8</v>
      </c>
      <c r="F433" s="18">
        <f t="shared" si="18"/>
        <v>3418.8962339743589</v>
      </c>
      <c r="G433">
        <v>12872.099609000001</v>
      </c>
      <c r="H433">
        <v>1.1119000000000001</v>
      </c>
      <c r="I433" s="18">
        <f t="shared" si="19"/>
        <v>14312.487555247102</v>
      </c>
      <c r="J433">
        <v>22974.130859000001</v>
      </c>
      <c r="K433" s="15">
        <v>108.03</v>
      </c>
      <c r="L433">
        <f t="shared" si="20"/>
        <v>212.66436044617237</v>
      </c>
    </row>
    <row r="434" spans="1:12" x14ac:dyDescent="0.3">
      <c r="A434" s="20">
        <v>432</v>
      </c>
      <c r="B434" s="4">
        <v>43763</v>
      </c>
      <c r="C434">
        <v>3022.5500489999999</v>
      </c>
      <c r="D434">
        <v>26891.259765999999</v>
      </c>
      <c r="E434" s="14">
        <v>7.8</v>
      </c>
      <c r="F434" s="18">
        <f t="shared" si="18"/>
        <v>3447.5974058974357</v>
      </c>
      <c r="G434">
        <v>12894.509765999999</v>
      </c>
      <c r="H434">
        <v>1.1133</v>
      </c>
      <c r="I434" s="18">
        <f t="shared" si="19"/>
        <v>14355.457722487799</v>
      </c>
      <c r="J434">
        <v>22843.119140999999</v>
      </c>
      <c r="K434" s="15">
        <v>108.02</v>
      </c>
      <c r="L434">
        <f t="shared" si="20"/>
        <v>211.47120108313274</v>
      </c>
    </row>
    <row r="435" spans="1:12" x14ac:dyDescent="0.3">
      <c r="A435" s="20">
        <v>433</v>
      </c>
      <c r="B435" s="4">
        <v>43766</v>
      </c>
      <c r="C435">
        <v>3039.419922</v>
      </c>
      <c r="D435">
        <v>26786.759765999999</v>
      </c>
      <c r="E435" s="14">
        <v>7.8</v>
      </c>
      <c r="F435" s="18">
        <f t="shared" si="18"/>
        <v>3434.1999700000001</v>
      </c>
      <c r="G435">
        <v>12941.709961</v>
      </c>
      <c r="H435">
        <v>1.1105</v>
      </c>
      <c r="I435" s="18">
        <f t="shared" si="19"/>
        <v>14371.7689116905</v>
      </c>
      <c r="J435">
        <v>22927.039063</v>
      </c>
      <c r="K435" s="15">
        <v>108.28</v>
      </c>
      <c r="L435">
        <f t="shared" si="20"/>
        <v>211.7384472016993</v>
      </c>
    </row>
    <row r="436" spans="1:12" x14ac:dyDescent="0.3">
      <c r="A436" s="20">
        <v>434</v>
      </c>
      <c r="B436" s="4">
        <v>43767</v>
      </c>
      <c r="C436">
        <v>3036.889893</v>
      </c>
      <c r="D436">
        <v>26667.710938</v>
      </c>
      <c r="E436" s="14">
        <v>7.8</v>
      </c>
      <c r="F436" s="18">
        <f t="shared" si="18"/>
        <v>3418.9372997435898</v>
      </c>
      <c r="G436">
        <v>12939.620117</v>
      </c>
      <c r="H436">
        <v>1.1077999999999999</v>
      </c>
      <c r="I436" s="18">
        <f t="shared" si="19"/>
        <v>14334.511165612599</v>
      </c>
      <c r="J436">
        <v>22850.769531000002</v>
      </c>
      <c r="K436" s="15">
        <v>108.14</v>
      </c>
      <c r="L436">
        <f t="shared" si="20"/>
        <v>211.30728251340855</v>
      </c>
    </row>
    <row r="437" spans="1:12" x14ac:dyDescent="0.3">
      <c r="A437" s="20">
        <v>435</v>
      </c>
      <c r="B437" s="4">
        <v>43768</v>
      </c>
      <c r="C437">
        <v>3046.7700199999999</v>
      </c>
      <c r="D437">
        <v>26906.720702999999</v>
      </c>
      <c r="E437" s="14">
        <v>7.8</v>
      </c>
      <c r="F437" s="18">
        <f t="shared" si="18"/>
        <v>3449.5795773076925</v>
      </c>
      <c r="G437">
        <v>12910.230469</v>
      </c>
      <c r="H437">
        <v>1.1097999999999999</v>
      </c>
      <c r="I437" s="18">
        <f t="shared" si="19"/>
        <v>14327.7737744962</v>
      </c>
      <c r="J437">
        <v>23251.990234000001</v>
      </c>
      <c r="K437" s="15">
        <v>107.9</v>
      </c>
      <c r="L437">
        <f t="shared" si="20"/>
        <v>215.49573896200184</v>
      </c>
    </row>
    <row r="438" spans="1:12" x14ac:dyDescent="0.3">
      <c r="A438" s="20">
        <v>436</v>
      </c>
      <c r="B438" s="4">
        <v>43769</v>
      </c>
      <c r="C438">
        <v>3037.5600589999999</v>
      </c>
      <c r="D438">
        <v>27100.759765999999</v>
      </c>
      <c r="E438" s="14">
        <v>7.8</v>
      </c>
      <c r="F438" s="18">
        <f t="shared" si="18"/>
        <v>3474.4563802564103</v>
      </c>
      <c r="G438">
        <v>12866.790039</v>
      </c>
      <c r="H438">
        <v>1.1109</v>
      </c>
      <c r="I438" s="18">
        <f t="shared" si="19"/>
        <v>14293.7170543251</v>
      </c>
      <c r="J438">
        <v>23303.820313</v>
      </c>
      <c r="K438" s="15">
        <v>107.98</v>
      </c>
      <c r="L438">
        <f t="shared" si="20"/>
        <v>215.81607994999072</v>
      </c>
    </row>
    <row r="439" spans="1:12" x14ac:dyDescent="0.3">
      <c r="A439" s="20">
        <v>437</v>
      </c>
      <c r="B439" s="4">
        <v>43770</v>
      </c>
      <c r="C439">
        <v>3066.9099120000001</v>
      </c>
      <c r="D439">
        <v>27547.300781000002</v>
      </c>
      <c r="E439" s="14">
        <v>7.8</v>
      </c>
      <c r="F439" s="18">
        <f t="shared" si="18"/>
        <v>3531.7052283333337</v>
      </c>
      <c r="G439">
        <v>12961.049805000001</v>
      </c>
      <c r="H439">
        <v>1.1142000000000001</v>
      </c>
      <c r="I439" s="18">
        <f t="shared" si="19"/>
        <v>14441.201692731001</v>
      </c>
      <c r="J439">
        <v>23330.320313</v>
      </c>
      <c r="K439" s="15">
        <v>107.39</v>
      </c>
      <c r="L439">
        <f t="shared" si="20"/>
        <v>217.24853629760685</v>
      </c>
    </row>
    <row r="440" spans="1:12" x14ac:dyDescent="0.3">
      <c r="A440" s="20">
        <v>438</v>
      </c>
      <c r="B440" s="4">
        <v>43773</v>
      </c>
      <c r="C440">
        <v>3078.2700199999999</v>
      </c>
      <c r="D440">
        <v>27683.400390999999</v>
      </c>
      <c r="E440" s="14">
        <v>7.8</v>
      </c>
      <c r="F440" s="18">
        <f t="shared" si="18"/>
        <v>3549.1538962820514</v>
      </c>
      <c r="G440">
        <v>13136.280273</v>
      </c>
      <c r="H440">
        <v>1.1143000000000001</v>
      </c>
      <c r="I440" s="18">
        <f t="shared" si="19"/>
        <v>14637.757108203901</v>
      </c>
      <c r="J440">
        <v>23391.869140999999</v>
      </c>
      <c r="K440" s="15">
        <v>107.92</v>
      </c>
      <c r="L440">
        <f t="shared" si="20"/>
        <v>216.75193792624165</v>
      </c>
    </row>
    <row r="441" spans="1:12" x14ac:dyDescent="0.3">
      <c r="A441" s="20">
        <v>439</v>
      </c>
      <c r="B441" s="4">
        <v>43774</v>
      </c>
      <c r="C441">
        <v>3074.6201169999999</v>
      </c>
      <c r="D441">
        <v>27688.640625</v>
      </c>
      <c r="E441" s="14">
        <v>7.8</v>
      </c>
      <c r="F441" s="18">
        <f t="shared" si="18"/>
        <v>3549.8257211538462</v>
      </c>
      <c r="G441">
        <v>13148.5</v>
      </c>
      <c r="H441">
        <v>1.1164000000000001</v>
      </c>
      <c r="I441" s="18">
        <f t="shared" si="19"/>
        <v>14678.985400000001</v>
      </c>
      <c r="J441">
        <v>23331.839843999998</v>
      </c>
      <c r="K441" s="15">
        <v>107.71</v>
      </c>
      <c r="L441">
        <f t="shared" si="20"/>
        <v>216.61721143812088</v>
      </c>
    </row>
    <row r="442" spans="1:12" x14ac:dyDescent="0.3">
      <c r="A442" s="20">
        <v>440</v>
      </c>
      <c r="B442" s="4">
        <v>43775</v>
      </c>
      <c r="C442">
        <v>3076.780029</v>
      </c>
      <c r="D442">
        <v>27847.230468999998</v>
      </c>
      <c r="E442" s="14">
        <v>7.8</v>
      </c>
      <c r="F442" s="18">
        <f t="shared" si="18"/>
        <v>3570.1577524358972</v>
      </c>
      <c r="G442">
        <v>13179.889648</v>
      </c>
      <c r="H442">
        <v>1.1126</v>
      </c>
      <c r="I442" s="18">
        <f t="shared" si="19"/>
        <v>14663.9452223648</v>
      </c>
      <c r="J442">
        <v>23520.009765999999</v>
      </c>
      <c r="K442" s="15">
        <v>108.17</v>
      </c>
      <c r="L442">
        <f t="shared" si="20"/>
        <v>217.43560844966257</v>
      </c>
    </row>
    <row r="443" spans="1:12" x14ac:dyDescent="0.3">
      <c r="A443" s="20">
        <v>441</v>
      </c>
      <c r="B443" s="4">
        <v>43776</v>
      </c>
      <c r="C443">
        <v>3085.179932</v>
      </c>
      <c r="D443">
        <v>27651.140625</v>
      </c>
      <c r="E443" s="14">
        <v>7.8</v>
      </c>
      <c r="F443" s="18">
        <f t="shared" si="18"/>
        <v>3545.0180288461538</v>
      </c>
      <c r="G443">
        <v>13289.459961</v>
      </c>
      <c r="H443">
        <v>1.1073</v>
      </c>
      <c r="I443" s="18">
        <f t="shared" si="19"/>
        <v>14715.419014815299</v>
      </c>
      <c r="J443">
        <v>23319.869140999999</v>
      </c>
      <c r="K443" s="15">
        <v>107.19</v>
      </c>
      <c r="L443">
        <f t="shared" si="20"/>
        <v>217.55638717231085</v>
      </c>
    </row>
    <row r="444" spans="1:12" x14ac:dyDescent="0.3">
      <c r="A444" s="20">
        <v>442</v>
      </c>
      <c r="B444" s="4">
        <v>43777</v>
      </c>
      <c r="C444">
        <v>3093.080078</v>
      </c>
      <c r="D444">
        <v>26926.550781000002</v>
      </c>
      <c r="E444" s="14">
        <v>7.8</v>
      </c>
      <c r="F444" s="18">
        <f t="shared" si="18"/>
        <v>3452.1218950000002</v>
      </c>
      <c r="G444">
        <v>13228.559569999999</v>
      </c>
      <c r="H444">
        <v>1.1069</v>
      </c>
      <c r="I444" s="18">
        <f t="shared" si="19"/>
        <v>14642.692588033</v>
      </c>
      <c r="J444">
        <v>23141.550781000002</v>
      </c>
      <c r="K444" s="15">
        <v>106.14</v>
      </c>
      <c r="L444">
        <f t="shared" si="20"/>
        <v>218.0285545600151</v>
      </c>
    </row>
    <row r="445" spans="1:12" x14ac:dyDescent="0.3">
      <c r="A445" s="20">
        <v>443</v>
      </c>
      <c r="B445" s="4">
        <v>43780</v>
      </c>
      <c r="C445">
        <v>3087.01001</v>
      </c>
      <c r="D445">
        <v>27065.279297000001</v>
      </c>
      <c r="E445" s="14">
        <v>7.8</v>
      </c>
      <c r="F445" s="18">
        <f t="shared" si="18"/>
        <v>3469.9076021794872</v>
      </c>
      <c r="G445">
        <v>13198.370117</v>
      </c>
      <c r="H445">
        <v>1.1049</v>
      </c>
      <c r="I445" s="18">
        <f t="shared" si="19"/>
        <v>14582.879142273301</v>
      </c>
      <c r="J445">
        <v>23303.320313</v>
      </c>
      <c r="K445" s="15">
        <v>106.01</v>
      </c>
      <c r="L445">
        <f t="shared" si="20"/>
        <v>219.82190654655221</v>
      </c>
    </row>
    <row r="446" spans="1:12" x14ac:dyDescent="0.3">
      <c r="A446" s="20">
        <v>444</v>
      </c>
      <c r="B446" s="4">
        <v>43781</v>
      </c>
      <c r="C446">
        <v>3091.8400879999999</v>
      </c>
      <c r="D446">
        <v>26571.460938</v>
      </c>
      <c r="E446" s="14">
        <v>7.8</v>
      </c>
      <c r="F446" s="18">
        <f t="shared" si="18"/>
        <v>3406.5975561538462</v>
      </c>
      <c r="G446">
        <v>13283.509765999999</v>
      </c>
      <c r="H446">
        <v>1.1021000000000001</v>
      </c>
      <c r="I446" s="18">
        <f t="shared" si="19"/>
        <v>14639.7561131086</v>
      </c>
      <c r="J446">
        <v>23416.759765999999</v>
      </c>
      <c r="K446" s="15">
        <v>106.01</v>
      </c>
      <c r="L446">
        <f t="shared" si="20"/>
        <v>220.89198911423449</v>
      </c>
    </row>
    <row r="447" spans="1:12" x14ac:dyDescent="0.3">
      <c r="A447" s="20">
        <v>445</v>
      </c>
      <c r="B447" s="4">
        <v>43782</v>
      </c>
      <c r="C447">
        <v>3094.040039</v>
      </c>
      <c r="D447">
        <v>26323.689452999999</v>
      </c>
      <c r="E447" s="14">
        <v>7.8</v>
      </c>
      <c r="F447" s="18">
        <f t="shared" si="18"/>
        <v>3374.8319811538463</v>
      </c>
      <c r="G447">
        <v>13230.070313</v>
      </c>
      <c r="H447">
        <v>1.1033999999999999</v>
      </c>
      <c r="I447" s="18">
        <f t="shared" si="19"/>
        <v>14598.0595833642</v>
      </c>
      <c r="J447">
        <v>23292.650390999999</v>
      </c>
      <c r="K447" s="15">
        <v>106.11</v>
      </c>
      <c r="L447">
        <f t="shared" si="20"/>
        <v>219.51418707944586</v>
      </c>
    </row>
    <row r="448" spans="1:12" x14ac:dyDescent="0.3">
      <c r="A448" s="20">
        <v>446</v>
      </c>
      <c r="B448" s="4">
        <v>43783</v>
      </c>
      <c r="C448">
        <v>3096.6298830000001</v>
      </c>
      <c r="D448">
        <v>26326.660156000002</v>
      </c>
      <c r="E448" s="14">
        <v>7.8</v>
      </c>
      <c r="F448" s="18">
        <f t="shared" si="18"/>
        <v>3375.212840512821</v>
      </c>
      <c r="G448">
        <v>13180.230469</v>
      </c>
      <c r="H448">
        <v>1.1011</v>
      </c>
      <c r="I448" s="18">
        <f t="shared" si="19"/>
        <v>14512.7517694159</v>
      </c>
      <c r="J448">
        <v>23148.570313</v>
      </c>
      <c r="K448" s="15">
        <v>106.68</v>
      </c>
      <c r="L448">
        <f t="shared" si="20"/>
        <v>216.99072284401947</v>
      </c>
    </row>
    <row r="449" spans="1:12" x14ac:dyDescent="0.3">
      <c r="A449" s="20">
        <v>447</v>
      </c>
      <c r="B449" s="4">
        <v>43784</v>
      </c>
      <c r="C449">
        <v>3120.459961</v>
      </c>
      <c r="D449">
        <v>26681.089843999998</v>
      </c>
      <c r="E449" s="14">
        <v>7.8</v>
      </c>
      <c r="F449" s="18">
        <f t="shared" si="18"/>
        <v>3420.6525441025638</v>
      </c>
      <c r="G449">
        <v>13241.75</v>
      </c>
      <c r="H449">
        <v>1.1001000000000001</v>
      </c>
      <c r="I449" s="18">
        <f t="shared" si="19"/>
        <v>14567.249175000001</v>
      </c>
      <c r="J449">
        <v>23038.580077999999</v>
      </c>
      <c r="K449" s="15">
        <v>107.52</v>
      </c>
      <c r="L449">
        <f t="shared" si="20"/>
        <v>214.27250816592263</v>
      </c>
    </row>
    <row r="450" spans="1:12" x14ac:dyDescent="0.3">
      <c r="A450" s="20">
        <v>448</v>
      </c>
      <c r="B450" s="4">
        <v>43787</v>
      </c>
      <c r="C450">
        <v>3122.030029</v>
      </c>
      <c r="D450">
        <v>27093.800781000002</v>
      </c>
      <c r="E450" s="14">
        <v>7.79</v>
      </c>
      <c r="F450" s="18">
        <f t="shared" si="18"/>
        <v>3478.0232068035943</v>
      </c>
      <c r="G450">
        <v>13207.009765999999</v>
      </c>
      <c r="H450">
        <v>1.1023000000000001</v>
      </c>
      <c r="I450" s="18">
        <f t="shared" si="19"/>
        <v>14558.086865061799</v>
      </c>
      <c r="J450">
        <v>23112.880859000001</v>
      </c>
      <c r="K450" s="15">
        <v>107.21</v>
      </c>
      <c r="L450">
        <f t="shared" si="20"/>
        <v>215.58512134129282</v>
      </c>
    </row>
    <row r="451" spans="1:12" x14ac:dyDescent="0.3">
      <c r="A451" s="20">
        <v>449</v>
      </c>
      <c r="B451" s="4">
        <v>43788</v>
      </c>
      <c r="C451">
        <v>3120.179932</v>
      </c>
      <c r="D451">
        <v>26889.609375</v>
      </c>
      <c r="E451" s="14">
        <v>7.79</v>
      </c>
      <c r="F451" s="18">
        <f t="shared" ref="F451:F502" si="21">D451/E451</f>
        <v>3451.8112163029523</v>
      </c>
      <c r="G451">
        <v>13221.120117</v>
      </c>
      <c r="H451">
        <v>1.1052</v>
      </c>
      <c r="I451" s="18">
        <f t="shared" ref="I451:I502" si="22">G451*H451</f>
        <v>14611.981953308399</v>
      </c>
      <c r="J451">
        <v>23148.570313</v>
      </c>
      <c r="K451" s="15">
        <v>107.12</v>
      </c>
      <c r="L451">
        <f t="shared" ref="L451:L502" si="23">J451/K451</f>
        <v>216.09942413181477</v>
      </c>
    </row>
    <row r="452" spans="1:12" x14ac:dyDescent="0.3">
      <c r="A452" s="20">
        <v>450</v>
      </c>
      <c r="B452" s="4">
        <v>43789</v>
      </c>
      <c r="C452">
        <v>3108.459961</v>
      </c>
      <c r="D452">
        <v>26466.880859000001</v>
      </c>
      <c r="E452" s="14">
        <v>7.79</v>
      </c>
      <c r="F452" s="18">
        <f t="shared" si="21"/>
        <v>3397.5456815147627</v>
      </c>
      <c r="G452">
        <v>13158.139648</v>
      </c>
      <c r="H452">
        <v>1.1075999999999999</v>
      </c>
      <c r="I452" s="18">
        <f t="shared" si="22"/>
        <v>14573.955474124799</v>
      </c>
      <c r="J452">
        <v>23038.580077999999</v>
      </c>
      <c r="K452" s="15">
        <v>106.89</v>
      </c>
      <c r="L452">
        <f t="shared" si="23"/>
        <v>215.53541096454299</v>
      </c>
    </row>
    <row r="453" spans="1:12" x14ac:dyDescent="0.3">
      <c r="A453" s="20">
        <v>451</v>
      </c>
      <c r="B453" s="4">
        <v>43790</v>
      </c>
      <c r="C453">
        <v>3103.540039</v>
      </c>
      <c r="D453">
        <v>26595.080077999999</v>
      </c>
      <c r="E453" s="14">
        <v>7.79</v>
      </c>
      <c r="F453" s="18">
        <f t="shared" si="21"/>
        <v>3414.0025774069318</v>
      </c>
      <c r="G453">
        <v>13137.700194999999</v>
      </c>
      <c r="H453">
        <v>1.1077999999999999</v>
      </c>
      <c r="I453" s="18">
        <f t="shared" si="22"/>
        <v>14553.944276020999</v>
      </c>
      <c r="J453">
        <v>23112.880859000001</v>
      </c>
      <c r="K453" s="15">
        <v>106.04</v>
      </c>
      <c r="L453">
        <f t="shared" si="23"/>
        <v>217.96379535081101</v>
      </c>
    </row>
    <row r="454" spans="1:12" x14ac:dyDescent="0.3">
      <c r="A454" s="20">
        <v>452</v>
      </c>
      <c r="B454" s="4">
        <v>43791</v>
      </c>
      <c r="C454">
        <v>3110.290039</v>
      </c>
      <c r="D454">
        <v>26993.039063</v>
      </c>
      <c r="E454" s="14">
        <v>7.79</v>
      </c>
      <c r="F454" s="18">
        <f t="shared" si="21"/>
        <v>3465.0884548138638</v>
      </c>
      <c r="G454">
        <v>13163.879883</v>
      </c>
      <c r="H454">
        <v>1.107</v>
      </c>
      <c r="I454" s="18">
        <f t="shared" si="22"/>
        <v>14572.415030480999</v>
      </c>
      <c r="J454">
        <v>23292.810547000001</v>
      </c>
      <c r="K454" s="15">
        <v>106.45</v>
      </c>
      <c r="L454">
        <f t="shared" si="23"/>
        <v>218.81456596524191</v>
      </c>
    </row>
    <row r="455" spans="1:12" x14ac:dyDescent="0.3">
      <c r="A455" s="20">
        <v>453</v>
      </c>
      <c r="B455" s="4">
        <v>43794</v>
      </c>
      <c r="C455">
        <v>3133.639893</v>
      </c>
      <c r="D455">
        <v>26913.919922000001</v>
      </c>
      <c r="E455" s="14">
        <v>7.79</v>
      </c>
      <c r="F455" s="18">
        <f t="shared" si="21"/>
        <v>3454.9319540436459</v>
      </c>
      <c r="G455">
        <v>13246.450194999999</v>
      </c>
      <c r="H455">
        <v>1.1060000000000001</v>
      </c>
      <c r="I455" s="18">
        <f t="shared" si="22"/>
        <v>14650.57391567</v>
      </c>
      <c r="J455">
        <v>23373.320313</v>
      </c>
      <c r="K455" s="15">
        <v>104.37</v>
      </c>
      <c r="L455">
        <f t="shared" si="23"/>
        <v>223.94673098591548</v>
      </c>
    </row>
    <row r="456" spans="1:12" x14ac:dyDescent="0.3">
      <c r="A456" s="20">
        <v>454</v>
      </c>
      <c r="B456" s="4">
        <v>43795</v>
      </c>
      <c r="C456">
        <v>3140.5200199999999</v>
      </c>
      <c r="D456">
        <v>26954</v>
      </c>
      <c r="E456" s="14">
        <v>7.79</v>
      </c>
      <c r="F456" s="18">
        <f t="shared" si="21"/>
        <v>3460.0770218228499</v>
      </c>
      <c r="G456">
        <v>13236.419921999999</v>
      </c>
      <c r="H456">
        <v>1.1017999999999999</v>
      </c>
      <c r="I456" s="18">
        <f t="shared" si="22"/>
        <v>14583.887470059597</v>
      </c>
      <c r="J456">
        <v>23437.769531000002</v>
      </c>
      <c r="K456" s="15">
        <v>104.81</v>
      </c>
      <c r="L456">
        <f t="shared" si="23"/>
        <v>223.62150110676464</v>
      </c>
    </row>
    <row r="457" spans="1:12" x14ac:dyDescent="0.3">
      <c r="A457" s="20">
        <v>455</v>
      </c>
      <c r="B457" s="4">
        <v>43796</v>
      </c>
      <c r="C457">
        <v>3153.6298830000001</v>
      </c>
      <c r="D457">
        <v>26893.730468999998</v>
      </c>
      <c r="E457" s="14">
        <v>7.79</v>
      </c>
      <c r="F457" s="18">
        <f t="shared" si="21"/>
        <v>3452.3402399229781</v>
      </c>
      <c r="G457">
        <v>13287.070313</v>
      </c>
      <c r="H457">
        <v>1.1008</v>
      </c>
      <c r="I457" s="18">
        <f t="shared" si="22"/>
        <v>14626.4070005504</v>
      </c>
      <c r="J457">
        <v>23409.140625</v>
      </c>
      <c r="K457" s="15">
        <v>105.61</v>
      </c>
      <c r="L457">
        <f t="shared" si="23"/>
        <v>221.65647784300728</v>
      </c>
    </row>
    <row r="458" spans="1:12" x14ac:dyDescent="0.3">
      <c r="A458" s="20">
        <v>456</v>
      </c>
      <c r="B458" s="4">
        <v>43798</v>
      </c>
      <c r="C458">
        <v>3140.9799800000001</v>
      </c>
      <c r="D458">
        <v>26346.490234000001</v>
      </c>
      <c r="E458" s="14">
        <v>7.79</v>
      </c>
      <c r="F458" s="18">
        <f t="shared" si="21"/>
        <v>3382.0911725288834</v>
      </c>
      <c r="G458">
        <v>13245.580078000001</v>
      </c>
      <c r="H458">
        <v>1.1022000000000001</v>
      </c>
      <c r="I458" s="18">
        <f t="shared" si="22"/>
        <v>14599.278361971601</v>
      </c>
      <c r="J458">
        <v>23293.910156000002</v>
      </c>
      <c r="K458" s="15">
        <v>106.73</v>
      </c>
      <c r="L458">
        <f t="shared" si="23"/>
        <v>218.25082128736065</v>
      </c>
    </row>
    <row r="459" spans="1:12" x14ac:dyDescent="0.3">
      <c r="A459" s="20">
        <v>457</v>
      </c>
      <c r="B459" s="4">
        <v>43801</v>
      </c>
      <c r="C459">
        <v>3113.8701169999999</v>
      </c>
      <c r="D459">
        <v>26444.720702999999</v>
      </c>
      <c r="E459" s="14">
        <v>7.79</v>
      </c>
      <c r="F459" s="18">
        <f t="shared" si="21"/>
        <v>3394.7009888318357</v>
      </c>
      <c r="G459">
        <v>13236.379883</v>
      </c>
      <c r="H459">
        <v>1.1003000000000001</v>
      </c>
      <c r="I459" s="18">
        <f t="shared" si="22"/>
        <v>14563.988785264901</v>
      </c>
      <c r="J459">
        <v>23529.5</v>
      </c>
      <c r="K459" s="15">
        <v>106.89</v>
      </c>
      <c r="L459">
        <f t="shared" si="23"/>
        <v>220.12816914585088</v>
      </c>
    </row>
    <row r="460" spans="1:12" x14ac:dyDescent="0.3">
      <c r="A460" s="20">
        <v>458</v>
      </c>
      <c r="B460" s="4">
        <v>43802</v>
      </c>
      <c r="C460">
        <v>3093.1999510000001</v>
      </c>
      <c r="D460">
        <v>26391.300781000002</v>
      </c>
      <c r="E460" s="14">
        <v>7.79</v>
      </c>
      <c r="F460" s="18">
        <f t="shared" si="21"/>
        <v>3387.8434892169448</v>
      </c>
      <c r="G460">
        <v>12964.679688</v>
      </c>
      <c r="H460">
        <v>1.1055999999999999</v>
      </c>
      <c r="I460" s="18">
        <f t="shared" si="22"/>
        <v>14333.749863052799</v>
      </c>
      <c r="J460">
        <v>23379.810547000001</v>
      </c>
      <c r="K460" s="15">
        <v>107.83</v>
      </c>
      <c r="L460">
        <f t="shared" si="23"/>
        <v>216.82101963275528</v>
      </c>
    </row>
    <row r="461" spans="1:12" x14ac:dyDescent="0.3">
      <c r="A461" s="20">
        <v>459</v>
      </c>
      <c r="B461" s="4">
        <v>43803</v>
      </c>
      <c r="C461">
        <v>3112.76001</v>
      </c>
      <c r="D461">
        <v>26062.560547000001</v>
      </c>
      <c r="E461" s="14">
        <v>7.79</v>
      </c>
      <c r="F461" s="18">
        <f t="shared" si="21"/>
        <v>3345.6432024390247</v>
      </c>
      <c r="G461">
        <v>12989.290039</v>
      </c>
      <c r="H461">
        <v>1.1061000000000001</v>
      </c>
      <c r="I461" s="18">
        <f t="shared" si="22"/>
        <v>14367.4537121379</v>
      </c>
      <c r="J461">
        <v>23135.230468999998</v>
      </c>
      <c r="K461" s="15">
        <v>107.63</v>
      </c>
      <c r="L461">
        <f t="shared" si="23"/>
        <v>214.95150486853106</v>
      </c>
    </row>
    <row r="462" spans="1:12" x14ac:dyDescent="0.3">
      <c r="A462" s="20">
        <v>460</v>
      </c>
      <c r="B462" s="4">
        <v>43804</v>
      </c>
      <c r="C462">
        <v>3117.429932</v>
      </c>
      <c r="D462">
        <v>26217.039063</v>
      </c>
      <c r="E462" s="14">
        <v>7.79</v>
      </c>
      <c r="F462" s="18">
        <f t="shared" si="21"/>
        <v>3365.473563928113</v>
      </c>
      <c r="G462">
        <v>13140.570313</v>
      </c>
      <c r="H462">
        <v>1.1093999999999999</v>
      </c>
      <c r="I462" s="18">
        <f t="shared" si="22"/>
        <v>14578.1487052422</v>
      </c>
      <c r="J462">
        <v>23300.089843999998</v>
      </c>
      <c r="K462" s="15">
        <v>107.9</v>
      </c>
      <c r="L462">
        <f t="shared" si="23"/>
        <v>215.94151848007411</v>
      </c>
    </row>
    <row r="463" spans="1:12" x14ac:dyDescent="0.3">
      <c r="A463" s="20">
        <v>461</v>
      </c>
      <c r="B463" s="4">
        <v>43805</v>
      </c>
      <c r="C463">
        <v>3145.9099120000001</v>
      </c>
      <c r="D463">
        <v>26498.369140999999</v>
      </c>
      <c r="E463" s="14">
        <v>7.79</v>
      </c>
      <c r="F463" s="18">
        <f t="shared" si="21"/>
        <v>3401.587822978177</v>
      </c>
      <c r="G463">
        <v>13054.799805000001</v>
      </c>
      <c r="H463">
        <v>1.1132</v>
      </c>
      <c r="I463" s="18">
        <f t="shared" si="22"/>
        <v>14532.603142926</v>
      </c>
      <c r="J463">
        <v>23354.400390999999</v>
      </c>
      <c r="K463" s="15">
        <v>107.62</v>
      </c>
      <c r="L463">
        <f t="shared" si="23"/>
        <v>217.00799471287863</v>
      </c>
    </row>
    <row r="464" spans="1:12" x14ac:dyDescent="0.3">
      <c r="A464" s="20">
        <v>462</v>
      </c>
      <c r="B464" s="4">
        <v>43808</v>
      </c>
      <c r="C464">
        <v>3135.959961</v>
      </c>
      <c r="D464">
        <v>26494.730468999998</v>
      </c>
      <c r="E464" s="14">
        <v>7.78</v>
      </c>
      <c r="F464" s="18">
        <f t="shared" si="21"/>
        <v>3405.4923482005138</v>
      </c>
      <c r="G464">
        <v>13166.580078000001</v>
      </c>
      <c r="H464">
        <v>1.1124000000000001</v>
      </c>
      <c r="I464" s="18">
        <f t="shared" si="22"/>
        <v>14646.503678767202</v>
      </c>
      <c r="J464">
        <v>23430.699218999998</v>
      </c>
      <c r="K464" s="15">
        <v>108.19</v>
      </c>
      <c r="L464">
        <f t="shared" si="23"/>
        <v>216.56991606433127</v>
      </c>
    </row>
    <row r="465" spans="1:12" x14ac:dyDescent="0.3">
      <c r="A465" s="20">
        <v>463</v>
      </c>
      <c r="B465" s="4">
        <v>43809</v>
      </c>
      <c r="C465">
        <v>3132.5200199999999</v>
      </c>
      <c r="D465">
        <v>26436.619140999999</v>
      </c>
      <c r="E465" s="14">
        <v>7.78</v>
      </c>
      <c r="F465" s="18">
        <f t="shared" si="21"/>
        <v>3398.0230258354754</v>
      </c>
      <c r="G465">
        <v>13105.610352</v>
      </c>
      <c r="H465">
        <v>1.1120000000000001</v>
      </c>
      <c r="I465" s="18">
        <f t="shared" si="22"/>
        <v>14573.438711424002</v>
      </c>
      <c r="J465">
        <v>23410.189452999999</v>
      </c>
      <c r="K465" s="15">
        <v>108.2</v>
      </c>
      <c r="L465">
        <f t="shared" si="23"/>
        <v>216.36034614602588</v>
      </c>
    </row>
    <row r="466" spans="1:12" x14ac:dyDescent="0.3">
      <c r="A466" s="20">
        <v>464</v>
      </c>
      <c r="B466" s="4">
        <v>43810</v>
      </c>
      <c r="C466">
        <v>3141.6298830000001</v>
      </c>
      <c r="D466">
        <v>26645.429688</v>
      </c>
      <c r="E466" s="14">
        <v>7.78</v>
      </c>
      <c r="F466" s="18">
        <f t="shared" si="21"/>
        <v>3424.8624277634963</v>
      </c>
      <c r="G466">
        <v>13070.719727</v>
      </c>
      <c r="H466">
        <v>1.1143000000000001</v>
      </c>
      <c r="I466" s="18">
        <f t="shared" si="22"/>
        <v>14564.702991796101</v>
      </c>
      <c r="J466">
        <v>23391.859375</v>
      </c>
      <c r="K466" s="15">
        <v>108.07</v>
      </c>
      <c r="L466">
        <f t="shared" si="23"/>
        <v>216.45099819561398</v>
      </c>
    </row>
    <row r="467" spans="1:12" x14ac:dyDescent="0.3">
      <c r="A467" s="20">
        <v>465</v>
      </c>
      <c r="B467" s="4">
        <v>43811</v>
      </c>
      <c r="C467">
        <v>3168.570068</v>
      </c>
      <c r="D467">
        <v>26994.140625</v>
      </c>
      <c r="E467" s="14">
        <v>7.78</v>
      </c>
      <c r="F467" s="18">
        <f t="shared" si="21"/>
        <v>3469.6838849614396</v>
      </c>
      <c r="G467">
        <v>13146.740234000001</v>
      </c>
      <c r="H467">
        <v>1.1148</v>
      </c>
      <c r="I467" s="18">
        <f t="shared" si="22"/>
        <v>14655.986012863201</v>
      </c>
      <c r="J467">
        <v>23424.810547000001</v>
      </c>
      <c r="K467" s="15">
        <v>107.53</v>
      </c>
      <c r="L467">
        <f t="shared" si="23"/>
        <v>217.84442059890264</v>
      </c>
    </row>
    <row r="468" spans="1:12" x14ac:dyDescent="0.3">
      <c r="A468" s="20">
        <v>466</v>
      </c>
      <c r="B468" s="4">
        <v>43812</v>
      </c>
      <c r="C468">
        <v>3168.8000489999999</v>
      </c>
      <c r="D468">
        <v>27687.759765999999</v>
      </c>
      <c r="E468" s="14">
        <v>7.78</v>
      </c>
      <c r="F468" s="18">
        <f t="shared" si="21"/>
        <v>3558.8380161953723</v>
      </c>
      <c r="G468">
        <v>13221.639648</v>
      </c>
      <c r="H468">
        <v>1.1119000000000001</v>
      </c>
      <c r="I468" s="18">
        <f t="shared" si="22"/>
        <v>14701.141124611202</v>
      </c>
      <c r="J468">
        <v>24023.099609000001</v>
      </c>
      <c r="K468" s="15">
        <v>107.98</v>
      </c>
      <c r="L468">
        <f t="shared" si="23"/>
        <v>222.47730699203555</v>
      </c>
    </row>
    <row r="469" spans="1:12" x14ac:dyDescent="0.3">
      <c r="A469" s="20">
        <v>467</v>
      </c>
      <c r="B469" s="4">
        <v>43815</v>
      </c>
      <c r="C469">
        <v>3191.4499510000001</v>
      </c>
      <c r="D469">
        <v>27508.089843999998</v>
      </c>
      <c r="E469" s="14">
        <v>7.78</v>
      </c>
      <c r="F469" s="18">
        <f t="shared" si="21"/>
        <v>3535.744195886889</v>
      </c>
      <c r="G469">
        <v>13282.719727</v>
      </c>
      <c r="H469">
        <v>1.1124000000000001</v>
      </c>
      <c r="I469" s="18">
        <f t="shared" si="22"/>
        <v>14775.6974243148</v>
      </c>
      <c r="J469">
        <v>23952.349609000001</v>
      </c>
      <c r="K469" s="15">
        <v>108.05</v>
      </c>
      <c r="L469">
        <f t="shared" si="23"/>
        <v>221.67838601573348</v>
      </c>
    </row>
    <row r="470" spans="1:12" x14ac:dyDescent="0.3">
      <c r="A470" s="20">
        <v>468</v>
      </c>
      <c r="B470" s="4">
        <v>43816</v>
      </c>
      <c r="C470">
        <v>3192.5200199999999</v>
      </c>
      <c r="D470">
        <v>27843.710938</v>
      </c>
      <c r="E470" s="14">
        <v>7.78</v>
      </c>
      <c r="F470" s="18">
        <f t="shared" si="21"/>
        <v>3578.8831539845755</v>
      </c>
      <c r="G470">
        <v>13407.660156</v>
      </c>
      <c r="H470">
        <v>1.1074999999999999</v>
      </c>
      <c r="I470" s="18">
        <f t="shared" si="22"/>
        <v>14848.98362277</v>
      </c>
      <c r="J470">
        <v>24066.119140999999</v>
      </c>
      <c r="K470" s="15">
        <v>109.14</v>
      </c>
      <c r="L470">
        <f t="shared" si="23"/>
        <v>220.50686403701667</v>
      </c>
    </row>
    <row r="471" spans="1:12" x14ac:dyDescent="0.3">
      <c r="A471" s="20">
        <v>469</v>
      </c>
      <c r="B471" s="4">
        <v>43817</v>
      </c>
      <c r="C471">
        <v>3191.139893</v>
      </c>
      <c r="D471">
        <v>27884.210938</v>
      </c>
      <c r="E471" s="14">
        <v>7.78</v>
      </c>
      <c r="F471" s="18">
        <f t="shared" si="21"/>
        <v>3584.0888095115679</v>
      </c>
      <c r="G471">
        <v>13287.830078000001</v>
      </c>
      <c r="H471">
        <v>1.1092</v>
      </c>
      <c r="I471" s="18">
        <f t="shared" si="22"/>
        <v>14738.861122517601</v>
      </c>
      <c r="J471">
        <v>23934.429688</v>
      </c>
      <c r="K471" s="15">
        <v>109.59</v>
      </c>
      <c r="L471">
        <f t="shared" si="23"/>
        <v>218.39975990510084</v>
      </c>
    </row>
    <row r="472" spans="1:12" x14ac:dyDescent="0.3">
      <c r="A472" s="20">
        <v>470</v>
      </c>
      <c r="B472" s="4">
        <v>43818</v>
      </c>
      <c r="C472">
        <v>3205.3701169999999</v>
      </c>
      <c r="D472">
        <v>27800.490234000001</v>
      </c>
      <c r="E472" s="14">
        <v>7.78</v>
      </c>
      <c r="F472" s="18">
        <f t="shared" si="21"/>
        <v>3573.3277935732649</v>
      </c>
      <c r="G472">
        <v>13222.160156</v>
      </c>
      <c r="H472">
        <v>1.1082000000000001</v>
      </c>
      <c r="I472" s="18">
        <f t="shared" si="22"/>
        <v>14652.797884879201</v>
      </c>
      <c r="J472">
        <v>23864.849609000001</v>
      </c>
      <c r="K472" s="15">
        <v>110.18</v>
      </c>
      <c r="L472">
        <f t="shared" si="23"/>
        <v>216.59874395534578</v>
      </c>
    </row>
    <row r="473" spans="1:12" x14ac:dyDescent="0.3">
      <c r="A473" s="20">
        <v>471</v>
      </c>
      <c r="B473" s="4">
        <v>43819</v>
      </c>
      <c r="C473">
        <v>3221.219971</v>
      </c>
      <c r="D473">
        <v>27871.349609000001</v>
      </c>
      <c r="E473" s="14">
        <v>7.78</v>
      </c>
      <c r="F473" s="18">
        <f t="shared" si="21"/>
        <v>3582.4356823907456</v>
      </c>
      <c r="G473">
        <v>13211.959961</v>
      </c>
      <c r="H473">
        <v>1.1082000000000001</v>
      </c>
      <c r="I473" s="18">
        <f t="shared" si="22"/>
        <v>14641.494028780202</v>
      </c>
      <c r="J473">
        <v>23816.630859000001</v>
      </c>
      <c r="K473" s="15">
        <v>109.9</v>
      </c>
      <c r="L473">
        <f t="shared" si="23"/>
        <v>216.71183675159236</v>
      </c>
    </row>
    <row r="474" spans="1:12" x14ac:dyDescent="0.3">
      <c r="A474" s="20">
        <v>472</v>
      </c>
      <c r="B474" s="4">
        <v>43822</v>
      </c>
      <c r="C474">
        <v>3224.01001</v>
      </c>
      <c r="D474">
        <v>27906.410156000002</v>
      </c>
      <c r="E474" s="14">
        <v>7.78</v>
      </c>
      <c r="F474" s="18">
        <f t="shared" si="21"/>
        <v>3586.9421794344476</v>
      </c>
      <c r="G474">
        <v>13318.900390999999</v>
      </c>
      <c r="H474">
        <v>1.1102000000000001</v>
      </c>
      <c r="I474" s="18">
        <f t="shared" si="22"/>
        <v>14786.643214088201</v>
      </c>
      <c r="J474">
        <v>23821.109375</v>
      </c>
      <c r="K474" s="15">
        <v>109.73</v>
      </c>
      <c r="L474">
        <f t="shared" si="23"/>
        <v>217.0883931012485</v>
      </c>
    </row>
    <row r="475" spans="1:12" x14ac:dyDescent="0.3">
      <c r="A475" s="20">
        <v>473</v>
      </c>
      <c r="B475" s="4">
        <v>43823</v>
      </c>
      <c r="C475">
        <v>3223.3798830000001</v>
      </c>
      <c r="D475">
        <v>27864.210938</v>
      </c>
      <c r="E475" s="14">
        <v>7.78</v>
      </c>
      <c r="F475" s="18">
        <f t="shared" si="21"/>
        <v>3581.5181154241645</v>
      </c>
      <c r="G475">
        <v>13300.980469</v>
      </c>
      <c r="H475">
        <v>1.1183000000000001</v>
      </c>
      <c r="I475" s="18">
        <f t="shared" si="22"/>
        <v>14874.486458482701</v>
      </c>
      <c r="J475">
        <v>23830.580077999999</v>
      </c>
      <c r="K475" s="15">
        <v>108.64</v>
      </c>
      <c r="L475">
        <f t="shared" si="23"/>
        <v>219.35364578424154</v>
      </c>
    </row>
    <row r="476" spans="1:12" x14ac:dyDescent="0.3">
      <c r="A476" s="20">
        <v>474</v>
      </c>
      <c r="B476" s="4">
        <v>43825</v>
      </c>
      <c r="C476">
        <v>3239.9099120000001</v>
      </c>
      <c r="D476">
        <v>28225.419922000001</v>
      </c>
      <c r="E476" s="14">
        <v>7.78</v>
      </c>
      <c r="F476" s="18">
        <f t="shared" si="21"/>
        <v>3627.9460053984576</v>
      </c>
      <c r="G476">
        <v>13337.110352</v>
      </c>
      <c r="H476">
        <v>1.1197999999999999</v>
      </c>
      <c r="I476" s="18">
        <f t="shared" si="22"/>
        <v>14934.896172169598</v>
      </c>
      <c r="J476">
        <v>23782.869140999999</v>
      </c>
      <c r="K476" s="15">
        <v>109.58</v>
      </c>
      <c r="L476">
        <f t="shared" si="23"/>
        <v>217.03658643000549</v>
      </c>
    </row>
    <row r="477" spans="1:12" x14ac:dyDescent="0.3">
      <c r="A477" s="20">
        <v>475</v>
      </c>
      <c r="B477" s="4">
        <v>43826</v>
      </c>
      <c r="C477">
        <v>3240.0200199999999</v>
      </c>
      <c r="D477">
        <v>28319.390625</v>
      </c>
      <c r="E477" s="14">
        <v>7.78</v>
      </c>
      <c r="F477" s="18">
        <f t="shared" si="21"/>
        <v>3640.0245019280205</v>
      </c>
      <c r="G477">
        <v>13249.009765999999</v>
      </c>
      <c r="H477">
        <v>1.1223000000000001</v>
      </c>
      <c r="I477" s="18">
        <f t="shared" si="22"/>
        <v>14869.363660381799</v>
      </c>
      <c r="J477">
        <v>23924.919922000001</v>
      </c>
      <c r="K477" s="15">
        <v>110.45</v>
      </c>
      <c r="L477">
        <f t="shared" si="23"/>
        <v>216.6131274060661</v>
      </c>
    </row>
    <row r="478" spans="1:12" x14ac:dyDescent="0.3">
      <c r="A478" s="20">
        <v>476</v>
      </c>
      <c r="B478" s="4">
        <v>43829</v>
      </c>
      <c r="C478">
        <v>3221.290039</v>
      </c>
      <c r="D478">
        <v>28189.75</v>
      </c>
      <c r="E478" s="14">
        <v>7.78</v>
      </c>
      <c r="F478" s="18">
        <f t="shared" si="21"/>
        <v>3623.3611825192802</v>
      </c>
      <c r="G478">
        <v>13385.929688</v>
      </c>
      <c r="H478">
        <v>1.1165</v>
      </c>
      <c r="I478" s="18">
        <f t="shared" si="22"/>
        <v>14945.390496652</v>
      </c>
      <c r="J478">
        <v>23837.720702999999</v>
      </c>
      <c r="K478" s="15">
        <v>110.27</v>
      </c>
      <c r="L478">
        <f t="shared" si="23"/>
        <v>216.17593817901513</v>
      </c>
    </row>
    <row r="479" spans="1:12" x14ac:dyDescent="0.3">
      <c r="A479" s="20">
        <v>477</v>
      </c>
      <c r="B479" s="4">
        <v>43830</v>
      </c>
      <c r="C479">
        <v>3230.780029</v>
      </c>
      <c r="D479">
        <v>28366.634765499999</v>
      </c>
      <c r="E479" s="14">
        <v>7.78</v>
      </c>
      <c r="F479" s="18">
        <f t="shared" si="21"/>
        <v>3646.0970135604111</v>
      </c>
      <c r="G479">
        <v>13219.139648</v>
      </c>
      <c r="H479">
        <v>1.1165</v>
      </c>
      <c r="I479" s="18">
        <f t="shared" si="22"/>
        <v>14759.169416992001</v>
      </c>
      <c r="J479">
        <v>23656.619140999999</v>
      </c>
      <c r="K479" s="15">
        <v>109.74</v>
      </c>
      <c r="L479">
        <f t="shared" si="23"/>
        <v>215.56970239657372</v>
      </c>
    </row>
    <row r="480" spans="1:12" x14ac:dyDescent="0.3">
      <c r="A480" s="20">
        <v>478</v>
      </c>
      <c r="B480" s="4">
        <v>43832</v>
      </c>
      <c r="C480">
        <v>3257.8500979999999</v>
      </c>
      <c r="D480">
        <v>28543.519531000002</v>
      </c>
      <c r="E480" s="14">
        <v>7.78</v>
      </c>
      <c r="F480" s="18">
        <f t="shared" si="21"/>
        <v>3668.8328446015425</v>
      </c>
      <c r="G480">
        <v>13126.990234000001</v>
      </c>
      <c r="H480">
        <v>1.119</v>
      </c>
      <c r="I480" s="18">
        <f t="shared" si="22"/>
        <v>14689.102071846</v>
      </c>
      <c r="J480">
        <v>23204.859375</v>
      </c>
      <c r="K480" s="15">
        <v>109.9</v>
      </c>
      <c r="L480">
        <f t="shared" si="23"/>
        <v>211.14521724294812</v>
      </c>
    </row>
    <row r="481" spans="1:12" x14ac:dyDescent="0.3">
      <c r="A481" s="20">
        <v>479</v>
      </c>
      <c r="B481" s="4">
        <v>43833</v>
      </c>
      <c r="C481">
        <v>3234.8500979999999</v>
      </c>
      <c r="D481">
        <v>28451.5</v>
      </c>
      <c r="E481" s="14">
        <v>7.78</v>
      </c>
      <c r="F481" s="18">
        <f t="shared" si="21"/>
        <v>3657.0051413881747</v>
      </c>
      <c r="G481">
        <v>13226.830078000001</v>
      </c>
      <c r="H481">
        <v>1.1141000000000001</v>
      </c>
      <c r="I481" s="18">
        <f t="shared" si="22"/>
        <v>14736.011389899802</v>
      </c>
      <c r="J481">
        <v>23575.720702999999</v>
      </c>
      <c r="K481" s="15">
        <v>108.26</v>
      </c>
      <c r="L481">
        <f t="shared" si="23"/>
        <v>217.769450424903</v>
      </c>
    </row>
    <row r="482" spans="1:12" x14ac:dyDescent="0.3">
      <c r="A482" s="20">
        <v>480</v>
      </c>
      <c r="B482" s="4">
        <v>43836</v>
      </c>
      <c r="C482">
        <v>3246.280029</v>
      </c>
      <c r="D482">
        <v>28226.189452999999</v>
      </c>
      <c r="E482" s="14">
        <v>7.78</v>
      </c>
      <c r="F482" s="18">
        <f t="shared" si="21"/>
        <v>3628.044916838046</v>
      </c>
      <c r="G482">
        <v>13320.179688</v>
      </c>
      <c r="H482">
        <v>1.111</v>
      </c>
      <c r="I482" s="18">
        <f t="shared" si="22"/>
        <v>14798.719633368</v>
      </c>
      <c r="J482">
        <v>23204.759765999999</v>
      </c>
      <c r="K482" s="15">
        <v>109.93</v>
      </c>
      <c r="L482">
        <f t="shared" si="23"/>
        <v>211.08668940234693</v>
      </c>
    </row>
    <row r="483" spans="1:12" x14ac:dyDescent="0.3">
      <c r="A483" s="20">
        <v>481</v>
      </c>
      <c r="B483" s="4">
        <v>43837</v>
      </c>
      <c r="C483">
        <v>3237.179932</v>
      </c>
      <c r="D483">
        <v>28322.060547000001</v>
      </c>
      <c r="E483" s="14">
        <v>7.78</v>
      </c>
      <c r="F483" s="18">
        <f t="shared" si="21"/>
        <v>3640.3676795629822</v>
      </c>
      <c r="G483">
        <v>13495.059569999999</v>
      </c>
      <c r="H483">
        <v>1.1106</v>
      </c>
      <c r="I483" s="18">
        <f t="shared" si="22"/>
        <v>14987.613158442</v>
      </c>
      <c r="J483">
        <v>23472.314453499999</v>
      </c>
      <c r="K483" s="15">
        <v>109.84</v>
      </c>
      <c r="L483">
        <f t="shared" si="23"/>
        <v>213.69550667789511</v>
      </c>
    </row>
    <row r="484" spans="1:12" x14ac:dyDescent="0.3">
      <c r="A484" s="20">
        <v>482</v>
      </c>
      <c r="B484" s="4">
        <v>43838</v>
      </c>
      <c r="C484">
        <v>3253.0500489999999</v>
      </c>
      <c r="D484">
        <v>28087.919922000001</v>
      </c>
      <c r="E484" s="14">
        <v>7.78</v>
      </c>
      <c r="F484" s="18">
        <f t="shared" si="21"/>
        <v>3610.2724835475578</v>
      </c>
      <c r="G484">
        <v>13483.309569999999</v>
      </c>
      <c r="H484">
        <v>1.1120000000000001</v>
      </c>
      <c r="I484" s="18">
        <f t="shared" si="22"/>
        <v>14993.44024184</v>
      </c>
      <c r="J484">
        <v>23739.869140999999</v>
      </c>
      <c r="K484" s="15">
        <v>109.73</v>
      </c>
      <c r="L484">
        <f t="shared" si="23"/>
        <v>216.34802826027521</v>
      </c>
    </row>
    <row r="485" spans="1:12" x14ac:dyDescent="0.3">
      <c r="A485" s="20">
        <v>483</v>
      </c>
      <c r="B485" s="4">
        <v>43839</v>
      </c>
      <c r="C485">
        <v>3274.6999510000001</v>
      </c>
      <c r="D485">
        <v>28561</v>
      </c>
      <c r="E485" s="14">
        <v>7.77</v>
      </c>
      <c r="F485" s="18">
        <f t="shared" si="21"/>
        <v>3675.8043758043759</v>
      </c>
      <c r="G485">
        <v>13451.519531</v>
      </c>
      <c r="H485">
        <v>1.1137999999999999</v>
      </c>
      <c r="I485" s="18">
        <f t="shared" si="22"/>
        <v>14982.302453627799</v>
      </c>
      <c r="J485">
        <v>23850.570313</v>
      </c>
      <c r="K485" s="15">
        <v>109.41</v>
      </c>
      <c r="L485">
        <f t="shared" si="23"/>
        <v>217.99259951558361</v>
      </c>
    </row>
    <row r="486" spans="1:12" x14ac:dyDescent="0.3">
      <c r="A486" s="20">
        <v>484</v>
      </c>
      <c r="B486" s="4">
        <v>43840</v>
      </c>
      <c r="C486">
        <v>3265.3500979999999</v>
      </c>
      <c r="D486">
        <v>28638.199218999998</v>
      </c>
      <c r="E486" s="14">
        <v>7.77</v>
      </c>
      <c r="F486" s="18">
        <f t="shared" si="21"/>
        <v>3685.7399252252253</v>
      </c>
      <c r="G486">
        <v>13456.490234000001</v>
      </c>
      <c r="H486">
        <v>1.1129</v>
      </c>
      <c r="I486" s="18">
        <f t="shared" si="22"/>
        <v>14975.7279814186</v>
      </c>
      <c r="J486">
        <v>24025.169922000001</v>
      </c>
      <c r="K486" s="15">
        <v>108.52</v>
      </c>
      <c r="L486">
        <f t="shared" si="23"/>
        <v>221.38932843715446</v>
      </c>
    </row>
    <row r="487" spans="1:12" x14ac:dyDescent="0.3">
      <c r="A487" s="20">
        <v>485</v>
      </c>
      <c r="B487" s="4">
        <v>43843</v>
      </c>
      <c r="C487">
        <v>3288.1298830000001</v>
      </c>
      <c r="D487">
        <v>28954.939452999999</v>
      </c>
      <c r="E487" s="14">
        <v>7.77</v>
      </c>
      <c r="F487" s="18">
        <f t="shared" si="21"/>
        <v>3726.5044341055341</v>
      </c>
      <c r="G487">
        <v>13432.299805000001</v>
      </c>
      <c r="H487">
        <v>1.1149</v>
      </c>
      <c r="I487" s="18">
        <f t="shared" si="22"/>
        <v>14975.6710525945</v>
      </c>
      <c r="J487">
        <v>23916.580077999999</v>
      </c>
      <c r="K487" s="15">
        <v>108.84</v>
      </c>
      <c r="L487">
        <f t="shared" si="23"/>
        <v>219.74072104005879</v>
      </c>
    </row>
    <row r="488" spans="1:12" x14ac:dyDescent="0.3">
      <c r="A488" s="20">
        <v>486</v>
      </c>
      <c r="B488" s="4">
        <v>43844</v>
      </c>
      <c r="C488">
        <v>3283.1499020000001</v>
      </c>
      <c r="D488">
        <v>28885.140625</v>
      </c>
      <c r="E488" s="14">
        <v>7.77</v>
      </c>
      <c r="F488" s="18">
        <f t="shared" si="21"/>
        <v>3717.5213159588161</v>
      </c>
      <c r="G488">
        <v>13429.429688</v>
      </c>
      <c r="H488">
        <v>1.1133999999999999</v>
      </c>
      <c r="I488" s="18">
        <f t="shared" si="22"/>
        <v>14952.327014619199</v>
      </c>
      <c r="J488">
        <v>23933.130859000001</v>
      </c>
      <c r="K488" s="15">
        <v>108.43</v>
      </c>
      <c r="L488">
        <f t="shared" si="23"/>
        <v>220.72425397952597</v>
      </c>
    </row>
    <row r="489" spans="1:12" x14ac:dyDescent="0.3">
      <c r="A489" s="20">
        <v>487</v>
      </c>
      <c r="B489" s="4">
        <v>43845</v>
      </c>
      <c r="C489">
        <v>3289.290039</v>
      </c>
      <c r="D489">
        <v>28773.589843999998</v>
      </c>
      <c r="E489" s="14">
        <v>7.77</v>
      </c>
      <c r="F489" s="18">
        <f t="shared" si="21"/>
        <v>3703.1647160875159</v>
      </c>
      <c r="G489">
        <v>13526.129883</v>
      </c>
      <c r="H489">
        <v>1.1089</v>
      </c>
      <c r="I489" s="18">
        <f t="shared" si="22"/>
        <v>14999.125427258699</v>
      </c>
      <c r="J489">
        <v>24041.259765999999</v>
      </c>
      <c r="K489" s="15">
        <v>108.09</v>
      </c>
      <c r="L489">
        <f t="shared" si="23"/>
        <v>222.41890800259043</v>
      </c>
    </row>
    <row r="490" spans="1:12" x14ac:dyDescent="0.3">
      <c r="A490" s="20">
        <v>488</v>
      </c>
      <c r="B490" s="4">
        <v>43846</v>
      </c>
      <c r="C490">
        <v>3316.8100589999999</v>
      </c>
      <c r="D490">
        <v>28883.039063</v>
      </c>
      <c r="E490" s="14">
        <v>7.77</v>
      </c>
      <c r="F490" s="18">
        <f t="shared" si="21"/>
        <v>3717.250844658945</v>
      </c>
      <c r="G490">
        <v>13548.940430000001</v>
      </c>
      <c r="H490">
        <v>1.1082000000000001</v>
      </c>
      <c r="I490" s="18">
        <f t="shared" si="22"/>
        <v>15014.935784526002</v>
      </c>
      <c r="J490">
        <v>24083.509765999999</v>
      </c>
      <c r="K490" s="15">
        <v>106.45</v>
      </c>
      <c r="L490">
        <f t="shared" si="23"/>
        <v>226.24245905119773</v>
      </c>
    </row>
    <row r="491" spans="1:12" x14ac:dyDescent="0.3">
      <c r="A491" s="20">
        <v>489</v>
      </c>
      <c r="B491" s="4">
        <v>43847</v>
      </c>
      <c r="C491">
        <v>3329.6201169999999</v>
      </c>
      <c r="D491">
        <v>29056.419922000001</v>
      </c>
      <c r="E491" s="14">
        <v>7.77</v>
      </c>
      <c r="F491" s="18">
        <f t="shared" si="21"/>
        <v>3739.5649835263839</v>
      </c>
      <c r="G491">
        <v>13555.870117</v>
      </c>
      <c r="H491">
        <v>1.1092</v>
      </c>
      <c r="I491" s="18">
        <f t="shared" si="22"/>
        <v>15036.171133776399</v>
      </c>
      <c r="J491">
        <v>23864.560547000001</v>
      </c>
      <c r="K491" s="15">
        <v>107.97</v>
      </c>
      <c r="L491">
        <f t="shared" si="23"/>
        <v>221.02955031027139</v>
      </c>
    </row>
    <row r="492" spans="1:12" x14ac:dyDescent="0.3">
      <c r="A492" s="20">
        <v>490</v>
      </c>
      <c r="B492" s="4">
        <v>43851</v>
      </c>
      <c r="C492">
        <v>3320.790039</v>
      </c>
      <c r="D492">
        <v>28795.910156000002</v>
      </c>
      <c r="E492" s="14">
        <v>7.77</v>
      </c>
      <c r="F492" s="18">
        <f t="shared" si="21"/>
        <v>3706.0373431145435</v>
      </c>
      <c r="G492">
        <v>13515.75</v>
      </c>
      <c r="H492">
        <v>1.1092</v>
      </c>
      <c r="I492" s="18">
        <f t="shared" si="22"/>
        <v>14991.669899999999</v>
      </c>
      <c r="J492">
        <v>24031.349609000001</v>
      </c>
      <c r="K492" s="15">
        <v>107.46</v>
      </c>
      <c r="L492">
        <f t="shared" si="23"/>
        <v>223.63064962776849</v>
      </c>
    </row>
    <row r="493" spans="1:12" x14ac:dyDescent="0.3">
      <c r="A493" s="20">
        <v>491</v>
      </c>
      <c r="B493" s="4">
        <v>43852</v>
      </c>
      <c r="C493">
        <v>3321.75</v>
      </c>
      <c r="D493">
        <v>27985.330077999999</v>
      </c>
      <c r="E493" s="14">
        <v>7.77</v>
      </c>
      <c r="F493" s="18">
        <f t="shared" si="21"/>
        <v>3601.7155827541828</v>
      </c>
      <c r="G493">
        <v>13388.419921999999</v>
      </c>
      <c r="H493">
        <v>1.1054999999999999</v>
      </c>
      <c r="I493" s="18">
        <f t="shared" si="22"/>
        <v>14800.898223770999</v>
      </c>
      <c r="J493">
        <v>23795.439452999999</v>
      </c>
      <c r="K493" s="15">
        <v>107.56</v>
      </c>
      <c r="L493">
        <f t="shared" si="23"/>
        <v>221.22944824284119</v>
      </c>
    </row>
    <row r="494" spans="1:12" x14ac:dyDescent="0.3">
      <c r="A494" s="20">
        <v>492</v>
      </c>
      <c r="B494" s="4">
        <v>43853</v>
      </c>
      <c r="C494">
        <v>3325.540039</v>
      </c>
      <c r="D494">
        <v>28341.039063</v>
      </c>
      <c r="E494" s="14">
        <v>7.77</v>
      </c>
      <c r="F494" s="18">
        <f t="shared" si="21"/>
        <v>3647.4953749034753</v>
      </c>
      <c r="G494">
        <v>13576.679688</v>
      </c>
      <c r="H494">
        <v>1.103</v>
      </c>
      <c r="I494" s="18">
        <f t="shared" si="22"/>
        <v>14975.077695864</v>
      </c>
      <c r="J494">
        <v>23827.179688</v>
      </c>
      <c r="K494" s="15">
        <v>106.52</v>
      </c>
      <c r="L494">
        <f t="shared" si="23"/>
        <v>223.68737972211792</v>
      </c>
    </row>
    <row r="495" spans="1:12" x14ac:dyDescent="0.3">
      <c r="A495" s="20">
        <v>493</v>
      </c>
      <c r="B495" s="4">
        <v>43854</v>
      </c>
      <c r="C495">
        <v>3295.469971</v>
      </c>
      <c r="D495">
        <v>27909.119140999999</v>
      </c>
      <c r="E495" s="14">
        <v>7.77</v>
      </c>
      <c r="F495" s="18">
        <f t="shared" si="21"/>
        <v>3591.9072253539252</v>
      </c>
      <c r="G495">
        <v>13204.769531</v>
      </c>
      <c r="H495">
        <v>1.1014999999999999</v>
      </c>
      <c r="I495" s="18">
        <f t="shared" si="22"/>
        <v>14545.053638396499</v>
      </c>
      <c r="J495">
        <v>23343.509765999999</v>
      </c>
      <c r="K495" s="15">
        <v>107.29</v>
      </c>
      <c r="L495">
        <f t="shared" si="23"/>
        <v>217.57395624941745</v>
      </c>
    </row>
    <row r="496" spans="1:12" x14ac:dyDescent="0.3">
      <c r="A496" s="20">
        <v>494</v>
      </c>
      <c r="B496" s="4">
        <v>43857</v>
      </c>
      <c r="C496">
        <v>3243.6298830000001</v>
      </c>
      <c r="D496">
        <v>27949.640625</v>
      </c>
      <c r="E496" s="14">
        <v>7.77</v>
      </c>
      <c r="F496" s="18">
        <f t="shared" si="21"/>
        <v>3597.1223455598456</v>
      </c>
      <c r="G496">
        <v>13323.690430000001</v>
      </c>
      <c r="H496">
        <v>1.1013999999999999</v>
      </c>
      <c r="I496" s="18">
        <f t="shared" si="22"/>
        <v>14674.712639601999</v>
      </c>
      <c r="J496">
        <v>23215.710938</v>
      </c>
      <c r="K496" s="15">
        <v>104.89</v>
      </c>
      <c r="L496">
        <f t="shared" si="23"/>
        <v>221.33388252454952</v>
      </c>
    </row>
    <row r="497" spans="1:12" x14ac:dyDescent="0.3">
      <c r="A497" s="20">
        <v>495</v>
      </c>
      <c r="B497" s="4">
        <v>43858</v>
      </c>
      <c r="C497">
        <v>3276.23999</v>
      </c>
      <c r="D497">
        <v>27160.630859000001</v>
      </c>
      <c r="E497" s="14">
        <v>7.77</v>
      </c>
      <c r="F497" s="18">
        <f t="shared" si="21"/>
        <v>3495.5766871299875</v>
      </c>
      <c r="G497">
        <v>13345</v>
      </c>
      <c r="H497">
        <v>1.101</v>
      </c>
      <c r="I497" s="18">
        <f t="shared" si="22"/>
        <v>14692.844999999999</v>
      </c>
      <c r="J497">
        <v>23379.400390999999</v>
      </c>
      <c r="K497" s="15">
        <v>104.75</v>
      </c>
      <c r="L497">
        <f t="shared" si="23"/>
        <v>223.19236650119331</v>
      </c>
    </row>
    <row r="498" spans="1:12" x14ac:dyDescent="0.3">
      <c r="A498" s="20">
        <v>496</v>
      </c>
      <c r="B498" s="4">
        <v>43859</v>
      </c>
      <c r="C498">
        <v>3273.3999020000001</v>
      </c>
      <c r="D498">
        <v>26449.130859000001</v>
      </c>
      <c r="E498" s="14">
        <v>7.77</v>
      </c>
      <c r="F498" s="18">
        <f t="shared" si="21"/>
        <v>3404.006545559846</v>
      </c>
      <c r="G498">
        <v>13157.120117</v>
      </c>
      <c r="H498">
        <v>1.1029</v>
      </c>
      <c r="I498" s="18">
        <f t="shared" si="22"/>
        <v>14510.9877770393</v>
      </c>
      <c r="J498">
        <v>22977.75</v>
      </c>
      <c r="K498" s="15">
        <v>104.88</v>
      </c>
      <c r="L498">
        <f t="shared" si="23"/>
        <v>219.08609839816936</v>
      </c>
    </row>
    <row r="499" spans="1:12" x14ac:dyDescent="0.3">
      <c r="A499" s="20">
        <v>497</v>
      </c>
      <c r="B499" s="4">
        <v>43860</v>
      </c>
      <c r="C499">
        <v>3283.6599120000001</v>
      </c>
      <c r="D499">
        <v>26312.630859000001</v>
      </c>
      <c r="E499" s="14">
        <v>7.77</v>
      </c>
      <c r="F499" s="18">
        <f t="shared" si="21"/>
        <v>3386.4389779922781</v>
      </c>
      <c r="G499">
        <v>12981.969727</v>
      </c>
      <c r="H499">
        <v>1.1087</v>
      </c>
      <c r="I499" s="18">
        <f t="shared" si="22"/>
        <v>14393.1098363249</v>
      </c>
      <c r="J499">
        <v>23205.179688</v>
      </c>
      <c r="K499" s="15">
        <v>106.8</v>
      </c>
      <c r="L499">
        <f t="shared" si="23"/>
        <v>217.27696337078652</v>
      </c>
    </row>
    <row r="500" spans="1:12" x14ac:dyDescent="0.3">
      <c r="A500" s="20">
        <v>498</v>
      </c>
      <c r="B500" s="4">
        <v>43861</v>
      </c>
      <c r="C500">
        <v>3225.5200199999999</v>
      </c>
      <c r="D500">
        <v>26356.980468999998</v>
      </c>
      <c r="E500" s="14">
        <v>7.77</v>
      </c>
      <c r="F500" s="18">
        <f t="shared" si="21"/>
        <v>3392.1467785070786</v>
      </c>
      <c r="G500">
        <v>13045.190430000001</v>
      </c>
      <c r="H500">
        <v>1.1063000000000001</v>
      </c>
      <c r="I500" s="18">
        <f t="shared" si="22"/>
        <v>14431.894172709002</v>
      </c>
      <c r="J500">
        <v>22971.939452999999</v>
      </c>
      <c r="K500" s="15">
        <v>106.78</v>
      </c>
      <c r="L500">
        <f t="shared" si="23"/>
        <v>215.13335318411686</v>
      </c>
    </row>
    <row r="501" spans="1:12" x14ac:dyDescent="0.3">
      <c r="A501" s="20">
        <v>499</v>
      </c>
      <c r="B501" s="4">
        <v>43864</v>
      </c>
      <c r="C501">
        <v>3248.919922</v>
      </c>
      <c r="D501">
        <v>26675.980468999998</v>
      </c>
      <c r="E501" s="14">
        <v>7.77</v>
      </c>
      <c r="F501" s="18">
        <f t="shared" si="21"/>
        <v>3433.2021195624197</v>
      </c>
      <c r="G501">
        <v>13281.740234000001</v>
      </c>
      <c r="H501">
        <v>1.1042000000000001</v>
      </c>
      <c r="I501" s="18">
        <f t="shared" si="22"/>
        <v>14665.697566382802</v>
      </c>
      <c r="J501">
        <v>23084.589843999998</v>
      </c>
      <c r="K501" s="15">
        <v>106.03</v>
      </c>
      <c r="L501">
        <f t="shared" si="23"/>
        <v>217.71753130246154</v>
      </c>
    </row>
    <row r="502" spans="1:12" x14ac:dyDescent="0.3">
      <c r="A502" s="20">
        <v>500</v>
      </c>
      <c r="B502" s="4">
        <v>43864</v>
      </c>
      <c r="C502">
        <v>3297.5900879999999</v>
      </c>
      <c r="D502">
        <v>26786.740234000001</v>
      </c>
      <c r="E502" s="14">
        <v>7.77</v>
      </c>
      <c r="F502" s="18">
        <f t="shared" si="21"/>
        <v>3447.4569155727158</v>
      </c>
      <c r="G502">
        <v>13478.330078000001</v>
      </c>
      <c r="H502">
        <v>1.0992999999999999</v>
      </c>
      <c r="I502" s="18">
        <f t="shared" si="22"/>
        <v>14816.7282547454</v>
      </c>
      <c r="J502">
        <v>23319.560547000001</v>
      </c>
      <c r="K502" s="15">
        <v>106.42</v>
      </c>
      <c r="L502">
        <f t="shared" si="23"/>
        <v>219.12761273256908</v>
      </c>
    </row>
    <row r="503" spans="1:12" x14ac:dyDescent="0.3">
      <c r="B503" s="4"/>
      <c r="C503"/>
      <c r="D503"/>
      <c r="E503" s="14"/>
      <c r="G503"/>
      <c r="H503"/>
      <c r="J503"/>
    </row>
    <row r="504" spans="1:12" x14ac:dyDescent="0.3">
      <c r="B504" s="4"/>
      <c r="C504"/>
      <c r="D504"/>
      <c r="E504" s="14"/>
      <c r="G504"/>
      <c r="H504"/>
      <c r="J504"/>
    </row>
    <row r="505" spans="1:12" x14ac:dyDescent="0.3">
      <c r="C505" s="7"/>
      <c r="D505" s="12"/>
      <c r="G505" s="12"/>
      <c r="J505" s="12"/>
    </row>
    <row r="506" spans="1:12" x14ac:dyDescent="0.3">
      <c r="C506" s="7"/>
      <c r="D506" s="12"/>
      <c r="G506" s="12"/>
      <c r="J506" s="12"/>
    </row>
    <row r="507" spans="1:12" x14ac:dyDescent="0.3">
      <c r="C507" s="7"/>
      <c r="D507" s="12"/>
      <c r="G507" s="12"/>
      <c r="J507" s="12"/>
    </row>
    <row r="508" spans="1:12" x14ac:dyDescent="0.3">
      <c r="C508" s="7"/>
      <c r="D508" s="12"/>
      <c r="G508" s="12"/>
      <c r="J508" s="12"/>
    </row>
    <row r="509" spans="1:12" x14ac:dyDescent="0.3">
      <c r="C509" s="7"/>
      <c r="D509" s="12"/>
      <c r="G509" s="12"/>
      <c r="J509" s="12"/>
    </row>
    <row r="510" spans="1:12" x14ac:dyDescent="0.3">
      <c r="C510" s="7"/>
      <c r="D510" s="12"/>
      <c r="G510" s="12"/>
      <c r="J510" s="12"/>
    </row>
    <row r="511" spans="1:12" x14ac:dyDescent="0.3">
      <c r="C511" s="7"/>
      <c r="D511" s="12"/>
      <c r="G511" s="12"/>
      <c r="J511" s="12"/>
    </row>
    <row r="512" spans="1:12" x14ac:dyDescent="0.3">
      <c r="C512" s="7"/>
      <c r="D512" s="12"/>
      <c r="G512" s="12"/>
      <c r="J512" s="12"/>
    </row>
    <row r="513" spans="3:10" x14ac:dyDescent="0.3">
      <c r="C513" s="7"/>
      <c r="D513" s="12"/>
      <c r="G513" s="12"/>
      <c r="J513" s="12"/>
    </row>
    <row r="514" spans="3:10" x14ac:dyDescent="0.3">
      <c r="C514" s="7"/>
      <c r="D514" s="12"/>
      <c r="G514" s="12"/>
      <c r="J514" s="12"/>
    </row>
    <row r="515" spans="3:10" x14ac:dyDescent="0.3">
      <c r="C515" s="7"/>
      <c r="D515" s="12"/>
      <c r="G515" s="12"/>
      <c r="J515" s="12"/>
    </row>
    <row r="516" spans="3:10" x14ac:dyDescent="0.3">
      <c r="C516" s="7"/>
      <c r="D516" s="12"/>
      <c r="G516" s="12"/>
      <c r="J516" s="12"/>
    </row>
    <row r="517" spans="3:10" x14ac:dyDescent="0.3">
      <c r="C517" s="7"/>
      <c r="D517" s="12"/>
      <c r="G517" s="12"/>
      <c r="J517" s="12"/>
    </row>
    <row r="518" spans="3:10" x14ac:dyDescent="0.3">
      <c r="C518" s="7"/>
      <c r="D518" s="12"/>
      <c r="G518" s="12"/>
      <c r="J518" s="12"/>
    </row>
    <row r="519" spans="3:10" x14ac:dyDescent="0.3">
      <c r="C519" s="7"/>
      <c r="D519" s="12"/>
      <c r="G519" s="12"/>
      <c r="J519" s="12"/>
    </row>
    <row r="520" spans="3:10" x14ac:dyDescent="0.3">
      <c r="C520" s="7"/>
      <c r="D520" s="12"/>
      <c r="G520" s="12"/>
      <c r="J520" s="12"/>
    </row>
    <row r="521" spans="3:10" x14ac:dyDescent="0.3">
      <c r="C521" s="7"/>
      <c r="D521" s="12"/>
      <c r="G521" s="12"/>
      <c r="J521" s="12"/>
    </row>
    <row r="522" spans="3:10" x14ac:dyDescent="0.3">
      <c r="C522" s="7"/>
      <c r="D522" s="12"/>
      <c r="G522" s="12"/>
      <c r="J522" s="12"/>
    </row>
    <row r="523" spans="3:10" x14ac:dyDescent="0.3">
      <c r="C523" s="7"/>
      <c r="D523" s="12"/>
      <c r="G523" s="12"/>
      <c r="J523" s="12"/>
    </row>
    <row r="524" spans="3:10" x14ac:dyDescent="0.3">
      <c r="C524" s="7"/>
      <c r="D524" s="12"/>
      <c r="G524" s="12"/>
      <c r="J524" s="12"/>
    </row>
    <row r="525" spans="3:10" x14ac:dyDescent="0.3">
      <c r="C525" s="7"/>
      <c r="D525" s="12"/>
      <c r="G525" s="12"/>
      <c r="J525" s="12"/>
    </row>
    <row r="526" spans="3:10" x14ac:dyDescent="0.3">
      <c r="C526" s="7"/>
      <c r="D526" s="12"/>
      <c r="G526" s="12"/>
      <c r="J526" s="12"/>
    </row>
    <row r="527" spans="3:10" x14ac:dyDescent="0.3">
      <c r="C527" s="7"/>
      <c r="D527" s="12"/>
      <c r="G527" s="12"/>
      <c r="J527" s="12"/>
    </row>
    <row r="528" spans="3:10" x14ac:dyDescent="0.3">
      <c r="C528" s="7"/>
      <c r="D528" s="12"/>
      <c r="G528" s="12"/>
      <c r="J528" s="12"/>
    </row>
    <row r="529" spans="3:10" x14ac:dyDescent="0.3">
      <c r="C529" s="7"/>
      <c r="D529" s="12"/>
      <c r="G529" s="12"/>
      <c r="J529" s="12"/>
    </row>
    <row r="530" spans="3:10" x14ac:dyDescent="0.3">
      <c r="C530" s="7"/>
      <c r="D530" s="12"/>
      <c r="G530" s="12"/>
      <c r="J530" s="12"/>
    </row>
    <row r="531" spans="3:10" x14ac:dyDescent="0.3">
      <c r="C531" s="7"/>
      <c r="D531" s="12"/>
      <c r="G531" s="12"/>
      <c r="J531" s="12"/>
    </row>
    <row r="532" spans="3:10" x14ac:dyDescent="0.3">
      <c r="C532" s="7"/>
      <c r="D532" s="12"/>
      <c r="G532" s="12"/>
      <c r="J532" s="12"/>
    </row>
    <row r="533" spans="3:10" x14ac:dyDescent="0.3">
      <c r="C533" s="7"/>
      <c r="D533" s="12"/>
      <c r="G533" s="12"/>
      <c r="J533" s="12"/>
    </row>
    <row r="534" spans="3:10" x14ac:dyDescent="0.3">
      <c r="C534" s="7"/>
      <c r="D534" s="12"/>
      <c r="G534" s="12"/>
      <c r="J534" s="12"/>
    </row>
    <row r="535" spans="3:10" x14ac:dyDescent="0.3">
      <c r="C535" s="7"/>
      <c r="D535" s="12"/>
      <c r="G535" s="12"/>
      <c r="J535" s="12"/>
    </row>
    <row r="536" spans="3:10" x14ac:dyDescent="0.3">
      <c r="C536" s="7"/>
      <c r="D536" s="12"/>
      <c r="G536" s="12"/>
      <c r="J536" s="12"/>
    </row>
    <row r="537" spans="3:10" x14ac:dyDescent="0.3">
      <c r="C537" s="7"/>
      <c r="D537" s="12"/>
      <c r="G537" s="12"/>
      <c r="J537" s="12"/>
    </row>
    <row r="538" spans="3:10" x14ac:dyDescent="0.3">
      <c r="C538" s="7"/>
      <c r="D538" s="12"/>
      <c r="G538" s="12"/>
      <c r="J538" s="12"/>
    </row>
    <row r="539" spans="3:10" x14ac:dyDescent="0.3">
      <c r="C539" s="7"/>
      <c r="D539" s="12"/>
      <c r="G539" s="12"/>
      <c r="J539" s="12"/>
    </row>
    <row r="540" spans="3:10" x14ac:dyDescent="0.3">
      <c r="C540" s="7"/>
      <c r="D540" s="12"/>
      <c r="G540" s="12"/>
      <c r="J540" s="12"/>
    </row>
    <row r="541" spans="3:10" x14ac:dyDescent="0.3">
      <c r="C541" s="7"/>
      <c r="D541" s="12"/>
      <c r="G541" s="12"/>
      <c r="J541" s="12"/>
    </row>
    <row r="542" spans="3:10" x14ac:dyDescent="0.3">
      <c r="C542" s="7"/>
      <c r="D542" s="12"/>
      <c r="G542" s="12"/>
      <c r="J542" s="12"/>
    </row>
    <row r="543" spans="3:10" x14ac:dyDescent="0.3">
      <c r="C543" s="7"/>
      <c r="D543" s="12"/>
      <c r="G543" s="12"/>
      <c r="J543" s="12"/>
    </row>
  </sheetData>
  <pageMargins left="0.7" right="0.7" top="0.75" bottom="0.75" header="0.3" footer="0.3"/>
  <pageSetup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G505"/>
  <sheetViews>
    <sheetView zoomScale="88" zoomScaleNormal="80" zoomScalePageLayoutView="90" workbookViewId="0">
      <selection activeCell="C17" sqref="C17"/>
    </sheetView>
  </sheetViews>
  <sheetFormatPr defaultColWidth="8.88671875" defaultRowHeight="14.4" x14ac:dyDescent="0.3"/>
  <cols>
    <col min="1" max="1" width="12.109375" bestFit="1" customWidth="1"/>
    <col min="2" max="2" width="11.44140625" bestFit="1" customWidth="1"/>
    <col min="3" max="3" width="12" customWidth="1"/>
    <col min="4" max="7" width="10.109375" customWidth="1"/>
    <col min="8" max="8" width="2.44140625" style="29" customWidth="1"/>
    <col min="9" max="9" width="9.109375" customWidth="1"/>
    <col min="10" max="10" width="10.109375" customWidth="1"/>
    <col min="11" max="11" width="11" customWidth="1"/>
    <col min="12" max="13" width="9.109375" customWidth="1"/>
    <col min="14" max="14" width="9.88671875" customWidth="1"/>
    <col min="15" max="16" width="9.109375" customWidth="1"/>
    <col min="17" max="17" width="3.44140625" style="29" customWidth="1"/>
    <col min="18" max="18" width="7.6640625" style="36" customWidth="1"/>
    <col min="19" max="20" width="10.33203125" style="36" customWidth="1"/>
    <col min="21" max="21" width="13.6640625" style="36" customWidth="1"/>
    <col min="22" max="22" width="3.6640625" style="29" customWidth="1"/>
    <col min="24" max="24" width="10.88671875" customWidth="1"/>
    <col min="25" max="25" width="13" bestFit="1" customWidth="1"/>
    <col min="26" max="26" width="4.109375" style="29" customWidth="1"/>
    <col min="29" max="29" width="13" bestFit="1" customWidth="1"/>
    <col min="30" max="30" width="13.109375" bestFit="1" customWidth="1"/>
  </cols>
  <sheetData>
    <row r="1" spans="1:33" x14ac:dyDescent="0.3">
      <c r="A1" s="9" t="s">
        <v>15</v>
      </c>
      <c r="B1" s="4">
        <v>43138</v>
      </c>
    </row>
    <row r="2" spans="1:33" x14ac:dyDescent="0.3">
      <c r="A2" s="9" t="s">
        <v>33</v>
      </c>
      <c r="AB2" s="9" t="s">
        <v>58</v>
      </c>
      <c r="AC2" s="47">
        <f>(4*$B$18-6)/($B$18-3)</f>
        <v>1.5328155516745268</v>
      </c>
      <c r="AD2" s="47">
        <f>ROUND(AC2,0)</f>
        <v>2</v>
      </c>
    </row>
    <row r="3" spans="1:33" x14ac:dyDescent="0.3">
      <c r="A3" s="9" t="s">
        <v>21</v>
      </c>
      <c r="S3" s="44" t="s">
        <v>29</v>
      </c>
      <c r="T3" s="44"/>
      <c r="U3" s="44"/>
      <c r="W3" s="9" t="s">
        <v>38</v>
      </c>
      <c r="AA3" s="9" t="s">
        <v>43</v>
      </c>
      <c r="AB3" s="9" t="s">
        <v>59</v>
      </c>
      <c r="AC3" s="47">
        <f>3*(AC2-2)/(AC2-4)</f>
        <v>0.56807805591012117</v>
      </c>
    </row>
    <row r="4" spans="1:33" x14ac:dyDescent="0.3">
      <c r="A4" s="27" t="s">
        <v>17</v>
      </c>
      <c r="B4" s="27" t="s">
        <v>18</v>
      </c>
      <c r="C4" s="27" t="s">
        <v>19</v>
      </c>
      <c r="D4" s="27"/>
      <c r="E4" s="27" t="s">
        <v>18</v>
      </c>
      <c r="G4" s="27"/>
      <c r="I4" s="27" t="s">
        <v>2</v>
      </c>
      <c r="J4" s="27" t="s">
        <v>102</v>
      </c>
      <c r="K4" s="27" t="s">
        <v>108</v>
      </c>
      <c r="L4" s="27" t="s">
        <v>106</v>
      </c>
      <c r="M4" s="27" t="s">
        <v>10</v>
      </c>
      <c r="N4" s="27" t="s">
        <v>21</v>
      </c>
      <c r="O4" s="27" t="s">
        <v>83</v>
      </c>
      <c r="P4" s="27" t="s">
        <v>29</v>
      </c>
      <c r="Q4" s="30"/>
      <c r="R4" s="45" t="s">
        <v>26</v>
      </c>
      <c r="S4" s="45" t="s">
        <v>27</v>
      </c>
      <c r="T4" s="45" t="s">
        <v>41</v>
      </c>
      <c r="U4" s="45" t="s">
        <v>42</v>
      </c>
      <c r="V4" s="30"/>
      <c r="W4" s="27" t="s">
        <v>39</v>
      </c>
      <c r="X4" s="27" t="s">
        <v>40</v>
      </c>
      <c r="Y4" s="27" t="s">
        <v>47</v>
      </c>
      <c r="AA4" s="27" t="s">
        <v>44</v>
      </c>
      <c r="AB4" s="27" t="s">
        <v>46</v>
      </c>
      <c r="AC4" s="27" t="s">
        <v>45</v>
      </c>
      <c r="AD4" s="27" t="s">
        <v>43</v>
      </c>
      <c r="AG4">
        <f>$B$5*(1+LN(Data!C3/Data!C2))</f>
        <v>3846.9637911799387</v>
      </c>
    </row>
    <row r="5" spans="1:33" x14ac:dyDescent="0.3">
      <c r="A5" t="s">
        <v>102</v>
      </c>
      <c r="B5" s="23">
        <v>4000</v>
      </c>
      <c r="C5" s="24">
        <f>Data!C2</f>
        <v>2681.6599120000001</v>
      </c>
      <c r="D5" s="31"/>
      <c r="E5" s="23">
        <v>4000</v>
      </c>
      <c r="G5" s="31"/>
      <c r="I5" s="3">
        <f>Data!A3</f>
        <v>1</v>
      </c>
      <c r="J5" s="23">
        <f>$B$5*Data!C3/Data!C2</f>
        <v>3849.8543211246692</v>
      </c>
      <c r="K5" s="23">
        <f>$B$6*Data!F3/Data!F2</f>
        <v>3012.6705277113128</v>
      </c>
      <c r="L5" s="23">
        <f>$B$7*Data!I3/Data!I2</f>
        <v>967.92382706242154</v>
      </c>
      <c r="M5" s="23">
        <f>$B$8*Data!L3/Data!L2</f>
        <v>2021.2768278432898</v>
      </c>
      <c r="N5" s="23">
        <f>SUM(J5:M5)</f>
        <v>9851.7255037416944</v>
      </c>
      <c r="O5" s="23">
        <f>N5-$B$9</f>
        <v>-148.27449625830559</v>
      </c>
      <c r="P5" s="23">
        <f>-O5</f>
        <v>148.27449625830559</v>
      </c>
      <c r="R5" s="36">
        <v>-600</v>
      </c>
      <c r="S5" s="36">
        <f t="array" ref="S5:S27">FREQUENCY($P$5:$P$504,$R$5:$R$27)</f>
        <v>0</v>
      </c>
      <c r="T5" s="46">
        <f>S5/$B$12</f>
        <v>0</v>
      </c>
      <c r="U5" s="46">
        <f>SUM($T$5:T5)</f>
        <v>0</v>
      </c>
      <c r="W5">
        <f t="shared" ref="W5:W27" si="0">R5</f>
        <v>-600</v>
      </c>
      <c r="X5" s="41">
        <f t="shared" ref="X5:X27" si="1">_xlfn.NORM.DIST(W5,$B$15,$B$16,TRUE)</f>
        <v>1.5557531516242986E-22</v>
      </c>
      <c r="AA5">
        <f t="shared" ref="AA5:AA27" si="2">W5</f>
        <v>-600</v>
      </c>
      <c r="AB5" s="31">
        <f t="shared" ref="AB5:AB27" si="3">(AA5-$B$15)*$AC$2/($B$16*($AC$2-2))</f>
        <v>31.814804371283945</v>
      </c>
      <c r="AC5" s="5">
        <f t="shared" ref="AC5:AC27" si="4">_xlfn.T.DIST(AB5,$AD$2,TRUE)</f>
        <v>0.9995067484362814</v>
      </c>
    </row>
    <row r="6" spans="1:33" x14ac:dyDescent="0.3">
      <c r="A6" t="s">
        <v>108</v>
      </c>
      <c r="B6" s="23">
        <v>3000</v>
      </c>
      <c r="C6" s="24">
        <f>Data!F3</f>
        <v>3894.0242367007672</v>
      </c>
      <c r="D6" s="31"/>
      <c r="E6" s="23">
        <v>3000</v>
      </c>
      <c r="G6" s="31"/>
      <c r="I6">
        <v>2</v>
      </c>
      <c r="J6" s="23">
        <f>$B$5*Data!C4/Data!C3</f>
        <v>4059.7443611003487</v>
      </c>
      <c r="K6" s="23">
        <f>$B$6*Data!F4/Data!F3</f>
        <v>2907.0137675502356</v>
      </c>
      <c r="L6" s="23">
        <f>$B$7*Data!I4/Data!I3</f>
        <v>984.71099686311629</v>
      </c>
      <c r="M6" s="23">
        <f>$B$8*Data!L4/Data!L3</f>
        <v>1952.0393651387114</v>
      </c>
      <c r="N6" s="23">
        <f t="shared" ref="N6:N69" si="5">SUM(J6:M6)</f>
        <v>9903.5084906524135</v>
      </c>
      <c r="O6" s="23">
        <f t="shared" ref="O6:O69" si="6">N6-$B$9</f>
        <v>-96.491509347586543</v>
      </c>
      <c r="P6" s="23">
        <f t="shared" ref="P6:P69" si="7">-O6</f>
        <v>96.491509347586543</v>
      </c>
      <c r="R6" s="36">
        <v>-550</v>
      </c>
      <c r="S6" s="36">
        <v>0</v>
      </c>
      <c r="T6" s="46">
        <f t="shared" ref="T6:T27" si="8">S6/$B$12</f>
        <v>0</v>
      </c>
      <c r="U6" s="46">
        <f>SUM($T$5:T6)</f>
        <v>0</v>
      </c>
      <c r="W6">
        <f t="shared" si="0"/>
        <v>-550</v>
      </c>
      <c r="X6" s="41">
        <f t="shared" si="1"/>
        <v>3.1675062955787557E-19</v>
      </c>
      <c r="Y6" s="5">
        <f>X6-X5</f>
        <v>3.1659505424271313E-19</v>
      </c>
      <c r="AA6">
        <f t="shared" si="2"/>
        <v>-550</v>
      </c>
      <c r="AB6" s="31">
        <f t="shared" si="3"/>
        <v>29.154639638772711</v>
      </c>
      <c r="AC6" s="5">
        <f t="shared" si="4"/>
        <v>0.99941279591824583</v>
      </c>
      <c r="AD6" s="5">
        <f>AC5-AC6</f>
        <v>9.3952518035567145E-5</v>
      </c>
    </row>
    <row r="7" spans="1:33" x14ac:dyDescent="0.3">
      <c r="A7" t="s">
        <v>106</v>
      </c>
      <c r="B7" s="23">
        <v>1000</v>
      </c>
      <c r="C7" s="24">
        <f>Data!I4</f>
        <v>14769.9154241331</v>
      </c>
      <c r="D7" s="31"/>
      <c r="E7" s="23">
        <v>1000</v>
      </c>
      <c r="G7" s="31"/>
      <c r="I7">
        <v>3</v>
      </c>
      <c r="J7" s="23">
        <f>$B$5*Data!C5/Data!C4</f>
        <v>4055.6583387500682</v>
      </c>
      <c r="K7" s="23">
        <f>$B$6*Data!F5/Data!F4</f>
        <v>2995.1413173574992</v>
      </c>
      <c r="L7" s="23">
        <f>$B$7*Data!I5/Data!I4</f>
        <v>1019.1347497931924</v>
      </c>
      <c r="M7" s="23">
        <f>$B$8*Data!L5/Data!L4</f>
        <v>1995.8409149987008</v>
      </c>
      <c r="N7" s="23">
        <f t="shared" si="5"/>
        <v>10065.77532089946</v>
      </c>
      <c r="O7" s="23">
        <f t="shared" si="6"/>
        <v>65.775320899459985</v>
      </c>
      <c r="P7" s="23">
        <f t="shared" si="7"/>
        <v>-65.775320899459985</v>
      </c>
      <c r="R7" s="36">
        <v>-500</v>
      </c>
      <c r="S7" s="36">
        <v>0</v>
      </c>
      <c r="T7" s="46">
        <f t="shared" si="8"/>
        <v>0</v>
      </c>
      <c r="U7" s="46">
        <f>SUM($T$5:T7)</f>
        <v>0</v>
      </c>
      <c r="W7">
        <f t="shared" si="0"/>
        <v>-500</v>
      </c>
      <c r="X7" s="41">
        <f t="shared" si="1"/>
        <v>3.3680457213908153E-16</v>
      </c>
      <c r="Y7" s="5">
        <f t="shared" ref="Y7:Y27" si="9">X7-X6</f>
        <v>3.3648782150952367E-16</v>
      </c>
      <c r="AA7">
        <f t="shared" si="2"/>
        <v>-500</v>
      </c>
      <c r="AB7" s="31">
        <f t="shared" si="3"/>
        <v>26.494474906261473</v>
      </c>
      <c r="AC7" s="5">
        <f t="shared" si="4"/>
        <v>0.99928922434458878</v>
      </c>
      <c r="AD7" s="5">
        <f t="shared" ref="AD7:AD27" si="10">AC6-AC7</f>
        <v>1.2357157365705529E-4</v>
      </c>
    </row>
    <row r="8" spans="1:33" x14ac:dyDescent="0.3">
      <c r="A8" t="s">
        <v>10</v>
      </c>
      <c r="B8" s="23">
        <v>2000</v>
      </c>
      <c r="C8" s="24">
        <f>Data!L5</f>
        <v>185.27527199549434</v>
      </c>
      <c r="D8" s="31"/>
      <c r="E8" s="23">
        <v>2000</v>
      </c>
      <c r="G8" s="31"/>
      <c r="I8">
        <v>4</v>
      </c>
      <c r="J8" s="23">
        <f>$B$5*Data!C6/Data!C5</f>
        <v>4010.4517183734943</v>
      </c>
      <c r="K8" s="23">
        <f>$B$6*Data!F6/Data!F5</f>
        <v>3038.6866800692383</v>
      </c>
      <c r="L8" s="23">
        <f>$B$7*Data!I6/Data!I5</f>
        <v>998.56718741481097</v>
      </c>
      <c r="M8" s="23">
        <f>$B$8*Data!L6/Data!L5</f>
        <v>1975.7988995449111</v>
      </c>
      <c r="N8" s="23">
        <f t="shared" si="5"/>
        <v>10023.504485402455</v>
      </c>
      <c r="O8" s="23">
        <f t="shared" si="6"/>
        <v>23.50448540245452</v>
      </c>
      <c r="P8" s="23">
        <f t="shared" si="7"/>
        <v>-23.50448540245452</v>
      </c>
      <c r="R8" s="36">
        <v>-450</v>
      </c>
      <c r="S8" s="36">
        <v>0</v>
      </c>
      <c r="T8" s="46">
        <f t="shared" si="8"/>
        <v>0</v>
      </c>
      <c r="U8" s="46">
        <f>SUM($T$5:T8)</f>
        <v>0</v>
      </c>
      <c r="W8">
        <f t="shared" si="0"/>
        <v>-450</v>
      </c>
      <c r="X8" s="41">
        <f t="shared" si="1"/>
        <v>1.8731833112966226E-13</v>
      </c>
      <c r="Y8" s="5">
        <f t="shared" si="9"/>
        <v>1.8698152655752318E-13</v>
      </c>
      <c r="AA8">
        <f t="shared" si="2"/>
        <v>-450</v>
      </c>
      <c r="AB8" s="31">
        <f t="shared" si="3"/>
        <v>23.834310173750239</v>
      </c>
      <c r="AC8" s="5">
        <f t="shared" si="4"/>
        <v>0.99912215079006583</v>
      </c>
      <c r="AD8" s="5">
        <f t="shared" si="10"/>
        <v>1.6707355452294514E-4</v>
      </c>
    </row>
    <row r="9" spans="1:33" x14ac:dyDescent="0.3">
      <c r="B9" s="26">
        <f>SUM(B5:B8)</f>
        <v>10000</v>
      </c>
      <c r="C9" s="23"/>
      <c r="I9">
        <v>5</v>
      </c>
      <c r="J9" s="23">
        <f>$B$5*Data!C7/Data!C6</f>
        <v>4053.6098339290334</v>
      </c>
      <c r="K9" s="23">
        <f>$B$6*Data!F7/Data!F6</f>
        <v>3067.9706075726845</v>
      </c>
      <c r="L9" s="23">
        <f>$B$7*Data!I7/Data!I6</f>
        <v>1012.025177430492</v>
      </c>
      <c r="M9" s="23">
        <f>$B$8*Data!L7/Data!L6</f>
        <v>1984.9806990710467</v>
      </c>
      <c r="N9" s="23">
        <f t="shared" si="5"/>
        <v>10118.586318003257</v>
      </c>
      <c r="O9" s="23">
        <f t="shared" si="6"/>
        <v>118.58631800325747</v>
      </c>
      <c r="P9" s="23">
        <f t="shared" si="7"/>
        <v>-118.58631800325747</v>
      </c>
      <c r="R9" s="36">
        <v>-400</v>
      </c>
      <c r="S9" s="36">
        <v>0</v>
      </c>
      <c r="T9" s="46">
        <f t="shared" si="8"/>
        <v>0</v>
      </c>
      <c r="U9" s="46">
        <f>SUM($T$5:T9)</f>
        <v>0</v>
      </c>
      <c r="W9">
        <f t="shared" si="0"/>
        <v>-400</v>
      </c>
      <c r="X9" s="41">
        <f t="shared" si="1"/>
        <v>5.4599467501391761E-11</v>
      </c>
      <c r="Y9" s="5">
        <f t="shared" si="9"/>
        <v>5.4412149170262097E-11</v>
      </c>
      <c r="AA9">
        <f t="shared" si="2"/>
        <v>-400</v>
      </c>
      <c r="AB9" s="31">
        <f t="shared" si="3"/>
        <v>21.174145441239002</v>
      </c>
      <c r="AC9" s="5">
        <f t="shared" si="4"/>
        <v>0.99888850327065959</v>
      </c>
      <c r="AD9" s="5">
        <f t="shared" si="10"/>
        <v>2.3364751940624373E-4</v>
      </c>
    </row>
    <row r="10" spans="1:33" x14ac:dyDescent="0.3">
      <c r="I10">
        <v>6</v>
      </c>
      <c r="J10" s="23">
        <f>$B$5*Data!C8/Data!C7</f>
        <v>4048.2764505131654</v>
      </c>
      <c r="K10" s="23">
        <f>$B$6*Data!F8/Data!F7</f>
        <v>3058.9695191986093</v>
      </c>
      <c r="L10" s="23">
        <f>$B$7*Data!I8/Data!I7</f>
        <v>1006.4117722719536</v>
      </c>
      <c r="M10" s="23">
        <f>$B$8*Data!L8/Data!L7</f>
        <v>2036.9066991696905</v>
      </c>
      <c r="N10" s="23">
        <f t="shared" si="5"/>
        <v>10150.564441153419</v>
      </c>
      <c r="O10" s="23">
        <f t="shared" si="6"/>
        <v>150.56444115341947</v>
      </c>
      <c r="P10" s="23">
        <f t="shared" si="7"/>
        <v>-150.56444115341947</v>
      </c>
      <c r="R10" s="36">
        <v>-350</v>
      </c>
      <c r="S10" s="36">
        <v>0</v>
      </c>
      <c r="T10" s="46">
        <f t="shared" si="8"/>
        <v>0</v>
      </c>
      <c r="U10" s="46">
        <f>SUM($T$5:T10)</f>
        <v>0</v>
      </c>
      <c r="W10">
        <f t="shared" si="0"/>
        <v>-350</v>
      </c>
      <c r="X10" s="41">
        <f t="shared" si="1"/>
        <v>8.3630415756785956E-9</v>
      </c>
      <c r="Y10" s="5">
        <f t="shared" si="9"/>
        <v>8.3084421081772041E-9</v>
      </c>
      <c r="AA10">
        <f t="shared" si="2"/>
        <v>-350</v>
      </c>
      <c r="AB10" s="31">
        <f t="shared" si="3"/>
        <v>18.513980708727768</v>
      </c>
      <c r="AC10" s="5">
        <f t="shared" si="4"/>
        <v>0.99854763786063283</v>
      </c>
      <c r="AD10" s="5">
        <f t="shared" si="10"/>
        <v>3.408654100267583E-4</v>
      </c>
    </row>
    <row r="11" spans="1:33" x14ac:dyDescent="0.3">
      <c r="A11" s="9" t="s">
        <v>29</v>
      </c>
      <c r="I11">
        <v>7</v>
      </c>
      <c r="J11" s="23">
        <f>$B$5*Data!C9/Data!C8</f>
        <v>4001.4938781756005</v>
      </c>
      <c r="K11" s="23">
        <f>$B$6*Data!F9/Data!F8</f>
        <v>2976.6869204676373</v>
      </c>
      <c r="L11" s="23">
        <f>$B$7*Data!I9/Data!I8</f>
        <v>1008.812660982774</v>
      </c>
      <c r="M11" s="23">
        <f>$B$8*Data!L9/Data!L8</f>
        <v>2027.9798409085658</v>
      </c>
      <c r="N11" s="23">
        <f t="shared" si="5"/>
        <v>10014.973300534577</v>
      </c>
      <c r="O11" s="23">
        <f t="shared" si="6"/>
        <v>14.973300534576993</v>
      </c>
      <c r="P11" s="23">
        <f t="shared" si="7"/>
        <v>-14.973300534576993</v>
      </c>
      <c r="R11" s="36">
        <v>-300</v>
      </c>
      <c r="S11" s="36">
        <v>0</v>
      </c>
      <c r="T11" s="46">
        <f t="shared" si="8"/>
        <v>0</v>
      </c>
      <c r="U11" s="46">
        <f>SUM($T$5:T11)</f>
        <v>0</v>
      </c>
      <c r="W11">
        <f t="shared" si="0"/>
        <v>-300</v>
      </c>
      <c r="X11" s="41">
        <f t="shared" si="1"/>
        <v>6.7563855643848655E-7</v>
      </c>
      <c r="Y11" s="5">
        <f t="shared" si="9"/>
        <v>6.6727551486280794E-7</v>
      </c>
      <c r="AA11">
        <f t="shared" si="2"/>
        <v>-300</v>
      </c>
      <c r="AB11" s="31">
        <f t="shared" si="3"/>
        <v>15.853815976216531</v>
      </c>
      <c r="AC11" s="5">
        <f t="shared" si="4"/>
        <v>0.99802248427696982</v>
      </c>
      <c r="AD11" s="5">
        <f t="shared" si="10"/>
        <v>5.2515358366300724E-4</v>
      </c>
    </row>
    <row r="12" spans="1:33" x14ac:dyDescent="0.3">
      <c r="A12" s="9" t="s">
        <v>36</v>
      </c>
      <c r="B12" s="39">
        <f>COUNT($P$5:$P$504)</f>
        <v>500</v>
      </c>
      <c r="I12">
        <v>8</v>
      </c>
      <c r="J12" s="23">
        <f>$B$5*Data!C10/Data!C9</f>
        <v>3976.6344420736245</v>
      </c>
      <c r="K12" s="23">
        <f>$B$6*Data!F10/Data!F9</f>
        <v>3054.246269434545</v>
      </c>
      <c r="L12" s="23">
        <f>$B$7*Data!I10/Data!I9</f>
        <v>994.6387736972739</v>
      </c>
      <c r="M12" s="23">
        <f>$B$8*Data!L10/Data!L9</f>
        <v>2043.9120639752721</v>
      </c>
      <c r="N12" s="23">
        <f t="shared" si="5"/>
        <v>10069.431549180716</v>
      </c>
      <c r="O12" s="23">
        <f t="shared" si="6"/>
        <v>69.431549180715592</v>
      </c>
      <c r="P12" s="23">
        <f t="shared" si="7"/>
        <v>-69.431549180715592</v>
      </c>
      <c r="R12" s="36">
        <v>-250</v>
      </c>
      <c r="S12" s="36">
        <v>0</v>
      </c>
      <c r="T12" s="46">
        <f t="shared" si="8"/>
        <v>0</v>
      </c>
      <c r="U12" s="46">
        <f>SUM($T$5:T12)</f>
        <v>0</v>
      </c>
      <c r="W12">
        <f t="shared" si="0"/>
        <v>-250</v>
      </c>
      <c r="X12" s="41">
        <f t="shared" si="1"/>
        <v>2.8942325646110794E-5</v>
      </c>
      <c r="Y12" s="5">
        <f t="shared" si="9"/>
        <v>2.8266687089672308E-5</v>
      </c>
      <c r="AA12">
        <f t="shared" si="2"/>
        <v>-250</v>
      </c>
      <c r="AB12" s="31">
        <f t="shared" si="3"/>
        <v>13.193651243705295</v>
      </c>
      <c r="AC12" s="5">
        <f t="shared" si="4"/>
        <v>0.99715214935645491</v>
      </c>
      <c r="AD12" s="5">
        <f t="shared" si="10"/>
        <v>8.7033492051491468E-4</v>
      </c>
    </row>
    <row r="13" spans="1:33" x14ac:dyDescent="0.3">
      <c r="A13" s="9" t="s">
        <v>25</v>
      </c>
      <c r="B13" s="38">
        <f>MIN($P$5:$P$504)</f>
        <v>-159.82527856132583</v>
      </c>
      <c r="I13">
        <v>9</v>
      </c>
      <c r="J13" s="23">
        <f>$B$5*Data!C11/Data!C10</f>
        <v>3978.0139869599593</v>
      </c>
      <c r="K13" s="23">
        <f>$B$6*Data!F11/Data!F10</f>
        <v>2955.502746313085</v>
      </c>
      <c r="L13" s="23">
        <f>$B$7*Data!I11/Data!I10</f>
        <v>999.01174226687192</v>
      </c>
      <c r="M13" s="23">
        <f>$B$8*Data!L11/Data!L10</f>
        <v>1976.1713873177109</v>
      </c>
      <c r="N13" s="23">
        <f t="shared" si="5"/>
        <v>9908.6998628576275</v>
      </c>
      <c r="O13" s="23">
        <f t="shared" si="6"/>
        <v>-91.300137142372478</v>
      </c>
      <c r="P13" s="23">
        <f t="shared" si="7"/>
        <v>91.300137142372478</v>
      </c>
      <c r="R13" s="36">
        <v>-200</v>
      </c>
      <c r="S13" s="36">
        <v>0</v>
      </c>
      <c r="T13" s="46">
        <f t="shared" si="8"/>
        <v>0</v>
      </c>
      <c r="U13" s="46">
        <f>SUM($T$5:T13)</f>
        <v>0</v>
      </c>
      <c r="W13">
        <f t="shared" si="0"/>
        <v>-200</v>
      </c>
      <c r="X13" s="41">
        <f t="shared" si="1"/>
        <v>6.6255629984228557E-4</v>
      </c>
      <c r="Y13" s="5">
        <f t="shared" si="9"/>
        <v>6.3361397419617479E-4</v>
      </c>
      <c r="AA13">
        <f t="shared" si="2"/>
        <v>-200</v>
      </c>
      <c r="AB13" s="31">
        <f t="shared" si="3"/>
        <v>10.533486511194059</v>
      </c>
      <c r="AC13" s="5">
        <f t="shared" si="4"/>
        <v>0.9955536626008693</v>
      </c>
      <c r="AD13" s="5">
        <f t="shared" si="10"/>
        <v>1.5984867555856042E-3</v>
      </c>
    </row>
    <row r="14" spans="1:33" x14ac:dyDescent="0.3">
      <c r="A14" s="9" t="s">
        <v>24</v>
      </c>
      <c r="B14" s="38">
        <f>MAX($P$5:$P$504)</f>
        <v>237.67317481744431</v>
      </c>
      <c r="I14">
        <v>10</v>
      </c>
      <c r="J14" s="23">
        <f>$B$5*Data!C12/Data!C11</f>
        <v>4003.8942045941267</v>
      </c>
      <c r="K14" s="23">
        <f>$B$6*Data!F12/Data!F11</f>
        <v>3029.2088115330639</v>
      </c>
      <c r="L14" s="23">
        <f>$B$7*Data!I12/Data!I11</f>
        <v>1001.8293326309439</v>
      </c>
      <c r="M14" s="23">
        <f>$B$8*Data!L12/Data!L11</f>
        <v>2002.0939516537633</v>
      </c>
      <c r="N14" s="23">
        <f t="shared" si="5"/>
        <v>10037.026300411897</v>
      </c>
      <c r="O14" s="23">
        <f t="shared" si="6"/>
        <v>37.026300411896955</v>
      </c>
      <c r="P14" s="23">
        <f t="shared" si="7"/>
        <v>-37.026300411896955</v>
      </c>
      <c r="R14" s="36">
        <v>-150</v>
      </c>
      <c r="S14" s="36">
        <v>3</v>
      </c>
      <c r="T14" s="46">
        <f t="shared" si="8"/>
        <v>6.0000000000000001E-3</v>
      </c>
      <c r="U14" s="46">
        <f>SUM($T$5:T14)</f>
        <v>6.0000000000000001E-3</v>
      </c>
      <c r="W14">
        <f t="shared" si="0"/>
        <v>-150</v>
      </c>
      <c r="X14" s="41">
        <f t="shared" si="1"/>
        <v>8.2043150053210234E-3</v>
      </c>
      <c r="Y14" s="5">
        <f t="shared" si="9"/>
        <v>7.5417587054787379E-3</v>
      </c>
      <c r="AA14">
        <f t="shared" si="2"/>
        <v>-150</v>
      </c>
      <c r="AB14" s="31">
        <f t="shared" si="3"/>
        <v>7.8733217786828238</v>
      </c>
      <c r="AC14" s="5">
        <f t="shared" si="4"/>
        <v>0.99212415192610937</v>
      </c>
      <c r="AD14" s="5">
        <f t="shared" si="10"/>
        <v>3.4295106747599391E-3</v>
      </c>
    </row>
    <row r="15" spans="1:33" x14ac:dyDescent="0.3">
      <c r="A15" s="9" t="s">
        <v>3</v>
      </c>
      <c r="B15" s="38">
        <f>AVERAGE($P$5:$P$504)</f>
        <v>-2.0143944008631296</v>
      </c>
      <c r="I15">
        <v>11</v>
      </c>
      <c r="J15" s="23">
        <f>$B$5*Data!C13/Data!C12</f>
        <v>4064.1135055623704</v>
      </c>
      <c r="K15" s="23">
        <f>$B$6*Data!F13/Data!F12</f>
        <v>3022.2050496649358</v>
      </c>
      <c r="L15" s="23">
        <f>$B$7*Data!I13/Data!I12</f>
        <v>1006.4653000012255</v>
      </c>
      <c r="M15" s="23">
        <f>$B$8*Data!L13/Data!L12</f>
        <v>1968.4711794345101</v>
      </c>
      <c r="N15" s="23">
        <f t="shared" si="5"/>
        <v>10061.255034663041</v>
      </c>
      <c r="O15" s="23">
        <f t="shared" si="6"/>
        <v>61.255034663041442</v>
      </c>
      <c r="P15" s="23">
        <f t="shared" si="7"/>
        <v>-61.255034663041442</v>
      </c>
      <c r="R15" s="36">
        <v>-100</v>
      </c>
      <c r="S15" s="36">
        <v>21</v>
      </c>
      <c r="T15" s="46">
        <f t="shared" si="8"/>
        <v>4.2000000000000003E-2</v>
      </c>
      <c r="U15" s="46">
        <f>SUM($T$5:T15)</f>
        <v>4.8000000000000001E-2</v>
      </c>
      <c r="W15">
        <f t="shared" si="0"/>
        <v>-100</v>
      </c>
      <c r="X15" s="41">
        <f t="shared" si="1"/>
        <v>5.6040360982381895E-2</v>
      </c>
      <c r="Y15" s="5">
        <f t="shared" si="9"/>
        <v>4.783604597706087E-2</v>
      </c>
      <c r="AA15">
        <f t="shared" si="2"/>
        <v>-100</v>
      </c>
      <c r="AB15" s="31">
        <f t="shared" si="3"/>
        <v>5.2131570461715881</v>
      </c>
      <c r="AC15" s="5">
        <f t="shared" si="4"/>
        <v>0.98255903051077342</v>
      </c>
      <c r="AD15" s="5">
        <f t="shared" si="10"/>
        <v>9.5651214153359421E-3</v>
      </c>
    </row>
    <row r="16" spans="1:33" x14ac:dyDescent="0.3">
      <c r="A16" s="9" t="s">
        <v>28</v>
      </c>
      <c r="B16" s="38">
        <f>_xlfn.STDEV.S($P$5:$P$504)</f>
        <v>61.668444402402322</v>
      </c>
      <c r="I16">
        <v>12</v>
      </c>
      <c r="J16" s="23">
        <f>$B$5*Data!C14/Data!C13</f>
        <v>4047.0280616225473</v>
      </c>
      <c r="K16" s="23">
        <f>$B$6*Data!F14/Data!F13</f>
        <v>2978.1000308723919</v>
      </c>
      <c r="L16" s="23">
        <f>$B$7*Data!I14/Data!I13</f>
        <v>1001.5215199458136</v>
      </c>
      <c r="M16" s="23">
        <f>$B$8*Data!L14/Data!L13</f>
        <v>2013.1749977901038</v>
      </c>
      <c r="N16" s="23">
        <f t="shared" si="5"/>
        <v>10039.824610230857</v>
      </c>
      <c r="O16" s="23">
        <f t="shared" si="6"/>
        <v>39.824610230856706</v>
      </c>
      <c r="P16" s="23">
        <f t="shared" si="7"/>
        <v>-39.824610230856706</v>
      </c>
      <c r="R16" s="36">
        <v>-50</v>
      </c>
      <c r="S16" s="36">
        <v>79</v>
      </c>
      <c r="T16" s="46">
        <f t="shared" si="8"/>
        <v>0.158</v>
      </c>
      <c r="U16" s="46">
        <f>SUM($T$5:T16)</f>
        <v>0.20600000000000002</v>
      </c>
      <c r="W16">
        <f t="shared" si="0"/>
        <v>-50</v>
      </c>
      <c r="X16" s="41">
        <f t="shared" si="1"/>
        <v>0.21824839272442226</v>
      </c>
      <c r="Y16" s="5">
        <f t="shared" si="9"/>
        <v>0.16220803174204035</v>
      </c>
      <c r="AA16">
        <f t="shared" si="2"/>
        <v>-50</v>
      </c>
      <c r="AB16" s="31">
        <f t="shared" si="3"/>
        <v>2.5529923136603516</v>
      </c>
      <c r="AC16" s="5">
        <f t="shared" si="4"/>
        <v>0.93737762644355249</v>
      </c>
      <c r="AD16" s="5">
        <f t="shared" si="10"/>
        <v>4.5181404067220932E-2</v>
      </c>
    </row>
    <row r="17" spans="1:30" x14ac:dyDescent="0.3">
      <c r="A17" s="9" t="s">
        <v>4</v>
      </c>
      <c r="B17" s="38">
        <f>SKEW($P$5:$P$504)</f>
        <v>0.42840607464062852</v>
      </c>
      <c r="I17">
        <v>13</v>
      </c>
      <c r="J17" s="23">
        <f>$B$5*Data!C15/Data!C14</f>
        <v>3949.1724453090737</v>
      </c>
      <c r="K17" s="23">
        <f>$B$6*Data!F15/Data!F14</f>
        <v>2959.3260999142631</v>
      </c>
      <c r="L17" s="23">
        <f>$B$7*Data!I15/Data!I14</f>
        <v>991.45951063379141</v>
      </c>
      <c r="M17" s="23">
        <f>$B$8*Data!L15/Data!L14</f>
        <v>2027.4836681881854</v>
      </c>
      <c r="N17" s="23">
        <f t="shared" si="5"/>
        <v>9927.4417240453131</v>
      </c>
      <c r="O17" s="23">
        <f t="shared" si="6"/>
        <v>-72.558275954686906</v>
      </c>
      <c r="P17" s="23">
        <f t="shared" si="7"/>
        <v>72.558275954686906</v>
      </c>
      <c r="R17" s="36">
        <v>0</v>
      </c>
      <c r="S17" s="36">
        <v>168</v>
      </c>
      <c r="T17" s="46">
        <f t="shared" si="8"/>
        <v>0.33600000000000002</v>
      </c>
      <c r="U17" s="46">
        <f>SUM($T$5:T17)</f>
        <v>0.54200000000000004</v>
      </c>
      <c r="W17">
        <f t="shared" si="0"/>
        <v>0</v>
      </c>
      <c r="X17" s="41">
        <f t="shared" si="1"/>
        <v>0.51302909803122432</v>
      </c>
      <c r="Y17" s="5">
        <f t="shared" si="9"/>
        <v>0.29478070530680206</v>
      </c>
      <c r="AA17">
        <f t="shared" si="2"/>
        <v>0</v>
      </c>
      <c r="AB17" s="31">
        <f t="shared" si="3"/>
        <v>-0.10717241885088397</v>
      </c>
      <c r="AC17" s="5">
        <f t="shared" si="4"/>
        <v>0.46221716533904422</v>
      </c>
      <c r="AD17" s="5">
        <f t="shared" si="10"/>
        <v>0.47516046110450827</v>
      </c>
    </row>
    <row r="18" spans="1:30" x14ac:dyDescent="0.3">
      <c r="A18" s="9" t="s">
        <v>5</v>
      </c>
      <c r="B18" s="38">
        <f>KURT($P$5:$P$504)</f>
        <v>0.56807805591012128</v>
      </c>
      <c r="C18" s="23"/>
      <c r="I18">
        <v>14</v>
      </c>
      <c r="J18" s="23">
        <f>$B$5*Data!C16/Data!C15</f>
        <v>3955.6168456888913</v>
      </c>
      <c r="K18" s="23">
        <f>$B$6*Data!F16/Data!F15</f>
        <v>3009.7032470607164</v>
      </c>
      <c r="L18" s="23">
        <f>$B$7*Data!I16/Data!I15</f>
        <v>994.47315470832257</v>
      </c>
      <c r="M18" s="23">
        <f>$B$8*Data!L16/Data!L15</f>
        <v>2004.4389258470374</v>
      </c>
      <c r="N18" s="23">
        <f t="shared" si="5"/>
        <v>9964.2321733049685</v>
      </c>
      <c r="O18" s="23">
        <f t="shared" si="6"/>
        <v>-35.767826695031545</v>
      </c>
      <c r="P18" s="23">
        <f t="shared" si="7"/>
        <v>35.767826695031545</v>
      </c>
      <c r="R18" s="36">
        <v>50</v>
      </c>
      <c r="S18" s="36">
        <v>139</v>
      </c>
      <c r="T18" s="46">
        <f t="shared" si="8"/>
        <v>0.27800000000000002</v>
      </c>
      <c r="U18" s="46">
        <f>SUM($T$5:T18)</f>
        <v>0.82000000000000006</v>
      </c>
      <c r="W18">
        <f t="shared" si="0"/>
        <v>50</v>
      </c>
      <c r="X18" s="41">
        <f t="shared" si="1"/>
        <v>0.80051224799074638</v>
      </c>
      <c r="Y18" s="5">
        <f t="shared" si="9"/>
        <v>0.28748314995952207</v>
      </c>
      <c r="AA18">
        <f t="shared" si="2"/>
        <v>50</v>
      </c>
      <c r="AB18" s="31">
        <f t="shared" si="3"/>
        <v>-2.7673371513621197</v>
      </c>
      <c r="AC18" s="5">
        <f t="shared" si="4"/>
        <v>5.476941092285198E-2</v>
      </c>
      <c r="AD18" s="5">
        <f t="shared" si="10"/>
        <v>0.40744775441619224</v>
      </c>
    </row>
    <row r="19" spans="1:30" x14ac:dyDescent="0.3">
      <c r="I19">
        <v>15</v>
      </c>
      <c r="J19" s="23">
        <f>$B$5*Data!C17/Data!C16</f>
        <v>3946.7024021980792</v>
      </c>
      <c r="K19" s="23">
        <f>$B$6*Data!F17/Data!F16</f>
        <v>3009.671963908926</v>
      </c>
      <c r="L19" s="23">
        <f>$B$7*Data!I17/Data!I16</f>
        <v>984.45496526183467</v>
      </c>
      <c r="M19" s="23">
        <f>$B$8*Data!L17/Data!L16</f>
        <v>1977.6777988115841</v>
      </c>
      <c r="N19" s="23">
        <f t="shared" si="5"/>
        <v>9918.5071301804237</v>
      </c>
      <c r="O19" s="23">
        <f t="shared" si="6"/>
        <v>-81.492869819576299</v>
      </c>
      <c r="P19" s="23">
        <f t="shared" si="7"/>
        <v>81.492869819576299</v>
      </c>
      <c r="R19" s="36">
        <v>100</v>
      </c>
      <c r="S19" s="36">
        <v>58</v>
      </c>
      <c r="T19" s="46">
        <f t="shared" si="8"/>
        <v>0.11600000000000001</v>
      </c>
      <c r="U19" s="46">
        <f>SUM($T$5:T19)</f>
        <v>0.93600000000000005</v>
      </c>
      <c r="W19">
        <f t="shared" si="0"/>
        <v>100</v>
      </c>
      <c r="X19" s="41">
        <f t="shared" si="1"/>
        <v>0.95096059922232601</v>
      </c>
      <c r="Y19" s="5">
        <f t="shared" si="9"/>
        <v>0.15044835123157962</v>
      </c>
      <c r="AA19">
        <f t="shared" si="2"/>
        <v>100</v>
      </c>
      <c r="AB19" s="31">
        <f t="shared" si="3"/>
        <v>-5.4275018838733553</v>
      </c>
      <c r="AC19" s="5">
        <f t="shared" si="4"/>
        <v>1.6155315182997097E-2</v>
      </c>
      <c r="AD19" s="5">
        <f t="shared" si="10"/>
        <v>3.8614095739854887E-2</v>
      </c>
    </row>
    <row r="20" spans="1:30" x14ac:dyDescent="0.3">
      <c r="I20">
        <v>16</v>
      </c>
      <c r="J20" s="23">
        <f>$B$5*Data!C18/Data!C17</f>
        <v>4020.2864107908517</v>
      </c>
      <c r="K20" s="23">
        <f>$B$6*Data!F18/Data!F17</f>
        <v>2955.4699391030545</v>
      </c>
      <c r="L20" s="23">
        <f>$B$7*Data!I18/Data!I17</f>
        <v>970.52723174449488</v>
      </c>
      <c r="M20" s="23">
        <f>$B$8*Data!L18/Data!L17</f>
        <v>1966.6581914304518</v>
      </c>
      <c r="N20" s="23">
        <f t="shared" si="5"/>
        <v>9912.9417730688529</v>
      </c>
      <c r="O20" s="23">
        <f t="shared" si="6"/>
        <v>-87.058226931147146</v>
      </c>
      <c r="P20" s="23">
        <f t="shared" si="7"/>
        <v>87.058226931147146</v>
      </c>
      <c r="R20" s="36">
        <v>150</v>
      </c>
      <c r="S20" s="36">
        <v>25</v>
      </c>
      <c r="T20" s="46">
        <f t="shared" si="8"/>
        <v>0.05</v>
      </c>
      <c r="U20" s="46">
        <f>SUM($T$5:T20)</f>
        <v>0.9860000000000001</v>
      </c>
      <c r="W20">
        <f t="shared" si="0"/>
        <v>150</v>
      </c>
      <c r="X20" s="41">
        <f t="shared" si="1"/>
        <v>0.99314985793932153</v>
      </c>
      <c r="Y20" s="5">
        <f t="shared" si="9"/>
        <v>4.2189258716995526E-2</v>
      </c>
      <c r="AA20">
        <f t="shared" si="2"/>
        <v>150</v>
      </c>
      <c r="AB20" s="31">
        <f t="shared" si="3"/>
        <v>-8.0876666163845901</v>
      </c>
      <c r="AC20" s="5">
        <f t="shared" si="4"/>
        <v>7.4731057931137507E-3</v>
      </c>
      <c r="AD20" s="5">
        <f t="shared" si="10"/>
        <v>8.6822093898833459E-3</v>
      </c>
    </row>
    <row r="21" spans="1:30" x14ac:dyDescent="0.3">
      <c r="I21">
        <v>17</v>
      </c>
      <c r="J21" s="23">
        <f>$B$5*Data!C19/Data!C18</f>
        <v>4044.1281055271716</v>
      </c>
      <c r="K21" s="23">
        <f>$B$6*Data!F19/Data!F18</f>
        <v>2931.6239392415932</v>
      </c>
      <c r="L21" s="23">
        <f>$B$7*Data!I19/Data!I18</f>
        <v>1021.4958368618029</v>
      </c>
      <c r="M21" s="23">
        <f>$B$8*Data!L19/Data!L18</f>
        <v>1945.8698674280092</v>
      </c>
      <c r="N21" s="23">
        <f t="shared" si="5"/>
        <v>9943.117749058576</v>
      </c>
      <c r="O21" s="23">
        <f t="shared" si="6"/>
        <v>-56.88225094142399</v>
      </c>
      <c r="P21" s="23">
        <f t="shared" si="7"/>
        <v>56.88225094142399</v>
      </c>
      <c r="R21" s="36">
        <v>200</v>
      </c>
      <c r="S21" s="36">
        <v>5</v>
      </c>
      <c r="T21" s="46">
        <f t="shared" si="8"/>
        <v>0.01</v>
      </c>
      <c r="U21" s="46">
        <f>SUM($T$5:T21)</f>
        <v>0.99600000000000011</v>
      </c>
      <c r="W21">
        <f t="shared" si="0"/>
        <v>200</v>
      </c>
      <c r="X21" s="41">
        <f t="shared" si="1"/>
        <v>0.99947321162068858</v>
      </c>
      <c r="Y21" s="5">
        <f t="shared" si="9"/>
        <v>6.3233536813670499E-3</v>
      </c>
      <c r="AA21">
        <f t="shared" si="2"/>
        <v>200</v>
      </c>
      <c r="AB21" s="31">
        <f t="shared" si="3"/>
        <v>-10.747831348895827</v>
      </c>
      <c r="AC21" s="5">
        <f t="shared" si="4"/>
        <v>4.2730027239846419E-3</v>
      </c>
      <c r="AD21" s="5">
        <f t="shared" si="10"/>
        <v>3.2001030691291088E-3</v>
      </c>
    </row>
    <row r="22" spans="1:30" x14ac:dyDescent="0.3">
      <c r="C22" s="27"/>
      <c r="I22">
        <v>18</v>
      </c>
      <c r="J22" s="23">
        <f>$B$5*Data!C20/Data!C19</f>
        <v>4010.5554347478337</v>
      </c>
      <c r="K22" s="23">
        <f>$B$6*Data!F20/Data!F19</f>
        <v>3062.6713193808428</v>
      </c>
      <c r="L22" s="23">
        <f>$B$7*Data!I20/Data!I19</f>
        <v>999.62779579635139</v>
      </c>
      <c r="M22" s="23">
        <f>$B$8*Data!L20/Data!L19</f>
        <v>1986.4847193829776</v>
      </c>
      <c r="N22" s="23">
        <f t="shared" si="5"/>
        <v>10059.339269308006</v>
      </c>
      <c r="O22" s="23">
        <f t="shared" si="6"/>
        <v>59.339269308005896</v>
      </c>
      <c r="P22" s="23">
        <f t="shared" si="7"/>
        <v>-59.339269308005896</v>
      </c>
      <c r="R22" s="36">
        <v>250</v>
      </c>
      <c r="S22" s="36">
        <v>2</v>
      </c>
      <c r="T22" s="46">
        <f t="shared" si="8"/>
        <v>4.0000000000000001E-3</v>
      </c>
      <c r="U22" s="46">
        <f>SUM($T$5:T22)</f>
        <v>1</v>
      </c>
      <c r="W22">
        <f t="shared" si="0"/>
        <v>250</v>
      </c>
      <c r="X22" s="41">
        <f t="shared" si="1"/>
        <v>0.99997811315508889</v>
      </c>
      <c r="Y22" s="5">
        <f t="shared" si="9"/>
        <v>5.0490153440030383E-4</v>
      </c>
      <c r="AA22">
        <f t="shared" si="2"/>
        <v>250</v>
      </c>
      <c r="AB22" s="31">
        <f t="shared" si="3"/>
        <v>-13.407996081407063</v>
      </c>
      <c r="AC22" s="5">
        <f t="shared" si="4"/>
        <v>2.7582710402770027E-3</v>
      </c>
      <c r="AD22" s="5">
        <f t="shared" si="10"/>
        <v>1.5147316837076392E-3</v>
      </c>
    </row>
    <row r="23" spans="1:30" x14ac:dyDescent="0.3">
      <c r="C23" s="1"/>
      <c r="I23">
        <v>19</v>
      </c>
      <c r="J23" s="23">
        <f>$B$5*Data!C21/Data!C20</f>
        <v>3998.0645016445224</v>
      </c>
      <c r="K23" s="23">
        <f>$B$6*Data!F21/Data!F20</f>
        <v>2969.1442444501117</v>
      </c>
      <c r="L23" s="23">
        <f>$B$7*Data!I21/Data!I20</f>
        <v>1015.1259668037359</v>
      </c>
      <c r="M23" s="23">
        <f>$B$8*Data!L21/Data!L20</f>
        <v>2057.0980978584867</v>
      </c>
      <c r="N23" s="23">
        <f t="shared" si="5"/>
        <v>10039.432810756856</v>
      </c>
      <c r="O23" s="23">
        <f t="shared" si="6"/>
        <v>39.43281075685627</v>
      </c>
      <c r="P23" s="23">
        <f t="shared" si="7"/>
        <v>-39.43281075685627</v>
      </c>
      <c r="R23" s="36">
        <v>300</v>
      </c>
      <c r="S23" s="36">
        <v>0</v>
      </c>
      <c r="T23" s="46">
        <f t="shared" si="8"/>
        <v>0</v>
      </c>
      <c r="U23" s="46">
        <f>SUM($T$5:T23)</f>
        <v>1</v>
      </c>
      <c r="W23">
        <f t="shared" si="0"/>
        <v>300</v>
      </c>
      <c r="X23" s="41">
        <f t="shared" si="1"/>
        <v>0.9999995144090208</v>
      </c>
      <c r="Y23" s="5">
        <f t="shared" si="9"/>
        <v>2.1401253931907505E-5</v>
      </c>
      <c r="AA23">
        <f t="shared" si="2"/>
        <v>300</v>
      </c>
      <c r="AB23" s="31">
        <f t="shared" si="3"/>
        <v>-16.068160813918297</v>
      </c>
      <c r="AC23" s="5">
        <f t="shared" si="4"/>
        <v>1.9254109107794833E-3</v>
      </c>
      <c r="AD23" s="5">
        <f t="shared" si="10"/>
        <v>8.3286012949751942E-4</v>
      </c>
    </row>
    <row r="24" spans="1:30" x14ac:dyDescent="0.3">
      <c r="C24" s="1"/>
      <c r="I24">
        <v>20</v>
      </c>
      <c r="J24" s="23">
        <f>$B$5*Data!C22/Data!C21</f>
        <v>4017.852313013509</v>
      </c>
      <c r="K24" s="23">
        <f>$B$6*Data!F22/Data!F21</f>
        <v>3045.4615513948447</v>
      </c>
      <c r="L24" s="23">
        <f>$B$7*Data!I22/Data!I21</f>
        <v>1016.7566553617564</v>
      </c>
      <c r="M24" s="23">
        <f>$B$8*Data!L22/Data!L21</f>
        <v>1975.5700415795977</v>
      </c>
      <c r="N24" s="23">
        <f t="shared" si="5"/>
        <v>10055.640561349708</v>
      </c>
      <c r="O24" s="23">
        <f t="shared" si="6"/>
        <v>55.64056134970815</v>
      </c>
      <c r="P24" s="23">
        <f t="shared" si="7"/>
        <v>-55.64056134970815</v>
      </c>
      <c r="R24" s="36">
        <v>350</v>
      </c>
      <c r="S24" s="36">
        <v>0</v>
      </c>
      <c r="T24" s="46">
        <f t="shared" si="8"/>
        <v>0</v>
      </c>
      <c r="U24" s="46">
        <f>SUM($T$5:T24)</f>
        <v>1</v>
      </c>
      <c r="W24">
        <f t="shared" si="0"/>
        <v>350</v>
      </c>
      <c r="X24" s="41">
        <f t="shared" si="1"/>
        <v>0.99999999429036734</v>
      </c>
      <c r="Y24" s="5">
        <f t="shared" si="9"/>
        <v>4.7988134654897152E-7</v>
      </c>
      <c r="AA24">
        <f t="shared" si="2"/>
        <v>350</v>
      </c>
      <c r="AB24" s="31">
        <f t="shared" si="3"/>
        <v>-18.728325546429534</v>
      </c>
      <c r="AC24" s="5">
        <f t="shared" si="4"/>
        <v>1.4194485635469927E-3</v>
      </c>
      <c r="AD24" s="5">
        <f t="shared" si="10"/>
        <v>5.0596234723249058E-4</v>
      </c>
    </row>
    <row r="25" spans="1:30" x14ac:dyDescent="0.3">
      <c r="C25" s="1"/>
      <c r="I25">
        <v>21</v>
      </c>
      <c r="J25" s="23">
        <f>$B$5*Data!C23/Data!C22</f>
        <v>4069.5153251097836</v>
      </c>
      <c r="K25" s="23">
        <f>$B$6*Data!F23/Data!F22</f>
        <v>3033.4395787858743</v>
      </c>
      <c r="L25" s="23">
        <f>$B$7*Data!I23/Data!I22</f>
        <v>995.18798408924999</v>
      </c>
      <c r="M25" s="23">
        <f>$B$8*Data!L23/Data!L22</f>
        <v>2013.9632785811125</v>
      </c>
      <c r="N25" s="23">
        <f t="shared" si="5"/>
        <v>10112.10616656602</v>
      </c>
      <c r="O25" s="23">
        <f t="shared" si="6"/>
        <v>112.10616656601997</v>
      </c>
      <c r="P25" s="23">
        <f t="shared" si="7"/>
        <v>-112.10616656601997</v>
      </c>
      <c r="R25" s="36">
        <v>400</v>
      </c>
      <c r="S25" s="36">
        <v>0</v>
      </c>
      <c r="T25" s="46">
        <f t="shared" si="8"/>
        <v>0</v>
      </c>
      <c r="U25" s="46">
        <f>SUM($T$5:T25)</f>
        <v>1</v>
      </c>
      <c r="W25">
        <f t="shared" si="0"/>
        <v>400</v>
      </c>
      <c r="X25" s="41">
        <f t="shared" si="1"/>
        <v>0.99999999996460276</v>
      </c>
      <c r="Y25" s="5">
        <f t="shared" si="9"/>
        <v>5.6742354148653362E-9</v>
      </c>
      <c r="AA25">
        <f t="shared" si="2"/>
        <v>400</v>
      </c>
      <c r="AB25" s="31">
        <f t="shared" si="3"/>
        <v>-21.388490278940772</v>
      </c>
      <c r="AC25" s="5">
        <f t="shared" si="4"/>
        <v>1.0894030103808195E-3</v>
      </c>
      <c r="AD25" s="5">
        <f t="shared" si="10"/>
        <v>3.3004555316617319E-4</v>
      </c>
    </row>
    <row r="26" spans="1:30" x14ac:dyDescent="0.3">
      <c r="A26" s="2"/>
      <c r="B26" s="1"/>
      <c r="C26" s="1"/>
      <c r="I26">
        <v>22</v>
      </c>
      <c r="J26" s="23">
        <f>$B$5*Data!C24/Data!C23</f>
        <v>3994.90406067191</v>
      </c>
      <c r="K26" s="23">
        <f>$B$6*Data!F24/Data!F23</f>
        <v>3057.8895731348953</v>
      </c>
      <c r="L26" s="23">
        <f>$B$7*Data!I24/Data!I23</f>
        <v>998.18459175777821</v>
      </c>
      <c r="M26" s="23">
        <f>$B$8*Data!L24/Data!L23</f>
        <v>2004.4736032365013</v>
      </c>
      <c r="N26" s="23">
        <f t="shared" si="5"/>
        <v>10055.451828801084</v>
      </c>
      <c r="O26" s="23">
        <f t="shared" si="6"/>
        <v>55.451828801084048</v>
      </c>
      <c r="P26" s="23">
        <f t="shared" si="7"/>
        <v>-55.451828801084048</v>
      </c>
      <c r="R26" s="36">
        <v>450</v>
      </c>
      <c r="S26" s="36">
        <v>0</v>
      </c>
      <c r="T26" s="46">
        <f t="shared" si="8"/>
        <v>0</v>
      </c>
      <c r="U26" s="46">
        <f>SUM($T$5:T26)</f>
        <v>1</v>
      </c>
      <c r="W26">
        <f t="shared" si="0"/>
        <v>450</v>
      </c>
      <c r="X26" s="41">
        <f t="shared" si="1"/>
        <v>0.99999999999988476</v>
      </c>
      <c r="Y26" s="5">
        <f t="shared" si="9"/>
        <v>3.5281999544167775E-11</v>
      </c>
      <c r="AA26">
        <f t="shared" si="2"/>
        <v>450</v>
      </c>
      <c r="AB26" s="31">
        <f t="shared" si="3"/>
        <v>-24.048655011452006</v>
      </c>
      <c r="AC26" s="5">
        <f t="shared" si="4"/>
        <v>8.62310745062093E-4</v>
      </c>
      <c r="AD26" s="5">
        <f t="shared" si="10"/>
        <v>2.2709226531872654E-4</v>
      </c>
    </row>
    <row r="27" spans="1:30" x14ac:dyDescent="0.3">
      <c r="A27" s="2"/>
      <c r="B27" s="2"/>
      <c r="C27" s="1"/>
      <c r="I27">
        <v>23</v>
      </c>
      <c r="J27" s="23">
        <f>$B$5*Data!C25/Data!C24</f>
        <v>3974.5456937101012</v>
      </c>
      <c r="K27" s="23">
        <f>$B$6*Data!F25/Data!F24</f>
        <v>3000.6759891077695</v>
      </c>
      <c r="L27" s="23">
        <f>$B$7*Data!I25/Data!I24</f>
        <v>983.7876635979319</v>
      </c>
      <c r="M27" s="23">
        <f>$B$8*Data!L25/Data!L24</f>
        <v>2015.7874786033415</v>
      </c>
      <c r="N27" s="23">
        <f t="shared" si="5"/>
        <v>9974.7968250191443</v>
      </c>
      <c r="O27" s="23">
        <f t="shared" si="6"/>
        <v>-25.203174980855692</v>
      </c>
      <c r="P27" s="23">
        <f t="shared" si="7"/>
        <v>25.203174980855692</v>
      </c>
      <c r="R27" s="36">
        <v>500</v>
      </c>
      <c r="S27" s="36">
        <v>0</v>
      </c>
      <c r="T27" s="46">
        <f t="shared" si="8"/>
        <v>0</v>
      </c>
      <c r="U27" s="46">
        <f>SUM($T$5:T27)</f>
        <v>1</v>
      </c>
      <c r="W27">
        <f t="shared" si="0"/>
        <v>500</v>
      </c>
      <c r="X27" s="41">
        <f t="shared" si="1"/>
        <v>0.99999999999999978</v>
      </c>
      <c r="Y27" s="5">
        <f t="shared" si="9"/>
        <v>1.1501910535116622E-13</v>
      </c>
      <c r="AA27">
        <f t="shared" si="2"/>
        <v>500</v>
      </c>
      <c r="AB27" s="31">
        <f t="shared" si="3"/>
        <v>-26.708819743963243</v>
      </c>
      <c r="AC27" s="5">
        <f t="shared" si="4"/>
        <v>6.9943696512429516E-4</v>
      </c>
      <c r="AD27" s="5">
        <f t="shared" si="10"/>
        <v>1.6287377993779784E-4</v>
      </c>
    </row>
    <row r="28" spans="1:30" x14ac:dyDescent="0.3">
      <c r="A28" s="2"/>
      <c r="B28" s="1"/>
      <c r="C28" s="1"/>
      <c r="I28">
        <v>24</v>
      </c>
      <c r="J28" s="23">
        <f>$B$5*Data!C26/Data!C25</f>
        <v>3977.1019109434342</v>
      </c>
      <c r="K28" s="23">
        <f>$B$6*Data!F26/Data!F25</f>
        <v>2984.1995107395333</v>
      </c>
      <c r="L28" s="23">
        <f>$B$7*Data!I26/Data!I25</f>
        <v>1002.9136366570619</v>
      </c>
      <c r="M28" s="23">
        <f>$B$8*Data!L26/Data!L25</f>
        <v>2012.6900759299376</v>
      </c>
      <c r="N28" s="23">
        <f t="shared" si="5"/>
        <v>9976.9051342699659</v>
      </c>
      <c r="O28" s="23">
        <f t="shared" si="6"/>
        <v>-23.094865730034144</v>
      </c>
      <c r="P28" s="23">
        <f t="shared" si="7"/>
        <v>23.094865730034144</v>
      </c>
      <c r="W28" s="42"/>
      <c r="X28" s="43"/>
      <c r="Y28" s="43"/>
    </row>
    <row r="29" spans="1:30" x14ac:dyDescent="0.3">
      <c r="A29" s="2"/>
      <c r="B29" s="1"/>
      <c r="C29" s="1"/>
      <c r="I29">
        <v>25</v>
      </c>
      <c r="J29" s="23">
        <f>$B$5*Data!C27/Data!C26</f>
        <v>3996.872278371708</v>
      </c>
      <c r="K29" s="23">
        <f>$B$6*Data!F27/Data!F26</f>
        <v>3010.124683636785</v>
      </c>
      <c r="L29" s="23">
        <f>$B$7*Data!I27/Data!I26</f>
        <v>1006.9275232642336</v>
      </c>
      <c r="M29" s="23">
        <f>$B$8*Data!L27/Data!L26</f>
        <v>1984.3133031764121</v>
      </c>
      <c r="N29" s="23">
        <f t="shared" si="5"/>
        <v>9998.2377884491398</v>
      </c>
      <c r="O29" s="23">
        <f t="shared" si="6"/>
        <v>-1.7622115508602292</v>
      </c>
      <c r="P29" s="23">
        <f t="shared" si="7"/>
        <v>1.7622115508602292</v>
      </c>
      <c r="W29" s="42"/>
      <c r="X29" s="43"/>
      <c r="Y29" s="43"/>
    </row>
    <row r="30" spans="1:30" x14ac:dyDescent="0.3">
      <c r="A30" s="2"/>
      <c r="B30" s="1"/>
      <c r="C30" s="1"/>
      <c r="I30">
        <v>26</v>
      </c>
      <c r="J30" s="23">
        <f>$B$5*Data!C28/Data!C27</f>
        <v>4006.8137891947904</v>
      </c>
      <c r="K30" s="23">
        <f>$B$6*Data!F28/Data!F27</f>
        <v>2996.2782934185816</v>
      </c>
      <c r="L30" s="23">
        <f>$B$7*Data!I28/Data!I27</f>
        <v>1001.1179744366081</v>
      </c>
      <c r="M30" s="23">
        <f>$B$8*Data!L28/Data!L27</f>
        <v>2006.8827828714245</v>
      </c>
      <c r="N30" s="23">
        <f t="shared" si="5"/>
        <v>10011.092839921404</v>
      </c>
      <c r="O30" s="23">
        <f t="shared" si="6"/>
        <v>11.092839921404448</v>
      </c>
      <c r="P30" s="23">
        <f t="shared" si="7"/>
        <v>-11.092839921404448</v>
      </c>
      <c r="W30" s="42"/>
    </row>
    <row r="31" spans="1:30" x14ac:dyDescent="0.3">
      <c r="A31" s="2"/>
      <c r="B31" s="1"/>
      <c r="C31" s="1"/>
      <c r="I31">
        <v>27</v>
      </c>
      <c r="J31" s="23">
        <f>$B$5*Data!C29/Data!C28</f>
        <v>3943.1832182906928</v>
      </c>
      <c r="K31" s="23">
        <f>$B$6*Data!F29/Data!F28</f>
        <v>3001.1226976665503</v>
      </c>
      <c r="L31" s="23">
        <f>$B$7*Data!I29/Data!I28</f>
        <v>986.95613227118622</v>
      </c>
      <c r="M31" s="23">
        <f>$B$8*Data!L29/Data!L28</f>
        <v>1985.2668336191937</v>
      </c>
      <c r="N31" s="23">
        <f t="shared" si="5"/>
        <v>9916.528881847622</v>
      </c>
      <c r="O31" s="23">
        <f t="shared" si="6"/>
        <v>-83.47111815237804</v>
      </c>
      <c r="P31" s="23">
        <f t="shared" si="7"/>
        <v>83.47111815237804</v>
      </c>
      <c r="W31" s="42"/>
    </row>
    <row r="32" spans="1:30" x14ac:dyDescent="0.3">
      <c r="A32" s="2"/>
      <c r="B32" s="1"/>
      <c r="C32" s="1"/>
      <c r="I32">
        <v>28</v>
      </c>
      <c r="J32" s="23">
        <f>$B$5*Data!C30/Data!C29</f>
        <v>4005.9272210246977</v>
      </c>
      <c r="K32" s="23">
        <f>$B$6*Data!F30/Data!F29</f>
        <v>3003.4432504025453</v>
      </c>
      <c r="L32" s="23">
        <f>$B$7*Data!I30/Data!I29</f>
        <v>1003.3727941938333</v>
      </c>
      <c r="M32" s="23">
        <f>$B$8*Data!L30/Data!L29</f>
        <v>1988.8865822094251</v>
      </c>
      <c r="N32" s="23">
        <f t="shared" si="5"/>
        <v>10001.629847830502</v>
      </c>
      <c r="O32" s="23">
        <f t="shared" si="6"/>
        <v>1.6298478305016033</v>
      </c>
      <c r="P32" s="23">
        <f t="shared" si="7"/>
        <v>-1.6298478305016033</v>
      </c>
      <c r="W32" s="42"/>
    </row>
    <row r="33" spans="9:23" x14ac:dyDescent="0.3">
      <c r="I33">
        <v>29</v>
      </c>
      <c r="J33" s="23">
        <f>$B$5*Data!C31/Data!C30</f>
        <v>3992.6240415926809</v>
      </c>
      <c r="K33" s="23">
        <f>$B$6*Data!F31/Data!F30</f>
        <v>2987.1242036030749</v>
      </c>
      <c r="L33" s="23">
        <f>$B$7*Data!I31/Data!I30</f>
        <v>1004.7267375726767</v>
      </c>
      <c r="M33" s="23">
        <f>$B$8*Data!L31/Data!L30</f>
        <v>1989.5074745865054</v>
      </c>
      <c r="N33" s="23">
        <f t="shared" si="5"/>
        <v>9973.9824573549377</v>
      </c>
      <c r="O33" s="23">
        <f t="shared" si="6"/>
        <v>-26.017542645062349</v>
      </c>
      <c r="P33" s="23">
        <f t="shared" si="7"/>
        <v>26.017542645062349</v>
      </c>
      <c r="W33" s="42"/>
    </row>
    <row r="34" spans="9:23" x14ac:dyDescent="0.3">
      <c r="I34">
        <v>30</v>
      </c>
      <c r="J34" s="23">
        <f>$B$5*Data!C32/Data!C31</f>
        <v>3899.3484452606426</v>
      </c>
      <c r="K34" s="23">
        <f>$B$6*Data!F32/Data!F31</f>
        <v>2967.1996813771671</v>
      </c>
      <c r="L34" s="23">
        <f>$B$7*Data!I32/Data!I31</f>
        <v>985.41498834855963</v>
      </c>
      <c r="M34" s="23">
        <f>$B$8*Data!L32/Data!L31</f>
        <v>2017.9585468222344</v>
      </c>
      <c r="N34" s="23">
        <f t="shared" si="5"/>
        <v>9869.9216618086048</v>
      </c>
      <c r="O34" s="23">
        <f t="shared" si="6"/>
        <v>-130.07833819139523</v>
      </c>
      <c r="P34" s="23">
        <f t="shared" si="7"/>
        <v>130.07833819139523</v>
      </c>
      <c r="W34" s="42"/>
    </row>
    <row r="35" spans="9:23" x14ac:dyDescent="0.3">
      <c r="I35">
        <v>31</v>
      </c>
      <c r="J35" s="23">
        <f>$B$5*Data!C33/Data!C32</f>
        <v>3916.1324781089365</v>
      </c>
      <c r="K35" s="23">
        <f>$B$6*Data!F33/Data!F32</f>
        <v>2926.4496984634502</v>
      </c>
      <c r="L35" s="23">
        <f>$B$7*Data!I33/Data!I32</f>
        <v>985.60279169664909</v>
      </c>
      <c r="M35" s="23">
        <f>$B$8*Data!L33/Data!L32</f>
        <v>2016.7288259355539</v>
      </c>
      <c r="N35" s="23">
        <f t="shared" si="5"/>
        <v>9844.9137942045891</v>
      </c>
      <c r="O35" s="23">
        <f t="shared" si="6"/>
        <v>-155.08620579541093</v>
      </c>
      <c r="P35" s="23">
        <f t="shared" si="7"/>
        <v>155.08620579541093</v>
      </c>
      <c r="W35" s="42"/>
    </row>
    <row r="36" spans="9:23" x14ac:dyDescent="0.3">
      <c r="I36">
        <v>32</v>
      </c>
      <c r="J36" s="23">
        <f>$B$5*Data!C34/Data!C33</f>
        <v>4108.6290229396236</v>
      </c>
      <c r="K36" s="23">
        <f>$B$6*Data!F34/Data!F33</f>
        <v>3023.7036705977057</v>
      </c>
      <c r="L36" s="23">
        <f>$B$7*Data!I34/Data!I33</f>
        <v>991.90761551654032</v>
      </c>
      <c r="M36" s="23">
        <f>$B$8*Data!L34/Data!L33</f>
        <v>1907.9658682583604</v>
      </c>
      <c r="N36" s="23">
        <f t="shared" si="5"/>
        <v>10032.20617731223</v>
      </c>
      <c r="O36" s="23">
        <f t="shared" si="6"/>
        <v>32.206177312229556</v>
      </c>
      <c r="P36" s="23">
        <f t="shared" si="7"/>
        <v>-32.206177312229556</v>
      </c>
      <c r="W36" s="37"/>
    </row>
    <row r="37" spans="9:23" x14ac:dyDescent="0.3">
      <c r="I37">
        <v>33</v>
      </c>
      <c r="J37" s="23">
        <f>$B$5*Data!C35/Data!C34</f>
        <v>3930.8947642083681</v>
      </c>
      <c r="K37" s="23">
        <f>$B$6*Data!F35/Data!F34</f>
        <v>3023.7712239199386</v>
      </c>
      <c r="L37" s="23">
        <f>$B$7*Data!I35/Data!I34</f>
        <v>1012.9447292113952</v>
      </c>
      <c r="M37" s="23">
        <f>$B$8*Data!L35/Data!L34</f>
        <v>2004.9137185898019</v>
      </c>
      <c r="N37" s="23">
        <f t="shared" si="5"/>
        <v>9972.5244359295048</v>
      </c>
      <c r="O37" s="23">
        <f t="shared" si="6"/>
        <v>-27.475564070495238</v>
      </c>
      <c r="P37" s="23">
        <f t="shared" si="7"/>
        <v>27.475564070495238</v>
      </c>
      <c r="W37" s="37"/>
    </row>
    <row r="38" spans="9:23" x14ac:dyDescent="0.3">
      <c r="I38">
        <v>34</v>
      </c>
      <c r="J38" s="23">
        <f>$B$5*Data!C36/Data!C35</f>
        <v>3988.3333716212064</v>
      </c>
      <c r="K38" s="23">
        <f>$B$6*Data!F36/Data!F35</f>
        <v>2925.1432216292587</v>
      </c>
      <c r="L38" s="23">
        <f>$B$7*Data!I36/Data!I35</f>
        <v>998.13106546688778</v>
      </c>
      <c r="M38" s="23">
        <f>$B$8*Data!L36/Data!L35</f>
        <v>2047.3160082964903</v>
      </c>
      <c r="N38" s="23">
        <f t="shared" si="5"/>
        <v>9958.9236670138434</v>
      </c>
      <c r="O38" s="23">
        <f t="shared" si="6"/>
        <v>-41.076332986156558</v>
      </c>
      <c r="P38" s="23">
        <f t="shared" si="7"/>
        <v>41.076332986156558</v>
      </c>
      <c r="W38" s="37"/>
    </row>
    <row r="39" spans="9:23" x14ac:dyDescent="0.3">
      <c r="I39">
        <v>35</v>
      </c>
      <c r="J39" s="23">
        <f>$B$5*Data!C37/Data!C36</f>
        <v>4055.078874472169</v>
      </c>
      <c r="K39" s="23">
        <f>$B$6*Data!F37/Data!F36</f>
        <v>3007.0798394065096</v>
      </c>
      <c r="L39" s="23">
        <f>$B$7*Data!I37/Data!I36</f>
        <v>1016.1043165611594</v>
      </c>
      <c r="M39" s="23">
        <f>$B$8*Data!L37/Data!L36</f>
        <v>1965.129787036745</v>
      </c>
      <c r="N39" s="23">
        <f t="shared" si="5"/>
        <v>10043.392817476582</v>
      </c>
      <c r="O39" s="23">
        <f t="shared" si="6"/>
        <v>43.392817476582422</v>
      </c>
      <c r="P39" s="23">
        <f t="shared" si="7"/>
        <v>-43.392817476582422</v>
      </c>
      <c r="W39" s="37"/>
    </row>
    <row r="40" spans="9:23" x14ac:dyDescent="0.3">
      <c r="I40">
        <v>36</v>
      </c>
      <c r="J40" s="23">
        <f>$B$5*Data!C38/Data!C37</f>
        <v>3910.6503063209902</v>
      </c>
      <c r="K40" s="23">
        <f>$B$6*Data!F38/Data!F37</f>
        <v>3008.6449658554129</v>
      </c>
      <c r="L40" s="23">
        <f>$B$7*Data!I38/Data!I37</f>
        <v>991.32417483494976</v>
      </c>
      <c r="M40" s="23">
        <f>$B$8*Data!L38/Data!L37</f>
        <v>2008.0610204780246</v>
      </c>
      <c r="N40" s="23">
        <f t="shared" si="5"/>
        <v>9918.6804674893774</v>
      </c>
      <c r="O40" s="23">
        <f t="shared" si="6"/>
        <v>-81.319532510622594</v>
      </c>
      <c r="P40" s="23">
        <f t="shared" si="7"/>
        <v>81.319532510622594</v>
      </c>
      <c r="W40" s="37"/>
    </row>
    <row r="41" spans="9:23" x14ac:dyDescent="0.3">
      <c r="I41">
        <v>37</v>
      </c>
      <c r="J41" s="23">
        <f>$B$5*Data!C39/Data!C38</f>
        <v>4050.459462834739</v>
      </c>
      <c r="K41" s="23">
        <f>$B$6*Data!F39/Data!F38</f>
        <v>2934.2536806138214</v>
      </c>
      <c r="L41" s="23">
        <f>$B$7*Data!I39/Data!I38</f>
        <v>996.93291236298921</v>
      </c>
      <c r="M41" s="23">
        <f>$B$8*Data!L39/Data!L38</f>
        <v>2034.1058884699564</v>
      </c>
      <c r="N41" s="23">
        <f t="shared" si="5"/>
        <v>10015.751944281506</v>
      </c>
      <c r="O41" s="23">
        <f t="shared" si="6"/>
        <v>15.751944281506439</v>
      </c>
      <c r="P41" s="23">
        <f t="shared" si="7"/>
        <v>-15.751944281506439</v>
      </c>
      <c r="W41" s="37"/>
    </row>
    <row r="42" spans="9:23" x14ac:dyDescent="0.3">
      <c r="I42">
        <v>38</v>
      </c>
      <c r="J42" s="23">
        <f>$B$5*Data!C40/Data!C39</f>
        <v>4046.2659306037717</v>
      </c>
      <c r="K42" s="23">
        <f>$B$6*Data!F40/Data!F39</f>
        <v>3033.1569598155224</v>
      </c>
      <c r="L42" s="23">
        <f>$B$7*Data!I40/Data!I39</f>
        <v>1026.7969986538421</v>
      </c>
      <c r="M42" s="23">
        <f>$B$8*Data!L40/Data!L39</f>
        <v>1991.1673441172352</v>
      </c>
      <c r="N42" s="23">
        <f t="shared" si="5"/>
        <v>10097.387233190371</v>
      </c>
      <c r="O42" s="23">
        <f t="shared" si="6"/>
        <v>97.387233190371262</v>
      </c>
      <c r="P42" s="23">
        <f t="shared" si="7"/>
        <v>-97.387233190371262</v>
      </c>
      <c r="W42" s="37"/>
    </row>
    <row r="43" spans="9:23" x14ac:dyDescent="0.3">
      <c r="I43">
        <v>39</v>
      </c>
      <c r="J43" s="23">
        <f>$B$5*Data!C41/Data!C40</f>
        <v>4027.4514554142966</v>
      </c>
      <c r="K43" s="23">
        <f>$B$6*Data!F41/Data!F40</f>
        <v>3038.6639040369705</v>
      </c>
      <c r="L43" s="23">
        <f>$B$7*Data!I41/Data!I40</f>
        <v>989.64801630693285</v>
      </c>
      <c r="M43" s="23">
        <f>$B$8*Data!L41/Data!L40</f>
        <v>1989.4772211089064</v>
      </c>
      <c r="N43" s="23">
        <f t="shared" si="5"/>
        <v>10045.240596867106</v>
      </c>
      <c r="O43" s="23">
        <f t="shared" si="6"/>
        <v>45.240596867106433</v>
      </c>
      <c r="P43" s="23">
        <f t="shared" si="7"/>
        <v>-45.240596867106433</v>
      </c>
      <c r="W43" s="37"/>
    </row>
    <row r="44" spans="9:23" x14ac:dyDescent="0.3">
      <c r="I44">
        <v>40</v>
      </c>
      <c r="J44" s="23">
        <f>$B$5*Data!C42/Data!C41</f>
        <v>3912.3190051658858</v>
      </c>
      <c r="K44" s="23">
        <f>$B$6*Data!F42/Data!F41</f>
        <v>3049.5369258896794</v>
      </c>
      <c r="L44" s="23">
        <f>$B$7*Data!I42/Data!I41</f>
        <v>995.47429261705327</v>
      </c>
      <c r="M44" s="23">
        <f>$B$8*Data!L42/Data!L41</f>
        <v>2007.4952238066107</v>
      </c>
      <c r="N44" s="23">
        <f t="shared" si="5"/>
        <v>9964.8254474792284</v>
      </c>
      <c r="O44" s="23">
        <f t="shared" si="6"/>
        <v>-35.174552520771613</v>
      </c>
      <c r="P44" s="23">
        <f t="shared" si="7"/>
        <v>35.174552520771613</v>
      </c>
      <c r="W44" s="37"/>
    </row>
    <row r="45" spans="9:23" x14ac:dyDescent="0.3">
      <c r="I45">
        <v>41</v>
      </c>
      <c r="J45" s="23">
        <f>$B$5*Data!C43/Data!C42</f>
        <v>4013.3461949598345</v>
      </c>
      <c r="K45" s="23">
        <f>$B$6*Data!F43/Data!F42</f>
        <v>3016.4963518888135</v>
      </c>
      <c r="L45" s="23">
        <f>$B$7*Data!I43/Data!I42</f>
        <v>1013.6243844120758</v>
      </c>
      <c r="M45" s="23">
        <f>$B$8*Data!L43/Data!L42</f>
        <v>2008.3854203934716</v>
      </c>
      <c r="N45" s="23">
        <f t="shared" si="5"/>
        <v>10051.852351654194</v>
      </c>
      <c r="O45" s="23">
        <f t="shared" si="6"/>
        <v>51.852351654193626</v>
      </c>
      <c r="P45" s="23">
        <f t="shared" si="7"/>
        <v>-51.852351654193626</v>
      </c>
      <c r="W45" s="37"/>
    </row>
    <row r="46" spans="9:23" x14ac:dyDescent="0.3">
      <c r="I46">
        <v>42</v>
      </c>
      <c r="J46" s="23">
        <f>$B$5*Data!C44/Data!C43</f>
        <v>4066.9078150162591</v>
      </c>
      <c r="K46" s="23">
        <f>$B$6*Data!F44/Data!F43</f>
        <v>2993.549848291354</v>
      </c>
      <c r="L46" s="23">
        <f>$B$7*Data!I44/Data!I43</f>
        <v>986.71974445254216</v>
      </c>
      <c r="M46" s="23">
        <f>$B$8*Data!L44/Data!L43</f>
        <v>1981.8096631854498</v>
      </c>
      <c r="N46" s="23">
        <f t="shared" si="5"/>
        <v>10028.987070945605</v>
      </c>
      <c r="O46" s="23">
        <f t="shared" si="6"/>
        <v>28.987070945604501</v>
      </c>
      <c r="P46" s="23">
        <f t="shared" si="7"/>
        <v>-28.987070945604501</v>
      </c>
      <c r="W46" s="37"/>
    </row>
    <row r="47" spans="9:23" x14ac:dyDescent="0.3">
      <c r="I47">
        <v>43</v>
      </c>
      <c r="J47" s="23">
        <f>$B$5*Data!C45/Data!C44</f>
        <v>3977.8985417374097</v>
      </c>
      <c r="K47" s="23">
        <f>$B$6*Data!F45/Data!F44</f>
        <v>2997.7718954397496</v>
      </c>
      <c r="L47" s="23">
        <f>$B$7*Data!I45/Data!I44</f>
        <v>1004.0393873709264</v>
      </c>
      <c r="M47" s="23">
        <f>$B$8*Data!L45/Data!L44</f>
        <v>2011.2777480384377</v>
      </c>
      <c r="N47" s="23">
        <f t="shared" si="5"/>
        <v>9990.987572586524</v>
      </c>
      <c r="O47" s="23">
        <f t="shared" si="6"/>
        <v>-9.0124274134759617</v>
      </c>
      <c r="P47" s="23">
        <f t="shared" si="7"/>
        <v>9.0124274134759617</v>
      </c>
      <c r="W47" s="37"/>
    </row>
    <row r="48" spans="9:23" x14ac:dyDescent="0.3">
      <c r="I48">
        <v>44</v>
      </c>
      <c r="J48" s="23">
        <f>$B$5*Data!C46/Data!C45</f>
        <v>4033.0030005212257</v>
      </c>
      <c r="K48" s="23">
        <f>$B$6*Data!F46/Data!F45</f>
        <v>2952.0139324501979</v>
      </c>
      <c r="L48" s="23">
        <f>$B$7*Data!I46/Data!I45</f>
        <v>1003.6965202995063</v>
      </c>
      <c r="M48" s="23">
        <f>$B$8*Data!L46/Data!L45</f>
        <v>2012.0535197494607</v>
      </c>
      <c r="N48" s="23">
        <f t="shared" si="5"/>
        <v>10000.766973020391</v>
      </c>
      <c r="O48" s="23">
        <f t="shared" si="6"/>
        <v>0.76697302039065107</v>
      </c>
      <c r="P48" s="23">
        <f t="shared" si="7"/>
        <v>-0.76697302039065107</v>
      </c>
      <c r="W48" s="37"/>
    </row>
    <row r="49" spans="9:23" x14ac:dyDescent="0.3">
      <c r="I49">
        <v>45</v>
      </c>
      <c r="J49" s="23">
        <f>$B$5*Data!C47/Data!C46</f>
        <v>3988.4534986559765</v>
      </c>
      <c r="K49" s="23">
        <f>$B$6*Data!F47/Data!F46</f>
        <v>2974.9792256755272</v>
      </c>
      <c r="L49" s="23">
        <f>$B$7*Data!I47/Data!I46</f>
        <v>992.53375590414566</v>
      </c>
      <c r="M49" s="23">
        <f>$B$8*Data!L47/Data!L46</f>
        <v>1984.1837176048664</v>
      </c>
      <c r="N49" s="23">
        <f t="shared" si="5"/>
        <v>9940.1501978405158</v>
      </c>
      <c r="O49" s="23">
        <f t="shared" si="6"/>
        <v>-59.84980215948417</v>
      </c>
      <c r="P49" s="23">
        <f t="shared" si="7"/>
        <v>59.84980215948417</v>
      </c>
      <c r="W49" s="37"/>
    </row>
    <row r="50" spans="9:23" x14ac:dyDescent="0.3">
      <c r="I50">
        <v>46</v>
      </c>
      <c r="J50" s="23">
        <f>$B$5*Data!C48/Data!C47</f>
        <v>4032.4361534505247</v>
      </c>
      <c r="K50" s="23">
        <f>$B$6*Data!F48/Data!F47</f>
        <v>3022.1037662888461</v>
      </c>
      <c r="L50" s="23">
        <f>$B$7*Data!I48/Data!I47</f>
        <v>1008.3553081788828</v>
      </c>
      <c r="M50" s="23">
        <f>$B$8*Data!L48/Data!L47</f>
        <v>2007.9120747481213</v>
      </c>
      <c r="N50" s="23">
        <f t="shared" si="5"/>
        <v>10070.807302666375</v>
      </c>
      <c r="O50" s="23">
        <f t="shared" si="6"/>
        <v>70.807302666375108</v>
      </c>
      <c r="P50" s="23">
        <f t="shared" si="7"/>
        <v>-70.807302666375108</v>
      </c>
      <c r="W50" s="37"/>
    </row>
    <row r="51" spans="9:23" x14ac:dyDescent="0.3">
      <c r="I51">
        <v>47</v>
      </c>
      <c r="J51" s="23">
        <f>$B$5*Data!C49/Data!C48</f>
        <v>4042.6460192719323</v>
      </c>
      <c r="K51" s="23">
        <f>$B$6*Data!F49/Data!F48</f>
        <v>3042.0207982367069</v>
      </c>
      <c r="L51" s="23">
        <f>$B$7*Data!I49/Data!I48</f>
        <v>996.33117762394568</v>
      </c>
      <c r="M51" s="23">
        <f>$B$8*Data!L49/Data!L48</f>
        <v>2020.2558220242877</v>
      </c>
      <c r="N51" s="23">
        <f t="shared" si="5"/>
        <v>10101.253817156874</v>
      </c>
      <c r="O51" s="23">
        <f t="shared" si="6"/>
        <v>101.25381715687399</v>
      </c>
      <c r="P51" s="23">
        <f t="shared" si="7"/>
        <v>-101.25381715687399</v>
      </c>
      <c r="W51" s="37"/>
    </row>
    <row r="52" spans="9:23" x14ac:dyDescent="0.3">
      <c r="I52">
        <v>48</v>
      </c>
      <c r="J52" s="23">
        <f>$B$5*Data!C50/Data!C49</f>
        <v>4003.3254632022085</v>
      </c>
      <c r="K52" s="23">
        <f>$B$6*Data!F50/Data!F49</f>
        <v>2971.6583408176098</v>
      </c>
      <c r="L52" s="23">
        <f>$B$7*Data!I50/Data!I49</f>
        <v>1002.1513085031993</v>
      </c>
      <c r="M52" s="23">
        <f>$B$8*Data!L50/Data!L49</f>
        <v>1998.8161855642579</v>
      </c>
      <c r="N52" s="23">
        <f t="shared" si="5"/>
        <v>9975.9512980872751</v>
      </c>
      <c r="O52" s="23">
        <f t="shared" si="6"/>
        <v>-24.048701912724937</v>
      </c>
      <c r="P52" s="23">
        <f t="shared" si="7"/>
        <v>24.048701912724937</v>
      </c>
      <c r="W52" s="37"/>
    </row>
    <row r="53" spans="9:23" x14ac:dyDescent="0.3">
      <c r="I53">
        <v>49</v>
      </c>
      <c r="J53" s="23">
        <f>$B$5*Data!C51/Data!C50</f>
        <v>3977.0955008968403</v>
      </c>
      <c r="K53" s="23">
        <f>$B$6*Data!F51/Data!F50</f>
        <v>2983.832476676434</v>
      </c>
      <c r="L53" s="23">
        <f>$B$7*Data!I51/Data!I50</f>
        <v>995.19567383446622</v>
      </c>
      <c r="M53" s="23">
        <f>$B$8*Data!L51/Data!L50</f>
        <v>2014.128512559631</v>
      </c>
      <c r="N53" s="23">
        <f t="shared" si="5"/>
        <v>9970.2521639673705</v>
      </c>
      <c r="O53" s="23">
        <f t="shared" si="6"/>
        <v>-29.747836032629493</v>
      </c>
      <c r="P53" s="23">
        <f t="shared" si="7"/>
        <v>29.747836032629493</v>
      </c>
      <c r="W53" s="37"/>
    </row>
    <row r="54" spans="9:23" x14ac:dyDescent="0.3">
      <c r="I54">
        <v>50</v>
      </c>
      <c r="J54" s="23">
        <f>$B$5*Data!C52/Data!C51</f>
        <v>3965.8538711480332</v>
      </c>
      <c r="K54" s="23">
        <f>$B$6*Data!F52/Data!F51</f>
        <v>3037.8629063605827</v>
      </c>
      <c r="L54" s="23">
        <f>$B$7*Data!I52/Data!I51</f>
        <v>999.35812823667163</v>
      </c>
      <c r="M54" s="23">
        <f>$B$8*Data!L52/Data!L51</f>
        <v>2020.5780101102744</v>
      </c>
      <c r="N54" s="23">
        <f t="shared" si="5"/>
        <v>10023.652915855562</v>
      </c>
      <c r="O54" s="23">
        <f t="shared" si="6"/>
        <v>23.652915855562242</v>
      </c>
      <c r="P54" s="23">
        <f t="shared" si="7"/>
        <v>-23.652915855562242</v>
      </c>
      <c r="W54" s="37"/>
    </row>
    <row r="55" spans="9:23" x14ac:dyDescent="0.3">
      <c r="I55">
        <v>51</v>
      </c>
      <c r="J55" s="23">
        <f>$B$5*Data!C53/Data!C52</f>
        <v>4000.2249260428539</v>
      </c>
      <c r="K55" s="23">
        <f>$B$6*Data!F53/Data!F52</f>
        <v>2969.830843408316</v>
      </c>
      <c r="L55" s="23">
        <f>$B$7*Data!I53/Data!I52</f>
        <v>992.84254985008795</v>
      </c>
      <c r="M55" s="23">
        <f>$B$8*Data!L53/Data!L52</f>
        <v>1993.9112960914072</v>
      </c>
      <c r="N55" s="23">
        <f t="shared" si="5"/>
        <v>9956.8096153926654</v>
      </c>
      <c r="O55" s="23">
        <f t="shared" si="6"/>
        <v>-43.190384607334636</v>
      </c>
      <c r="P55" s="23">
        <f t="shared" si="7"/>
        <v>43.190384607334636</v>
      </c>
      <c r="W55" s="37"/>
    </row>
    <row r="56" spans="9:23" x14ac:dyDescent="0.3">
      <c r="I56">
        <v>52</v>
      </c>
      <c r="J56" s="23">
        <f>$B$5*Data!C54/Data!C53</f>
        <v>3946.4777541343328</v>
      </c>
      <c r="K56" s="23">
        <f>$B$6*Data!F54/Data!F53</f>
        <v>2984.5118947102233</v>
      </c>
      <c r="L56" s="23">
        <f>$B$7*Data!I54/Data!I53</f>
        <v>989.8434520574549</v>
      </c>
      <c r="M56" s="23">
        <f>$B$8*Data!L54/Data!L53</f>
        <v>1994.7168020429385</v>
      </c>
      <c r="N56" s="23">
        <f t="shared" si="5"/>
        <v>9915.5499029449493</v>
      </c>
      <c r="O56" s="23">
        <f t="shared" si="6"/>
        <v>-84.450097055050719</v>
      </c>
      <c r="P56" s="23">
        <f t="shared" si="7"/>
        <v>84.450097055050719</v>
      </c>
      <c r="W56" s="37"/>
    </row>
    <row r="57" spans="9:23" x14ac:dyDescent="0.3">
      <c r="I57">
        <v>53</v>
      </c>
      <c r="J57" s="23">
        <f>$B$5*Data!C55/Data!C54</f>
        <v>4007.3482371122523</v>
      </c>
      <c r="K57" s="23">
        <f>$B$6*Data!F55/Data!F54</f>
        <v>2984.4315192873964</v>
      </c>
      <c r="L57" s="23">
        <f>$B$7*Data!I55/Data!I54</f>
        <v>1011.6381090601944</v>
      </c>
      <c r="M57" s="23">
        <f>$B$8*Data!L55/Data!L54</f>
        <v>1998.9927593175685</v>
      </c>
      <c r="N57" s="23">
        <f t="shared" si="5"/>
        <v>10002.410624777411</v>
      </c>
      <c r="O57" s="23">
        <f t="shared" si="6"/>
        <v>2.4106247774107032</v>
      </c>
      <c r="P57" s="23">
        <f t="shared" si="7"/>
        <v>-2.4106247774107032</v>
      </c>
      <c r="W57" s="37"/>
    </row>
    <row r="58" spans="9:23" x14ac:dyDescent="0.3">
      <c r="I58">
        <v>54</v>
      </c>
      <c r="J58" s="23">
        <f>$B$5*Data!C56/Data!C55</f>
        <v>4041.736819008187</v>
      </c>
      <c r="K58" s="23">
        <f>$B$6*Data!F56/Data!F55</f>
        <v>2999.2683346326839</v>
      </c>
      <c r="L58" s="23">
        <f>$B$7*Data!I56/Data!I55</f>
        <v>1008.2888304654393</v>
      </c>
      <c r="M58" s="23">
        <f>$B$8*Data!L56/Data!L55</f>
        <v>2026.2256505523908</v>
      </c>
      <c r="N58" s="23">
        <f t="shared" si="5"/>
        <v>10075.519634658702</v>
      </c>
      <c r="O58" s="23">
        <f t="shared" si="6"/>
        <v>75.519634658701762</v>
      </c>
      <c r="P58" s="23">
        <f t="shared" si="7"/>
        <v>-75.519634658701762</v>
      </c>
      <c r="W58" s="37"/>
    </row>
    <row r="59" spans="9:23" x14ac:dyDescent="0.3">
      <c r="I59">
        <v>55</v>
      </c>
      <c r="J59" s="23">
        <f>$B$5*Data!C57/Data!C56</f>
        <v>4004.4545000123044</v>
      </c>
      <c r="K59" s="23">
        <f>$B$6*Data!F57/Data!F56</f>
        <v>3027.2920369223853</v>
      </c>
      <c r="L59" s="23">
        <f>$B$7*Data!I57/Data!I56</f>
        <v>1002.3153039277763</v>
      </c>
      <c r="M59" s="23">
        <f>$B$8*Data!L57/Data!L56</f>
        <v>2011.1501331784702</v>
      </c>
      <c r="N59" s="23">
        <f t="shared" si="5"/>
        <v>10045.211974040936</v>
      </c>
      <c r="O59" s="23">
        <f t="shared" si="6"/>
        <v>45.211974040936184</v>
      </c>
      <c r="P59" s="23">
        <f t="shared" si="7"/>
        <v>-45.211974040936184</v>
      </c>
      <c r="W59" s="37"/>
    </row>
    <row r="60" spans="9:23" x14ac:dyDescent="0.3">
      <c r="I60">
        <v>56</v>
      </c>
      <c r="J60" s="23">
        <f>$B$5*Data!C58/Data!C57</f>
        <v>3967.2500365622823</v>
      </c>
      <c r="K60" s="23">
        <f>$B$6*Data!F58/Data!F57</f>
        <v>3052.2887338714268</v>
      </c>
      <c r="L60" s="23">
        <f>$B$7*Data!I58/Data!I57</f>
        <v>1006.9165935145286</v>
      </c>
      <c r="M60" s="23">
        <f>$B$8*Data!L58/Data!L57</f>
        <v>2011.6124638351032</v>
      </c>
      <c r="N60" s="23">
        <f t="shared" si="5"/>
        <v>10038.067827783341</v>
      </c>
      <c r="O60" s="23">
        <f t="shared" si="6"/>
        <v>38.067827783341272</v>
      </c>
      <c r="P60" s="23">
        <f t="shared" si="7"/>
        <v>-38.067827783341272</v>
      </c>
      <c r="W60" s="37"/>
    </row>
    <row r="61" spans="9:23" x14ac:dyDescent="0.3">
      <c r="I61">
        <v>57</v>
      </c>
      <c r="J61" s="23">
        <f>$B$5*Data!C59/Data!C58</f>
        <v>4010.1961819075877</v>
      </c>
      <c r="K61" s="23">
        <f>$B$6*Data!F59/Data!F58</f>
        <v>2995.8825405622251</v>
      </c>
      <c r="L61" s="23">
        <f>$B$7*Data!I59/Data!I58</f>
        <v>987.14390544455102</v>
      </c>
      <c r="M61" s="23">
        <f>$B$8*Data!L59/Data!L58</f>
        <v>2018.9563835705048</v>
      </c>
      <c r="N61" s="23">
        <f t="shared" si="5"/>
        <v>10012.179011484868</v>
      </c>
      <c r="O61" s="23">
        <f t="shared" si="6"/>
        <v>12.17901148486817</v>
      </c>
      <c r="P61" s="23">
        <f t="shared" si="7"/>
        <v>-12.17901148486817</v>
      </c>
      <c r="W61" s="37"/>
    </row>
    <row r="62" spans="9:23" x14ac:dyDescent="0.3">
      <c r="I62">
        <v>58</v>
      </c>
      <c r="J62" s="23">
        <f>$B$5*Data!C60/Data!C59</f>
        <v>3971.1765456578087</v>
      </c>
      <c r="K62" s="23">
        <f>$B$6*Data!F60/Data!F59</f>
        <v>2995.8768816380207</v>
      </c>
      <c r="L62" s="23">
        <f>$B$7*Data!I60/Data!I59</f>
        <v>1010.0295136187917</v>
      </c>
      <c r="M62" s="23">
        <f>$B$8*Data!L60/Data!L59</f>
        <v>2004.8679112264902</v>
      </c>
      <c r="N62" s="23">
        <f t="shared" si="5"/>
        <v>9981.9508521411117</v>
      </c>
      <c r="O62" s="23">
        <f t="shared" si="6"/>
        <v>-18.049147858888318</v>
      </c>
      <c r="P62" s="23">
        <f t="shared" si="7"/>
        <v>18.049147858888318</v>
      </c>
      <c r="W62" s="37"/>
    </row>
    <row r="63" spans="9:23" x14ac:dyDescent="0.3">
      <c r="I63">
        <v>59</v>
      </c>
      <c r="J63" s="23">
        <f>$B$5*Data!C61/Data!C60</f>
        <v>3990.985302142094</v>
      </c>
      <c r="K63" s="23">
        <f>$B$6*Data!F61/Data!F60</f>
        <v>2959.9160288489643</v>
      </c>
      <c r="L63" s="23">
        <f>$B$7*Data!I61/Data!I60</f>
        <v>1008.2287223397888</v>
      </c>
      <c r="M63" s="23">
        <f>$B$8*Data!L61/Data!L60</f>
        <v>1999.3928028724195</v>
      </c>
      <c r="N63" s="23">
        <f t="shared" si="5"/>
        <v>9958.522856203268</v>
      </c>
      <c r="O63" s="23">
        <f t="shared" si="6"/>
        <v>-41.47714379673198</v>
      </c>
      <c r="P63" s="23">
        <f t="shared" si="7"/>
        <v>41.47714379673198</v>
      </c>
      <c r="W63" s="37"/>
    </row>
    <row r="64" spans="9:23" x14ac:dyDescent="0.3">
      <c r="I64">
        <v>60</v>
      </c>
      <c r="J64" s="23">
        <f>$B$5*Data!C62/Data!C61</f>
        <v>4051.2447167674609</v>
      </c>
      <c r="K64" s="23">
        <f>$B$6*Data!F62/Data!F61</f>
        <v>2961.7130178568559</v>
      </c>
      <c r="L64" s="23">
        <f>$B$7*Data!I62/Data!I61</f>
        <v>996.9710380727962</v>
      </c>
      <c r="M64" s="23">
        <f>$B$8*Data!L62/Data!L61</f>
        <v>1975.7788630756163</v>
      </c>
      <c r="N64" s="23">
        <f t="shared" si="5"/>
        <v>9985.7076357727292</v>
      </c>
      <c r="O64" s="23">
        <f t="shared" si="6"/>
        <v>-14.292364227270809</v>
      </c>
      <c r="P64" s="23">
        <f t="shared" si="7"/>
        <v>14.292364227270809</v>
      </c>
      <c r="W64" s="37"/>
    </row>
    <row r="65" spans="9:23" x14ac:dyDescent="0.3">
      <c r="I65">
        <v>61</v>
      </c>
      <c r="J65" s="23">
        <f>$B$5*Data!C63/Data!C62</f>
        <v>4013.8317820992852</v>
      </c>
      <c r="K65" s="23">
        <f>$B$6*Data!F63/Data!F62</f>
        <v>3006.7926185153624</v>
      </c>
      <c r="L65" s="23">
        <f>$B$7*Data!I63/Data!I62</f>
        <v>1003.1555337625948</v>
      </c>
      <c r="M65" s="23">
        <f>$B$8*Data!L63/Data!L62</f>
        <v>2015.2439763019677</v>
      </c>
      <c r="N65" s="23">
        <f t="shared" si="5"/>
        <v>10039.023910679211</v>
      </c>
      <c r="O65" s="23">
        <f t="shared" si="6"/>
        <v>39.02391067921053</v>
      </c>
      <c r="P65" s="23">
        <f t="shared" si="7"/>
        <v>-39.02391067921053</v>
      </c>
      <c r="W65" s="37"/>
    </row>
    <row r="66" spans="9:23" x14ac:dyDescent="0.3">
      <c r="I66">
        <v>62</v>
      </c>
      <c r="J66" s="23">
        <f>$B$5*Data!C64/Data!C63</f>
        <v>3998.9374346152217</v>
      </c>
      <c r="K66" s="23">
        <f>$B$6*Data!F64/Data!F63</f>
        <v>3040.8628968529956</v>
      </c>
      <c r="L66" s="23">
        <f>$B$7*Data!I64/Data!I63</f>
        <v>999.84624869795357</v>
      </c>
      <c r="M66" s="23">
        <f>$B$8*Data!L64/Data!L63</f>
        <v>1991.7794172572264</v>
      </c>
      <c r="N66" s="23">
        <f t="shared" si="5"/>
        <v>10031.425997423397</v>
      </c>
      <c r="O66" s="23">
        <f t="shared" si="6"/>
        <v>31.425997423397348</v>
      </c>
      <c r="P66" s="23">
        <f t="shared" si="7"/>
        <v>-31.425997423397348</v>
      </c>
      <c r="W66" s="37"/>
    </row>
    <row r="67" spans="9:23" x14ac:dyDescent="0.3">
      <c r="I67">
        <v>63</v>
      </c>
      <c r="J67" s="23">
        <f>$B$5*Data!C65/Data!C64</f>
        <v>4038.7288807377663</v>
      </c>
      <c r="K67" s="23">
        <f>$B$6*Data!F65/Data!F64</f>
        <v>3013.1563571526276</v>
      </c>
      <c r="L67" s="23">
        <f>$B$7*Data!I65/Data!I64</f>
        <v>999.87407270969777</v>
      </c>
      <c r="M67" s="23">
        <f>$B$8*Data!L65/Data!L64</f>
        <v>1993.7441880125116</v>
      </c>
      <c r="N67" s="23">
        <f t="shared" si="5"/>
        <v>10045.503498612603</v>
      </c>
      <c r="O67" s="23">
        <f t="shared" si="6"/>
        <v>45.503498612602925</v>
      </c>
      <c r="P67" s="23">
        <f t="shared" si="7"/>
        <v>-45.503498612602925</v>
      </c>
      <c r="W67" s="37"/>
    </row>
    <row r="68" spans="9:23" x14ac:dyDescent="0.3">
      <c r="I68">
        <v>64</v>
      </c>
      <c r="J68" s="23">
        <f>$B$5*Data!C66/Data!C65</f>
        <v>4037.4825744547129</v>
      </c>
      <c r="K68" s="23">
        <f>$B$6*Data!F66/Data!F65</f>
        <v>3026.8285453640233</v>
      </c>
      <c r="L68" s="23">
        <f>$B$7*Data!I66/Data!I65</f>
        <v>993.33754282461746</v>
      </c>
      <c r="M68" s="23">
        <f>$B$8*Data!L66/Data!L65</f>
        <v>2017.6837063313276</v>
      </c>
      <c r="N68" s="23">
        <f t="shared" si="5"/>
        <v>10075.332368974681</v>
      </c>
      <c r="O68" s="23">
        <f t="shared" si="6"/>
        <v>75.332368974681231</v>
      </c>
      <c r="P68" s="23">
        <f t="shared" si="7"/>
        <v>-75.332368974681231</v>
      </c>
      <c r="W68" s="37"/>
    </row>
    <row r="69" spans="9:23" x14ac:dyDescent="0.3">
      <c r="I69">
        <v>65</v>
      </c>
      <c r="J69" s="23">
        <f>$B$5*Data!C67/Data!C66</f>
        <v>4006.8303831835146</v>
      </c>
      <c r="K69" s="23">
        <f>$B$6*Data!F67/Data!F66</f>
        <v>3030.46229377391</v>
      </c>
      <c r="L69" s="23">
        <f>$B$7*Data!I67/Data!I66</f>
        <v>996.06849292961624</v>
      </c>
      <c r="M69" s="23">
        <f>$B$8*Data!L67/Data!L66</f>
        <v>1980.3422502173728</v>
      </c>
      <c r="N69" s="23">
        <f t="shared" si="5"/>
        <v>10013.703420104413</v>
      </c>
      <c r="O69" s="23">
        <f t="shared" si="6"/>
        <v>13.703420104413453</v>
      </c>
      <c r="P69" s="23">
        <f t="shared" si="7"/>
        <v>-13.703420104413453</v>
      </c>
      <c r="W69" s="37"/>
    </row>
    <row r="70" spans="9:23" x14ac:dyDescent="0.3">
      <c r="I70">
        <v>66</v>
      </c>
      <c r="J70" s="23">
        <f>$B$5*Data!C68/Data!C67</f>
        <v>4003.5339580684545</v>
      </c>
      <c r="K70" s="23">
        <f>$B$6*Data!F68/Data!F67</f>
        <v>3040.3912392337133</v>
      </c>
      <c r="L70" s="23">
        <f>$B$7*Data!I68/Data!I67</f>
        <v>993.75502490011593</v>
      </c>
      <c r="M70" s="23">
        <f>$B$8*Data!L68/Data!L67</f>
        <v>2014.3615852164439</v>
      </c>
      <c r="N70" s="23">
        <f t="shared" ref="N70:N133" si="11">SUM(J70:M70)</f>
        <v>10052.041807418727</v>
      </c>
      <c r="O70" s="23">
        <f t="shared" ref="O70:O133" si="12">N70-$B$9</f>
        <v>52.041807418727331</v>
      </c>
      <c r="P70" s="23">
        <f t="shared" ref="P70:P133" si="13">-O70</f>
        <v>-52.041807418727331</v>
      </c>
      <c r="W70" s="37"/>
    </row>
    <row r="71" spans="9:23" x14ac:dyDescent="0.3">
      <c r="I71">
        <v>67</v>
      </c>
      <c r="J71" s="23">
        <f>$B$5*Data!C69/Data!C68</f>
        <v>3972.6314383556378</v>
      </c>
      <c r="K71" s="23">
        <f>$B$6*Data!F69/Data!F68</f>
        <v>2962.9958029302211</v>
      </c>
      <c r="L71" s="23">
        <f>$B$7*Data!I69/Data!I68</f>
        <v>1019.6881694572043</v>
      </c>
      <c r="M71" s="23">
        <f>$B$8*Data!L69/Data!L68</f>
        <v>2016.8909944333777</v>
      </c>
      <c r="N71" s="23">
        <f t="shared" si="11"/>
        <v>9972.206405176441</v>
      </c>
      <c r="O71" s="23">
        <f t="shared" si="12"/>
        <v>-27.793594823559033</v>
      </c>
      <c r="P71" s="23">
        <f t="shared" si="13"/>
        <v>27.793594823559033</v>
      </c>
      <c r="W71" s="37"/>
    </row>
    <row r="72" spans="9:23" x14ac:dyDescent="0.3">
      <c r="I72">
        <v>68</v>
      </c>
      <c r="J72" s="23">
        <f>$B$5*Data!C70/Data!C69</f>
        <v>4016.2422470618562</v>
      </c>
      <c r="K72" s="23">
        <f>$B$6*Data!F70/Data!F69</f>
        <v>2995.971683487981</v>
      </c>
      <c r="L72" s="23">
        <f>$B$7*Data!I70/Data!I69</f>
        <v>999.83960739282008</v>
      </c>
      <c r="M72" s="23">
        <f>$B$8*Data!L70/Data!L69</f>
        <v>2009.0961498074014</v>
      </c>
      <c r="N72" s="23">
        <f t="shared" si="11"/>
        <v>10021.149687750058</v>
      </c>
      <c r="O72" s="23">
        <f t="shared" si="12"/>
        <v>21.149687750057637</v>
      </c>
      <c r="P72" s="23">
        <f t="shared" si="13"/>
        <v>-21.149687750057637</v>
      </c>
      <c r="W72" s="37"/>
    </row>
    <row r="73" spans="9:23" x14ac:dyDescent="0.3">
      <c r="I73">
        <v>69</v>
      </c>
      <c r="J73" s="23">
        <f>$B$5*Data!C71/Data!C70</f>
        <v>3996.5765109006134</v>
      </c>
      <c r="K73" s="23">
        <f>$B$6*Data!F71/Data!F70</f>
        <v>2983.7948165985358</v>
      </c>
      <c r="L73" s="23">
        <f>$B$7*Data!I71/Data!I70</f>
        <v>1001.3780498391071</v>
      </c>
      <c r="M73" s="23">
        <f>$B$8*Data!L71/Data!L70</f>
        <v>2003.2778703034971</v>
      </c>
      <c r="N73" s="23">
        <f t="shared" si="11"/>
        <v>9985.027247641754</v>
      </c>
      <c r="O73" s="23">
        <f t="shared" si="12"/>
        <v>-14.972752358245998</v>
      </c>
      <c r="P73" s="23">
        <f t="shared" si="13"/>
        <v>14.972752358245998</v>
      </c>
      <c r="W73" s="37"/>
    </row>
    <row r="74" spans="9:23" x14ac:dyDescent="0.3">
      <c r="I74">
        <v>70</v>
      </c>
      <c r="J74" s="23">
        <f>$B$5*Data!C72/Data!C71</f>
        <v>3989.4712204078969</v>
      </c>
      <c r="K74" s="23">
        <f>$B$6*Data!F72/Data!F71</f>
        <v>3010.2539510341303</v>
      </c>
      <c r="L74" s="23">
        <f>$B$7*Data!I72/Data!I71</f>
        <v>1006.9552864125297</v>
      </c>
      <c r="M74" s="23">
        <f>$B$8*Data!L72/Data!L71</f>
        <v>1982.7415433606682</v>
      </c>
      <c r="N74" s="23">
        <f t="shared" si="11"/>
        <v>9989.4220012152255</v>
      </c>
      <c r="O74" s="23">
        <f t="shared" si="12"/>
        <v>-10.577998784774536</v>
      </c>
      <c r="P74" s="23">
        <f t="shared" si="13"/>
        <v>10.577998784774536</v>
      </c>
      <c r="W74" s="37"/>
    </row>
    <row r="75" spans="9:23" x14ac:dyDescent="0.3">
      <c r="I75">
        <v>71</v>
      </c>
      <c r="J75" s="23">
        <f>$B$5*Data!C73/Data!C72</f>
        <v>4029.5470118935568</v>
      </c>
      <c r="K75" s="23">
        <f>$B$6*Data!F73/Data!F72</f>
        <v>3018.0146862120414</v>
      </c>
      <c r="L75" s="23">
        <f>$B$7*Data!I73/Data!I72</f>
        <v>986.68678524479594</v>
      </c>
      <c r="M75" s="23">
        <f>$B$8*Data!L73/Data!L72</f>
        <v>2015.4400315283519</v>
      </c>
      <c r="N75" s="23">
        <f t="shared" si="11"/>
        <v>10049.688514878746</v>
      </c>
      <c r="O75" s="23">
        <f t="shared" si="12"/>
        <v>49.688514878745991</v>
      </c>
      <c r="P75" s="23">
        <f t="shared" si="13"/>
        <v>-49.688514878745991</v>
      </c>
      <c r="W75" s="37"/>
    </row>
    <row r="76" spans="9:23" x14ac:dyDescent="0.3">
      <c r="I76">
        <v>72</v>
      </c>
      <c r="J76" s="23">
        <f>$B$5*Data!C74/Data!C73</f>
        <v>3987.4569519048341</v>
      </c>
      <c r="K76" s="23">
        <f>$B$6*Data!F74/Data!F73</f>
        <v>2945.3765814445392</v>
      </c>
      <c r="L76" s="23">
        <f>$B$7*Data!I74/Data!I73</f>
        <v>994.93008173027977</v>
      </c>
      <c r="M76" s="23">
        <f>$B$8*Data!L74/Data!L73</f>
        <v>2030.0958184594499</v>
      </c>
      <c r="N76" s="23">
        <f t="shared" si="11"/>
        <v>9957.8594335391026</v>
      </c>
      <c r="O76" s="23">
        <f t="shared" si="12"/>
        <v>-42.140566460897389</v>
      </c>
      <c r="P76" s="23">
        <f t="shared" si="13"/>
        <v>42.140566460897389</v>
      </c>
      <c r="W76" s="37"/>
    </row>
    <row r="77" spans="9:23" x14ac:dyDescent="0.3">
      <c r="I77">
        <v>73</v>
      </c>
      <c r="J77" s="23">
        <f>$B$5*Data!C75/Data!C74</f>
        <v>4012.9936400752536</v>
      </c>
      <c r="K77" s="23">
        <f>$B$6*Data!F75/Data!F74</f>
        <v>3009.2712425765608</v>
      </c>
      <c r="L77" s="23">
        <f>$B$7*Data!I75/Data!I74</f>
        <v>1010.3848109303601</v>
      </c>
      <c r="M77" s="23">
        <f>$B$8*Data!L75/Data!L74</f>
        <v>2019.4412171938845</v>
      </c>
      <c r="N77" s="23">
        <f t="shared" si="11"/>
        <v>10052.090910776058</v>
      </c>
      <c r="O77" s="23">
        <f t="shared" si="12"/>
        <v>52.090910776058081</v>
      </c>
      <c r="P77" s="23">
        <f t="shared" si="13"/>
        <v>-52.090910776058081</v>
      </c>
      <c r="W77" s="37"/>
    </row>
    <row r="78" spans="9:23" x14ac:dyDescent="0.3">
      <c r="I78">
        <v>74</v>
      </c>
      <c r="J78" s="23">
        <f>$B$5*Data!C76/Data!C75</f>
        <v>3991.9071464482804</v>
      </c>
      <c r="K78" s="23">
        <f>$B$6*Data!F76/Data!F75</f>
        <v>2983.1889992240835</v>
      </c>
      <c r="L78" s="23">
        <f>$B$7*Data!I76/Data!I75</f>
        <v>990.45051054313672</v>
      </c>
      <c r="M78" s="23">
        <f>$B$8*Data!L76/Data!L75</f>
        <v>1992.3904520763492</v>
      </c>
      <c r="N78" s="23">
        <f t="shared" si="11"/>
        <v>9957.9371082918497</v>
      </c>
      <c r="O78" s="23">
        <f t="shared" si="12"/>
        <v>-42.062891708150346</v>
      </c>
      <c r="P78" s="23">
        <f t="shared" si="13"/>
        <v>42.062891708150346</v>
      </c>
      <c r="W78" s="37"/>
    </row>
    <row r="79" spans="9:23" x14ac:dyDescent="0.3">
      <c r="I79">
        <v>75</v>
      </c>
      <c r="J79" s="23">
        <f>$B$5*Data!C77/Data!C76</f>
        <v>3990.5711177282046</v>
      </c>
      <c r="K79" s="23">
        <f>$B$6*Data!F77/Data!F76</f>
        <v>3020.0294666728432</v>
      </c>
      <c r="L79" s="23">
        <f>$B$7*Data!I77/Data!I76</f>
        <v>986.0279765848461</v>
      </c>
      <c r="M79" s="23">
        <f>$B$8*Data!L77/Data!L76</f>
        <v>1973.8785039867973</v>
      </c>
      <c r="N79" s="23">
        <f t="shared" si="11"/>
        <v>9970.5070649726913</v>
      </c>
      <c r="O79" s="23">
        <f t="shared" si="12"/>
        <v>-29.492935027308704</v>
      </c>
      <c r="P79" s="23">
        <f t="shared" si="13"/>
        <v>29.492935027308704</v>
      </c>
      <c r="W79" s="37"/>
    </row>
    <row r="80" spans="9:23" x14ac:dyDescent="0.3">
      <c r="I80">
        <v>76</v>
      </c>
      <c r="J80" s="23">
        <f>$B$5*Data!C78/Data!C77</f>
        <v>3953.7432503988953</v>
      </c>
      <c r="K80" s="23">
        <f>$B$6*Data!F78/Data!F77</f>
        <v>2970.0236659792281</v>
      </c>
      <c r="L80" s="23">
        <f>$B$7*Data!I78/Data!I77</f>
        <v>1006.1734246876455</v>
      </c>
      <c r="M80" s="23">
        <f>$B$8*Data!L78/Data!L77</f>
        <v>1979.0849979340258</v>
      </c>
      <c r="N80" s="23">
        <f t="shared" si="11"/>
        <v>9909.0253389997943</v>
      </c>
      <c r="O80" s="23">
        <f t="shared" si="12"/>
        <v>-90.974661000205742</v>
      </c>
      <c r="P80" s="23">
        <f t="shared" si="13"/>
        <v>90.974661000205742</v>
      </c>
      <c r="W80" s="37"/>
    </row>
    <row r="81" spans="9:23" x14ac:dyDescent="0.3">
      <c r="I81">
        <v>77</v>
      </c>
      <c r="J81" s="23">
        <f>$B$5*Data!C79/Data!C78</f>
        <v>4050.7831658771092</v>
      </c>
      <c r="K81" s="23">
        <f>$B$6*Data!F79/Data!F78</f>
        <v>2957.9009111584851</v>
      </c>
      <c r="L81" s="23">
        <f>$B$7*Data!I79/Data!I78</f>
        <v>989.02949448420213</v>
      </c>
      <c r="M81" s="23">
        <f>$B$8*Data!L79/Data!L78</f>
        <v>2010.0533961386441</v>
      </c>
      <c r="N81" s="23">
        <f t="shared" si="11"/>
        <v>10007.766967658441</v>
      </c>
      <c r="O81" s="23">
        <f t="shared" si="12"/>
        <v>7.7669676584409899</v>
      </c>
      <c r="P81" s="23">
        <f t="shared" si="13"/>
        <v>-7.7669676584409899</v>
      </c>
      <c r="W81" s="37"/>
    </row>
    <row r="82" spans="9:23" x14ac:dyDescent="0.3">
      <c r="I82">
        <v>78</v>
      </c>
      <c r="J82" s="23">
        <f>$B$5*Data!C80/Data!C79</f>
        <v>3972.4817604469818</v>
      </c>
      <c r="K82" s="23">
        <f>$B$6*Data!F80/Data!F79</f>
        <v>3041.0993486167381</v>
      </c>
      <c r="L82" s="23">
        <f>$B$7*Data!I80/Data!I79</f>
        <v>993.45164988555939</v>
      </c>
      <c r="M82" s="23">
        <f>$B$8*Data!L80/Data!L79</f>
        <v>2011.0460606291556</v>
      </c>
      <c r="N82" s="23">
        <f t="shared" si="11"/>
        <v>10018.078819578435</v>
      </c>
      <c r="O82" s="23">
        <f t="shared" si="12"/>
        <v>18.078819578435287</v>
      </c>
      <c r="P82" s="23">
        <f t="shared" si="13"/>
        <v>-18.078819578435287</v>
      </c>
      <c r="W82" s="37"/>
    </row>
    <row r="83" spans="9:23" x14ac:dyDescent="0.3">
      <c r="I83">
        <v>79</v>
      </c>
      <c r="J83" s="23">
        <f>$B$5*Data!C81/Data!C80</f>
        <v>4043.3969205040762</v>
      </c>
      <c r="K83" s="23">
        <f>$B$6*Data!F81/Data!F80</f>
        <v>3002.3975148706918</v>
      </c>
      <c r="L83" s="23">
        <f>$B$7*Data!I81/Data!I80</f>
        <v>1005.0376057476121</v>
      </c>
      <c r="M83" s="23">
        <f>$B$8*Data!L81/Data!L80</f>
        <v>1984.607388399374</v>
      </c>
      <c r="N83" s="23">
        <f t="shared" si="11"/>
        <v>10035.439429521753</v>
      </c>
      <c r="O83" s="23">
        <f t="shared" si="12"/>
        <v>35.439429521753482</v>
      </c>
      <c r="P83" s="23">
        <f t="shared" si="13"/>
        <v>-35.439429521753482</v>
      </c>
      <c r="W83" s="37"/>
    </row>
    <row r="84" spans="9:23" x14ac:dyDescent="0.3">
      <c r="I84">
        <v>80</v>
      </c>
      <c r="J84" s="23">
        <f>$B$5*Data!C82/Data!C81</f>
        <v>4017.9183937452181</v>
      </c>
      <c r="K84" s="23">
        <f>$B$6*Data!F82/Data!F81</f>
        <v>3049.6905979536969</v>
      </c>
      <c r="L84" s="23">
        <f>$B$7*Data!I82/Data!I81</f>
        <v>1001.3688301616016</v>
      </c>
      <c r="M84" s="23">
        <f>$B$8*Data!L82/Data!L81</f>
        <v>1975.4130468211845</v>
      </c>
      <c r="N84" s="23">
        <f t="shared" si="11"/>
        <v>10044.390868681701</v>
      </c>
      <c r="O84" s="23">
        <f t="shared" si="12"/>
        <v>44.390868681701249</v>
      </c>
      <c r="P84" s="23">
        <f t="shared" si="13"/>
        <v>-44.390868681701249</v>
      </c>
      <c r="W84" s="37"/>
    </row>
    <row r="85" spans="9:23" x14ac:dyDescent="0.3">
      <c r="I85">
        <v>81</v>
      </c>
      <c r="J85" s="23">
        <f>$B$5*Data!C83/Data!C82</f>
        <v>4002.8103724133966</v>
      </c>
      <c r="K85" s="23">
        <f>$B$6*Data!F83/Data!F82</f>
        <v>3009.2395132091406</v>
      </c>
      <c r="L85" s="23">
        <f>$B$7*Data!I83/Data!I82</f>
        <v>999.64323636773497</v>
      </c>
      <c r="M85" s="23">
        <f>$B$8*Data!L83/Data!L82</f>
        <v>2019.9844475963957</v>
      </c>
      <c r="N85" s="23">
        <f t="shared" si="11"/>
        <v>10031.677569586667</v>
      </c>
      <c r="O85" s="23">
        <f t="shared" si="12"/>
        <v>31.677569586667232</v>
      </c>
      <c r="P85" s="23">
        <f t="shared" si="13"/>
        <v>-31.677569586667232</v>
      </c>
      <c r="W85" s="37"/>
    </row>
    <row r="86" spans="9:23" x14ac:dyDescent="0.3">
      <c r="I86">
        <v>82</v>
      </c>
      <c r="J86" s="23">
        <f>$B$5*Data!C84/Data!C83</f>
        <v>4034.2695701108814</v>
      </c>
      <c r="K86" s="23">
        <f>$B$6*Data!F84/Data!F83</f>
        <v>3015.9825037904238</v>
      </c>
      <c r="L86" s="23">
        <f>$B$7*Data!I84/Data!I83</f>
        <v>999.63933837353829</v>
      </c>
      <c r="M86" s="23">
        <f>$B$8*Data!L84/Data!L83</f>
        <v>1992.7458570465392</v>
      </c>
      <c r="N86" s="23">
        <f t="shared" si="11"/>
        <v>10042.637269321383</v>
      </c>
      <c r="O86" s="23">
        <f t="shared" si="12"/>
        <v>42.637269321383428</v>
      </c>
      <c r="P86" s="23">
        <f t="shared" si="13"/>
        <v>-42.637269321383428</v>
      </c>
      <c r="W86" s="37"/>
    </row>
    <row r="87" spans="9:23" x14ac:dyDescent="0.3">
      <c r="I87">
        <v>83</v>
      </c>
      <c r="J87" s="23">
        <f>$B$5*Data!C85/Data!C84</f>
        <v>3997.1432453622242</v>
      </c>
      <c r="K87" s="23">
        <f>$B$6*Data!F85/Data!F84</f>
        <v>3024.3319148508363</v>
      </c>
      <c r="L87" s="23">
        <f>$B$7*Data!I85/Data!I84</f>
        <v>999.62337600088426</v>
      </c>
      <c r="M87" s="23">
        <f>$B$8*Data!L85/Data!L84</f>
        <v>2021.6826957294904</v>
      </c>
      <c r="N87" s="23">
        <f t="shared" si="11"/>
        <v>10042.781231943434</v>
      </c>
      <c r="O87" s="23">
        <f t="shared" si="12"/>
        <v>42.78123194343425</v>
      </c>
      <c r="P87" s="23">
        <f t="shared" si="13"/>
        <v>-42.78123194343425</v>
      </c>
      <c r="W87" s="37"/>
    </row>
    <row r="88" spans="9:23" x14ac:dyDescent="0.3">
      <c r="I88">
        <v>84</v>
      </c>
      <c r="J88" s="23">
        <f>$B$5*Data!C86/Data!C85</f>
        <v>4012.5036174002307</v>
      </c>
      <c r="K88" s="23">
        <f>$B$6*Data!F86/Data!F85</f>
        <v>2947.219266761887</v>
      </c>
      <c r="L88" s="23">
        <f>$B$7*Data!I86/Data!I85</f>
        <v>1009.3576404354743</v>
      </c>
      <c r="M88" s="23">
        <f>$B$8*Data!L86/Data!L85</f>
        <v>1978.7595967320331</v>
      </c>
      <c r="N88" s="23">
        <f t="shared" si="11"/>
        <v>9947.8401213296256</v>
      </c>
      <c r="O88" s="23">
        <f t="shared" si="12"/>
        <v>-52.159878670374383</v>
      </c>
      <c r="P88" s="23">
        <f t="shared" si="13"/>
        <v>52.159878670374383</v>
      </c>
      <c r="W88" s="37"/>
    </row>
    <row r="89" spans="9:23" x14ac:dyDescent="0.3">
      <c r="I89">
        <v>85</v>
      </c>
      <c r="J89" s="23">
        <f>$B$5*Data!C87/Data!C86</f>
        <v>4004.2748311015102</v>
      </c>
      <c r="K89" s="23">
        <f>$B$6*Data!F87/Data!F86</f>
        <v>3010.2223233646732</v>
      </c>
      <c r="L89" s="23">
        <f>$B$7*Data!I87/Data!I86</f>
        <v>1004.0692711549536</v>
      </c>
      <c r="M89" s="23">
        <f>$B$8*Data!L87/Data!L86</f>
        <v>2007.3050653141845</v>
      </c>
      <c r="N89" s="23">
        <f t="shared" si="11"/>
        <v>10025.871490935322</v>
      </c>
      <c r="O89" s="23">
        <f t="shared" si="12"/>
        <v>25.871490935322072</v>
      </c>
      <c r="P89" s="23">
        <f t="shared" si="13"/>
        <v>-25.871490935322072</v>
      </c>
      <c r="W89" s="37"/>
    </row>
    <row r="90" spans="9:23" x14ac:dyDescent="0.3">
      <c r="I90">
        <v>86</v>
      </c>
      <c r="J90" s="23">
        <f>$B$5*Data!C88/Data!C87</f>
        <v>4006.9735413371673</v>
      </c>
      <c r="K90" s="23">
        <f>$B$6*Data!F88/Data!F87</f>
        <v>3003.8013497094312</v>
      </c>
      <c r="L90" s="23">
        <f>$B$7*Data!I88/Data!I87</f>
        <v>998.78654610015724</v>
      </c>
      <c r="M90" s="23">
        <f>$B$8*Data!L88/Data!L87</f>
        <v>2014.3636860800789</v>
      </c>
      <c r="N90" s="23">
        <f t="shared" si="11"/>
        <v>10023.925123226834</v>
      </c>
      <c r="O90" s="23">
        <f t="shared" si="12"/>
        <v>23.92512322683433</v>
      </c>
      <c r="P90" s="23">
        <f t="shared" si="13"/>
        <v>-23.92512322683433</v>
      </c>
      <c r="W90" s="37"/>
    </row>
    <row r="91" spans="9:23" x14ac:dyDescent="0.3">
      <c r="I91">
        <v>87</v>
      </c>
      <c r="J91" s="23">
        <f>$B$5*Data!C89/Data!C88</f>
        <v>3983.8954883033684</v>
      </c>
      <c r="K91" s="23">
        <f>$B$6*Data!F89/Data!F88</f>
        <v>2963.5492312312217</v>
      </c>
      <c r="L91" s="23">
        <f>$B$7*Data!I89/Data!I88</f>
        <v>1007.8062485144942</v>
      </c>
      <c r="M91" s="23">
        <f>$B$8*Data!L89/Data!L88</f>
        <v>1982.4613730630731</v>
      </c>
      <c r="N91" s="23">
        <f t="shared" si="11"/>
        <v>9937.7123411121574</v>
      </c>
      <c r="O91" s="23">
        <f t="shared" si="12"/>
        <v>-62.287658887842554</v>
      </c>
      <c r="P91" s="23">
        <f t="shared" si="13"/>
        <v>62.287658887842554</v>
      </c>
      <c r="W91" s="37"/>
    </row>
    <row r="92" spans="9:23" x14ac:dyDescent="0.3">
      <c r="I92">
        <v>88</v>
      </c>
      <c r="J92" s="23">
        <f>$B$5*Data!C90/Data!C89</f>
        <v>4009.8861985050912</v>
      </c>
      <c r="K92" s="23">
        <f>$B$6*Data!F90/Data!F89</f>
        <v>2972.1745411781476</v>
      </c>
      <c r="L92" s="23">
        <f>$B$7*Data!I90/Data!I89</f>
        <v>993.6654432221718</v>
      </c>
      <c r="M92" s="23">
        <f>$B$8*Data!L90/Data!L89</f>
        <v>2008.4581517806168</v>
      </c>
      <c r="N92" s="23">
        <f t="shared" si="11"/>
        <v>9984.1843346860278</v>
      </c>
      <c r="O92" s="23">
        <f t="shared" si="12"/>
        <v>-15.815665313972204</v>
      </c>
      <c r="P92" s="23">
        <f t="shared" si="13"/>
        <v>15.815665313972204</v>
      </c>
      <c r="W92" s="37"/>
    </row>
    <row r="93" spans="9:23" x14ac:dyDescent="0.3">
      <c r="I93">
        <v>89</v>
      </c>
      <c r="J93" s="23">
        <f>$B$5*Data!C91/Data!C90</f>
        <v>3995.9315893172361</v>
      </c>
      <c r="K93" s="23">
        <f>$B$6*Data!F91/Data!F90</f>
        <v>2987.1209962032221</v>
      </c>
      <c r="L93" s="23">
        <f>$B$7*Data!I91/Data!I90</f>
        <v>996.16827906006563</v>
      </c>
      <c r="M93" s="23">
        <f>$B$8*Data!L91/Data!L90</f>
        <v>1999.3827286152759</v>
      </c>
      <c r="N93" s="23">
        <f t="shared" si="11"/>
        <v>9978.6035931957995</v>
      </c>
      <c r="O93" s="23">
        <f t="shared" si="12"/>
        <v>-21.396406804200524</v>
      </c>
      <c r="P93" s="23">
        <f t="shared" si="13"/>
        <v>21.396406804200524</v>
      </c>
      <c r="W93" s="37"/>
    </row>
    <row r="94" spans="9:23" x14ac:dyDescent="0.3">
      <c r="I94">
        <v>90</v>
      </c>
      <c r="J94" s="23">
        <f>$B$5*Data!C92/Data!C91</f>
        <v>3991.4954891071579</v>
      </c>
      <c r="K94" s="23">
        <f>$B$6*Data!F92/Data!F91</f>
        <v>2916.7251078947984</v>
      </c>
      <c r="L94" s="23">
        <f>$B$7*Data!I92/Data!I91</f>
        <v>985.2949509444378</v>
      </c>
      <c r="M94" s="23">
        <f>$B$8*Data!L92/Data!L91</f>
        <v>2007.6955944379281</v>
      </c>
      <c r="N94" s="23">
        <f t="shared" si="11"/>
        <v>9901.2111423843235</v>
      </c>
      <c r="O94" s="23">
        <f t="shared" si="12"/>
        <v>-98.788857615676534</v>
      </c>
      <c r="P94" s="23">
        <f t="shared" si="13"/>
        <v>98.788857615676534</v>
      </c>
      <c r="W94" s="37"/>
    </row>
    <row r="95" spans="9:23" x14ac:dyDescent="0.3">
      <c r="I95">
        <v>91</v>
      </c>
      <c r="J95" s="23">
        <f>$B$5*Data!C93/Data!C92</f>
        <v>3983.906390986931</v>
      </c>
      <c r="K95" s="23">
        <f>$B$6*Data!F93/Data!F92</f>
        <v>3023.2134892731146</v>
      </c>
      <c r="L95" s="23">
        <f>$B$7*Data!I93/Data!I92</f>
        <v>1002.2160528016778</v>
      </c>
      <c r="M95" s="23">
        <f>$B$8*Data!L93/Data!L92</f>
        <v>1976.4835651001461</v>
      </c>
      <c r="N95" s="23">
        <f t="shared" si="11"/>
        <v>9985.819498161869</v>
      </c>
      <c r="O95" s="23">
        <f t="shared" si="12"/>
        <v>-14.180501838131022</v>
      </c>
      <c r="P95" s="23">
        <f t="shared" si="13"/>
        <v>14.180501838131022</v>
      </c>
      <c r="W95" s="37"/>
    </row>
    <row r="96" spans="9:23" x14ac:dyDescent="0.3">
      <c r="I96">
        <v>92</v>
      </c>
      <c r="J96" s="23">
        <f>$B$5*Data!C94/Data!C93</f>
        <v>4006.8486164784936</v>
      </c>
      <c r="K96" s="23">
        <f>$B$6*Data!F94/Data!F93</f>
        <v>2959.5787124685485</v>
      </c>
      <c r="L96" s="23">
        <f>$B$7*Data!I94/Data!I93</f>
        <v>985.14244842223968</v>
      </c>
      <c r="M96" s="23">
        <f>$B$8*Data!L94/Data!L93</f>
        <v>2008.0848458502649</v>
      </c>
      <c r="N96" s="23">
        <f t="shared" si="11"/>
        <v>9959.6546232195469</v>
      </c>
      <c r="O96" s="23">
        <f t="shared" si="12"/>
        <v>-40.34537678045308</v>
      </c>
      <c r="P96" s="23">
        <f t="shared" si="13"/>
        <v>40.34537678045308</v>
      </c>
      <c r="W96" s="37"/>
    </row>
    <row r="97" spans="9:23" x14ac:dyDescent="0.3">
      <c r="I97">
        <v>93</v>
      </c>
      <c r="J97" s="23">
        <f>$B$5*Data!C95/Data!C94</f>
        <v>3974.6179587926144</v>
      </c>
      <c r="K97" s="23">
        <f>$B$6*Data!F95/Data!F94</f>
        <v>3004.3673229185883</v>
      </c>
      <c r="L97" s="23">
        <f>$B$7*Data!I95/Data!I94</f>
        <v>1008.2683050749546</v>
      </c>
      <c r="M97" s="23">
        <f>$B$8*Data!L95/Data!L94</f>
        <v>1978.9825803063306</v>
      </c>
      <c r="N97" s="23">
        <f t="shared" si="11"/>
        <v>9966.2361670924874</v>
      </c>
      <c r="O97" s="23">
        <f t="shared" si="12"/>
        <v>-33.763832907512551</v>
      </c>
      <c r="P97" s="23">
        <f t="shared" si="13"/>
        <v>33.763832907512551</v>
      </c>
      <c r="W97" s="37"/>
    </row>
    <row r="98" spans="9:23" x14ac:dyDescent="0.3">
      <c r="I98">
        <v>94</v>
      </c>
      <c r="J98" s="23">
        <f>$B$5*Data!C96/Data!C95</f>
        <v>4007.4477379573209</v>
      </c>
      <c r="K98" s="23">
        <f>$B$6*Data!F96/Data!F95</f>
        <v>2961.4186786690616</v>
      </c>
      <c r="L98" s="23">
        <f>$B$7*Data!I96/Data!I95</f>
        <v>980.58334741478291</v>
      </c>
      <c r="M98" s="23">
        <f>$B$8*Data!L96/Data!L95</f>
        <v>1966.5502895089578</v>
      </c>
      <c r="N98" s="23">
        <f t="shared" si="11"/>
        <v>9916.000053550124</v>
      </c>
      <c r="O98" s="23">
        <f t="shared" si="12"/>
        <v>-83.999946449876006</v>
      </c>
      <c r="P98" s="23">
        <f t="shared" si="13"/>
        <v>83.999946449876006</v>
      </c>
      <c r="W98" s="37"/>
    </row>
    <row r="99" spans="9:23" x14ac:dyDescent="0.3">
      <c r="I99">
        <v>95</v>
      </c>
      <c r="J99" s="23">
        <f>$B$5*Data!C97/Data!C96</f>
        <v>3945.1013233160261</v>
      </c>
      <c r="K99" s="23">
        <f>$B$6*Data!F97/Data!F96</f>
        <v>2991.7141167319205</v>
      </c>
      <c r="L99" s="23">
        <f>$B$7*Data!I97/Data!I96</f>
        <v>997.66129149430787</v>
      </c>
      <c r="M99" s="23">
        <f>$B$8*Data!L97/Data!L96</f>
        <v>2019.927119004105</v>
      </c>
      <c r="N99" s="23">
        <f t="shared" si="11"/>
        <v>9954.4038505463595</v>
      </c>
      <c r="O99" s="23">
        <f t="shared" si="12"/>
        <v>-45.596149453640464</v>
      </c>
      <c r="P99" s="23">
        <f t="shared" si="13"/>
        <v>45.596149453640464</v>
      </c>
      <c r="W99" s="37"/>
    </row>
    <row r="100" spans="9:23" x14ac:dyDescent="0.3">
      <c r="I100">
        <v>96</v>
      </c>
      <c r="J100" s="23">
        <f>$B$5*Data!C98/Data!C97</f>
        <v>4008.8183092082113</v>
      </c>
      <c r="K100" s="23">
        <f>$B$6*Data!F98/Data!F97</f>
        <v>2945.4520260904342</v>
      </c>
      <c r="L100" s="23">
        <f>$B$7*Data!I98/Data!I97</f>
        <v>1008.824693388175</v>
      </c>
      <c r="M100" s="23">
        <f>$B$8*Data!L98/Data!L97</f>
        <v>2009.1623047069747</v>
      </c>
      <c r="N100" s="23">
        <f t="shared" si="11"/>
        <v>9972.2573333937944</v>
      </c>
      <c r="O100" s="23">
        <f t="shared" si="12"/>
        <v>-27.742666606205603</v>
      </c>
      <c r="P100" s="23">
        <f t="shared" si="13"/>
        <v>27.742666606205603</v>
      </c>
      <c r="W100" s="37"/>
    </row>
    <row r="101" spans="9:23" x14ac:dyDescent="0.3">
      <c r="I101">
        <v>97</v>
      </c>
      <c r="J101" s="23">
        <f>$B$5*Data!C99/Data!C98</f>
        <v>3965.5825791685193</v>
      </c>
      <c r="K101" s="23">
        <f>$B$6*Data!F99/Data!F98</f>
        <v>3014.9237468020169</v>
      </c>
      <c r="L101" s="23">
        <f>$B$7*Data!I99/Data!I98</f>
        <v>980.41120681177085</v>
      </c>
      <c r="M101" s="23">
        <f>$B$8*Data!L99/Data!L98</f>
        <v>1983.1388046761272</v>
      </c>
      <c r="N101" s="23">
        <f t="shared" si="11"/>
        <v>9944.0563374584344</v>
      </c>
      <c r="O101" s="23">
        <f t="shared" si="12"/>
        <v>-55.943662541565573</v>
      </c>
      <c r="P101" s="23">
        <f t="shared" si="13"/>
        <v>55.943662541565573</v>
      </c>
      <c r="W101" s="37"/>
    </row>
    <row r="102" spans="9:23" x14ac:dyDescent="0.3">
      <c r="I102">
        <v>98</v>
      </c>
      <c r="J102" s="23">
        <f>$B$5*Data!C100/Data!C99</f>
        <v>4024.714759760273</v>
      </c>
      <c r="K102" s="23">
        <f>$B$6*Data!F100/Data!F99</f>
        <v>3048.1928536057299</v>
      </c>
      <c r="L102" s="23">
        <f>$B$7*Data!I100/Data!I99</f>
        <v>1009.7955858945755</v>
      </c>
      <c r="M102" s="23">
        <f>$B$8*Data!L100/Data!L99</f>
        <v>1992.4841644654018</v>
      </c>
      <c r="N102" s="23">
        <f t="shared" si="11"/>
        <v>10075.18736372598</v>
      </c>
      <c r="O102" s="23">
        <f t="shared" si="12"/>
        <v>75.187363725979594</v>
      </c>
      <c r="P102" s="23">
        <f t="shared" si="13"/>
        <v>-75.187363725979594</v>
      </c>
      <c r="W102" s="37"/>
    </row>
    <row r="103" spans="9:23" x14ac:dyDescent="0.3">
      <c r="I103">
        <v>99</v>
      </c>
      <c r="J103" s="23">
        <f>$B$5*Data!C101/Data!C100</f>
        <v>4003.0336124451987</v>
      </c>
      <c r="K103" s="23">
        <f>$B$6*Data!F101/Data!F100</f>
        <v>2957.5682077353576</v>
      </c>
      <c r="L103" s="23">
        <f>$B$7*Data!I101/Data!I100</f>
        <v>995.42576201257589</v>
      </c>
      <c r="M103" s="23">
        <f>$B$8*Data!L101/Data!L100</f>
        <v>1989.2874851885215</v>
      </c>
      <c r="N103" s="23">
        <f t="shared" si="11"/>
        <v>9945.3150673816526</v>
      </c>
      <c r="O103" s="23">
        <f t="shared" si="12"/>
        <v>-54.684932618347375</v>
      </c>
      <c r="P103" s="23">
        <f t="shared" si="13"/>
        <v>54.684932618347375</v>
      </c>
      <c r="W103" s="37"/>
    </row>
    <row r="104" spans="9:23" x14ac:dyDescent="0.3">
      <c r="I104">
        <v>100</v>
      </c>
      <c r="J104" s="23">
        <f>$B$5*Data!C102/Data!C101</f>
        <v>4012.2718300173251</v>
      </c>
      <c r="K104" s="23">
        <f>$B$6*Data!F102/Data!F101</f>
        <v>2968.0615534037943</v>
      </c>
      <c r="L104" s="23">
        <f>$B$7*Data!I102/Data!I101</f>
        <v>1012.1784484518972</v>
      </c>
      <c r="M104" s="23">
        <f>$B$8*Data!L102/Data!L101</f>
        <v>1989.8800416862866</v>
      </c>
      <c r="N104" s="23">
        <f t="shared" si="11"/>
        <v>9982.3918735593033</v>
      </c>
      <c r="O104" s="23">
        <f t="shared" si="12"/>
        <v>-17.608126440696651</v>
      </c>
      <c r="P104" s="23">
        <f t="shared" si="13"/>
        <v>17.608126440696651</v>
      </c>
      <c r="W104" s="37"/>
    </row>
    <row r="105" spans="9:23" x14ac:dyDescent="0.3">
      <c r="I105">
        <v>101</v>
      </c>
      <c r="J105" s="23">
        <f>$B$5*Data!C103/Data!C102</f>
        <v>3980.2105978370319</v>
      </c>
      <c r="K105" s="23">
        <f>$B$6*Data!F103/Data!F102</f>
        <v>2993.6710458519742</v>
      </c>
      <c r="L105" s="23">
        <f>$B$7*Data!I103/Data!I102</f>
        <v>992.9335085734416</v>
      </c>
      <c r="M105" s="23">
        <f>$B$8*Data!L103/Data!L102</f>
        <v>1986.2614093880936</v>
      </c>
      <c r="N105" s="23">
        <f t="shared" si="11"/>
        <v>9953.0765616505414</v>
      </c>
      <c r="O105" s="23">
        <f t="shared" si="12"/>
        <v>-46.923438349458593</v>
      </c>
      <c r="P105" s="23">
        <f t="shared" si="13"/>
        <v>46.923438349458593</v>
      </c>
      <c r="W105" s="37"/>
    </row>
    <row r="106" spans="9:23" x14ac:dyDescent="0.3">
      <c r="I106">
        <v>102</v>
      </c>
      <c r="J106" s="23">
        <f>$B$5*Data!C104/Data!C103</f>
        <v>4034.4832136723203</v>
      </c>
      <c r="K106" s="23">
        <f>$B$6*Data!F104/Data!F103</f>
        <v>3014.2142720152206</v>
      </c>
      <c r="L106" s="23">
        <f>$B$7*Data!I104/Data!I103</f>
        <v>1010.7799290522014</v>
      </c>
      <c r="M106" s="23">
        <f>$B$8*Data!L104/Data!L103</f>
        <v>2004.7284467226141</v>
      </c>
      <c r="N106" s="23">
        <f t="shared" si="11"/>
        <v>10064.205861462357</v>
      </c>
      <c r="O106" s="23">
        <f t="shared" si="12"/>
        <v>64.205861462356552</v>
      </c>
      <c r="P106" s="23">
        <f t="shared" si="13"/>
        <v>-64.205861462356552</v>
      </c>
      <c r="W106" s="37"/>
    </row>
    <row r="107" spans="9:23" x14ac:dyDescent="0.3">
      <c r="I107">
        <v>103</v>
      </c>
      <c r="J107" s="23">
        <f>$B$5*Data!C105/Data!C104</f>
        <v>4033.9251264776535</v>
      </c>
      <c r="K107" s="23">
        <f>$B$6*Data!F105/Data!F104</f>
        <v>3039.5062022634802</v>
      </c>
      <c r="L107" s="23">
        <f>$B$7*Data!I105/Data!I104</f>
        <v>1002.2133829785846</v>
      </c>
      <c r="M107" s="23">
        <f>$B$8*Data!L105/Data!L104</f>
        <v>1949.5138528316197</v>
      </c>
      <c r="N107" s="23">
        <f t="shared" si="11"/>
        <v>10025.158564551337</v>
      </c>
      <c r="O107" s="23">
        <f t="shared" si="12"/>
        <v>25.158564551336895</v>
      </c>
      <c r="P107" s="23">
        <f t="shared" si="13"/>
        <v>-25.158564551336895</v>
      </c>
      <c r="W107" s="37"/>
    </row>
    <row r="108" spans="9:23" x14ac:dyDescent="0.3">
      <c r="I108">
        <v>104</v>
      </c>
      <c r="J108" s="23">
        <f>$B$5*Data!C106/Data!C105</f>
        <v>4035.2919442572879</v>
      </c>
      <c r="K108" s="23">
        <f>$B$6*Data!F106/Data!F105</f>
        <v>2999.3464280112239</v>
      </c>
      <c r="L108" s="23">
        <f>$B$7*Data!I106/Data!I105</f>
        <v>1010.7160684339606</v>
      </c>
      <c r="M108" s="23">
        <f>$B$8*Data!L106/Data!L105</f>
        <v>2001.0605595093525</v>
      </c>
      <c r="N108" s="23">
        <f t="shared" si="11"/>
        <v>10046.415000211824</v>
      </c>
      <c r="O108" s="23">
        <f t="shared" si="12"/>
        <v>46.415000211824008</v>
      </c>
      <c r="P108" s="23">
        <f t="shared" si="13"/>
        <v>-46.415000211824008</v>
      </c>
      <c r="W108" s="37"/>
    </row>
    <row r="109" spans="9:23" x14ac:dyDescent="0.3">
      <c r="I109">
        <v>105</v>
      </c>
      <c r="J109" s="23">
        <f>$B$5*Data!C107/Data!C106</f>
        <v>4013.893068700424</v>
      </c>
      <c r="K109" s="23">
        <f>$B$6*Data!F107/Data!F106</f>
        <v>2961.2414771853673</v>
      </c>
      <c r="L109" s="23">
        <f>$B$7*Data!I107/Data!I106</f>
        <v>1002.4285527647218</v>
      </c>
      <c r="M109" s="23">
        <f>$B$8*Data!L107/Data!L106</f>
        <v>1980.8922433010634</v>
      </c>
      <c r="N109" s="23">
        <f t="shared" si="11"/>
        <v>9958.455341951576</v>
      </c>
      <c r="O109" s="23">
        <f t="shared" si="12"/>
        <v>-41.544658048424026</v>
      </c>
      <c r="P109" s="23">
        <f t="shared" si="13"/>
        <v>41.544658048424026</v>
      </c>
      <c r="W109" s="37"/>
    </row>
    <row r="110" spans="9:23" x14ac:dyDescent="0.3">
      <c r="I110">
        <v>106</v>
      </c>
      <c r="J110" s="23">
        <f>$B$5*Data!C108/Data!C107</f>
        <v>3971.6231890506115</v>
      </c>
      <c r="K110" s="23">
        <f>$B$6*Data!F108/Data!F107</f>
        <v>3017.9226985320806</v>
      </c>
      <c r="L110" s="23">
        <f>$B$7*Data!I108/Data!I107</f>
        <v>984.04284425498076</v>
      </c>
      <c r="M110" s="23">
        <f>$B$8*Data!L108/Data!L107</f>
        <v>1983.1952224171825</v>
      </c>
      <c r="N110" s="23">
        <f t="shared" si="11"/>
        <v>9956.7839542548554</v>
      </c>
      <c r="O110" s="23">
        <f t="shared" si="12"/>
        <v>-43.216045745144584</v>
      </c>
      <c r="P110" s="23">
        <f t="shared" si="13"/>
        <v>43.216045745144584</v>
      </c>
      <c r="W110" s="37"/>
    </row>
    <row r="111" spans="9:23" x14ac:dyDescent="0.3">
      <c r="I111">
        <v>107</v>
      </c>
      <c r="J111" s="23">
        <f>$B$5*Data!C109/Data!C108</f>
        <v>4034.9961699267042</v>
      </c>
      <c r="K111" s="23">
        <f>$B$6*Data!F109/Data!F108</f>
        <v>3004.6988842893093</v>
      </c>
      <c r="L111" s="23">
        <f>$B$7*Data!I109/Data!I108</f>
        <v>1010.4139094820832</v>
      </c>
      <c r="M111" s="23">
        <f>$B$8*Data!L109/Data!L108</f>
        <v>2019.0568368161669</v>
      </c>
      <c r="N111" s="23">
        <f t="shared" si="11"/>
        <v>10069.165800514264</v>
      </c>
      <c r="O111" s="23">
        <f t="shared" si="12"/>
        <v>69.165800514263537</v>
      </c>
      <c r="P111" s="23">
        <f t="shared" si="13"/>
        <v>-69.165800514263537</v>
      </c>
      <c r="W111" s="37"/>
    </row>
    <row r="112" spans="9:23" x14ac:dyDescent="0.3">
      <c r="I112">
        <v>108</v>
      </c>
      <c r="J112" s="23">
        <f>$B$5*Data!C110/Data!C109</f>
        <v>4004.3169506490171</v>
      </c>
      <c r="K112" s="23">
        <f>$B$6*Data!F110/Data!F109</f>
        <v>3001.495581131021</v>
      </c>
      <c r="L112" s="23">
        <f>$B$7*Data!I110/Data!I109</f>
        <v>996.37904412500359</v>
      </c>
      <c r="M112" s="23">
        <f>$B$8*Data!L110/Data!L109</f>
        <v>2027.5723238262103</v>
      </c>
      <c r="N112" s="23">
        <f t="shared" si="11"/>
        <v>10029.763899731253</v>
      </c>
      <c r="O112" s="23">
        <f t="shared" si="12"/>
        <v>29.763899731253332</v>
      </c>
      <c r="P112" s="23">
        <f t="shared" si="13"/>
        <v>-29.763899731253332</v>
      </c>
      <c r="W112" s="37"/>
    </row>
    <row r="113" spans="9:23" x14ac:dyDescent="0.3">
      <c r="I113">
        <v>109</v>
      </c>
      <c r="J113" s="23">
        <f>$B$5*Data!C111/Data!C110</f>
        <v>3995.8874570264056</v>
      </c>
      <c r="K113" s="23">
        <f>$B$6*Data!F111/Data!F110</f>
        <v>2962.3702105025163</v>
      </c>
      <c r="L113" s="23">
        <f>$B$7*Data!I111/Data!I110</f>
        <v>1002.5639929500531</v>
      </c>
      <c r="M113" s="23">
        <f>$B$8*Data!L111/Data!L110</f>
        <v>2019.7804681022226</v>
      </c>
      <c r="N113" s="23">
        <f t="shared" si="11"/>
        <v>9980.6021285811985</v>
      </c>
      <c r="O113" s="23">
        <f t="shared" si="12"/>
        <v>-19.397871418801515</v>
      </c>
      <c r="P113" s="23">
        <f t="shared" si="13"/>
        <v>19.397871418801515</v>
      </c>
      <c r="W113" s="37"/>
    </row>
    <row r="114" spans="9:23" x14ac:dyDescent="0.3">
      <c r="I114">
        <v>110</v>
      </c>
      <c r="J114" s="23">
        <f>$B$5*Data!C112/Data!C111</f>
        <v>4015.8947942527939</v>
      </c>
      <c r="K114" s="23">
        <f>$B$6*Data!F112/Data!F111</f>
        <v>2993.1594106478301</v>
      </c>
      <c r="L114" s="23">
        <f>$B$7*Data!I112/Data!I111</f>
        <v>1012.5859778069921</v>
      </c>
      <c r="M114" s="23">
        <f>$B$8*Data!L112/Data!L111</f>
        <v>1976.6418004032723</v>
      </c>
      <c r="N114" s="23">
        <f t="shared" si="11"/>
        <v>9998.2819831108882</v>
      </c>
      <c r="O114" s="23">
        <f t="shared" si="12"/>
        <v>-1.7180168891118228</v>
      </c>
      <c r="P114" s="23">
        <f t="shared" si="13"/>
        <v>1.7180168891118228</v>
      </c>
      <c r="W114" s="37"/>
    </row>
    <row r="115" spans="9:23" x14ac:dyDescent="0.3">
      <c r="I115">
        <v>111</v>
      </c>
      <c r="J115" s="23">
        <f>$B$5*Data!C113/Data!C112</f>
        <v>4008.6420499996584</v>
      </c>
      <c r="K115" s="23">
        <f>$B$6*Data!F113/Data!F112</f>
        <v>2988.6304774091354</v>
      </c>
      <c r="L115" s="23">
        <f>$B$7*Data!I113/Data!I112</f>
        <v>1007.2982788695739</v>
      </c>
      <c r="M115" s="23">
        <f>$B$8*Data!L113/Data!L112</f>
        <v>2014.3285803462529</v>
      </c>
      <c r="N115" s="23">
        <f t="shared" si="11"/>
        <v>10018.89938662462</v>
      </c>
      <c r="O115" s="23">
        <f t="shared" si="12"/>
        <v>18.899386624620092</v>
      </c>
      <c r="P115" s="23">
        <f t="shared" si="13"/>
        <v>-18.899386624620092</v>
      </c>
      <c r="W115" s="37"/>
    </row>
    <row r="116" spans="9:23" x14ac:dyDescent="0.3">
      <c r="I116">
        <v>112</v>
      </c>
      <c r="J116" s="23">
        <f>$B$5*Data!C114/Data!C113</f>
        <v>3984.1880274504379</v>
      </c>
      <c r="K116" s="23">
        <f>$B$6*Data!F114/Data!F113</f>
        <v>3022.8791010450745</v>
      </c>
      <c r="L116" s="23">
        <f>$B$7*Data!I114/Data!I113</f>
        <v>990.70246301257134</v>
      </c>
      <c r="M116" s="23">
        <f>$B$8*Data!L114/Data!L113</f>
        <v>2029.8844121852378</v>
      </c>
      <c r="N116" s="23">
        <f t="shared" si="11"/>
        <v>10027.654003693322</v>
      </c>
      <c r="O116" s="23">
        <f t="shared" si="12"/>
        <v>27.654003693322011</v>
      </c>
      <c r="P116" s="23">
        <f t="shared" si="13"/>
        <v>-27.654003693322011</v>
      </c>
      <c r="W116" s="37"/>
    </row>
    <row r="117" spans="9:23" x14ac:dyDescent="0.3">
      <c r="I117">
        <v>113</v>
      </c>
      <c r="J117" s="23">
        <f>$B$5*Data!C115/Data!C114</f>
        <v>3996.2062093150844</v>
      </c>
      <c r="K117" s="23">
        <f>$B$6*Data!F115/Data!F114</f>
        <v>3003.3628968336284</v>
      </c>
      <c r="L117" s="23">
        <f>$B$7*Data!I115/Data!I114</f>
        <v>983.70433442064916</v>
      </c>
      <c r="M117" s="23">
        <f>$B$8*Data!L115/Data!L114</f>
        <v>2006.2535999341726</v>
      </c>
      <c r="N117" s="23">
        <f t="shared" si="11"/>
        <v>9989.5270405035335</v>
      </c>
      <c r="O117" s="23">
        <f t="shared" si="12"/>
        <v>-10.472959496466501</v>
      </c>
      <c r="P117" s="23">
        <f t="shared" si="13"/>
        <v>10.472959496466501</v>
      </c>
      <c r="W117" s="37"/>
    </row>
    <row r="118" spans="9:23" x14ac:dyDescent="0.3">
      <c r="I118">
        <v>114</v>
      </c>
      <c r="J118" s="23">
        <f>$B$5*Data!C116/Data!C115</f>
        <v>4007.3521974661307</v>
      </c>
      <c r="K118" s="23">
        <f>$B$6*Data!F116/Data!F115</f>
        <v>3043.15360895512</v>
      </c>
      <c r="L118" s="23">
        <f>$B$7*Data!I116/Data!I115</f>
        <v>998.02860709123831</v>
      </c>
      <c r="M118" s="23">
        <f>$B$8*Data!L116/Data!L115</f>
        <v>2018.4846458154034</v>
      </c>
      <c r="N118" s="23">
        <f t="shared" si="11"/>
        <v>10067.019059327893</v>
      </c>
      <c r="O118" s="23">
        <f t="shared" si="12"/>
        <v>67.019059327893046</v>
      </c>
      <c r="P118" s="23">
        <f t="shared" si="13"/>
        <v>-67.019059327893046</v>
      </c>
      <c r="W118" s="37"/>
    </row>
    <row r="119" spans="9:23" x14ac:dyDescent="0.3">
      <c r="I119">
        <v>115</v>
      </c>
      <c r="J119" s="23">
        <f>$B$5*Data!C117/Data!C116</f>
        <v>4019.1236447650049</v>
      </c>
      <c r="K119" s="23">
        <f>$B$6*Data!F117/Data!F116</f>
        <v>3027.0384067282516</v>
      </c>
      <c r="L119" s="23">
        <f>$B$7*Data!I117/Data!I116</f>
        <v>1009.4746908025041</v>
      </c>
      <c r="M119" s="23">
        <f>$B$8*Data!L117/Data!L116</f>
        <v>2016.0330198831857</v>
      </c>
      <c r="N119" s="23">
        <f t="shared" si="11"/>
        <v>10071.669762178946</v>
      </c>
      <c r="O119" s="23">
        <f t="shared" si="12"/>
        <v>71.669762178946257</v>
      </c>
      <c r="P119" s="23">
        <f t="shared" si="13"/>
        <v>-71.669762178946257</v>
      </c>
      <c r="W119" s="37"/>
    </row>
    <row r="120" spans="9:23" x14ac:dyDescent="0.3">
      <c r="I120">
        <v>116</v>
      </c>
      <c r="J120" s="23">
        <f>$B$5*Data!C118/Data!C117</f>
        <v>4036.4064202126751</v>
      </c>
      <c r="K120" s="23">
        <f>$B$6*Data!F118/Data!F117</f>
        <v>2985.5025503241086</v>
      </c>
      <c r="L120" s="23">
        <f>$B$7*Data!I118/Data!I117</f>
        <v>994.67253416857534</v>
      </c>
      <c r="M120" s="23">
        <f>$B$8*Data!L118/Data!L117</f>
        <v>1986.8581566229902</v>
      </c>
      <c r="N120" s="23">
        <f t="shared" si="11"/>
        <v>10003.43966132835</v>
      </c>
      <c r="O120" s="23">
        <f t="shared" si="12"/>
        <v>3.4396613283497572</v>
      </c>
      <c r="P120" s="23">
        <f t="shared" si="13"/>
        <v>-3.4396613283497572</v>
      </c>
      <c r="W120" s="37"/>
    </row>
    <row r="121" spans="9:23" x14ac:dyDescent="0.3">
      <c r="I121">
        <v>117</v>
      </c>
      <c r="J121" s="23">
        <f>$B$5*Data!C119/Data!C118</f>
        <v>3987.8708158354452</v>
      </c>
      <c r="K121" s="23">
        <f>$B$6*Data!F119/Data!F118</f>
        <v>3002.4118577128147</v>
      </c>
      <c r="L121" s="23">
        <f>$B$7*Data!I119/Data!I118</f>
        <v>1020.3839123787498</v>
      </c>
      <c r="M121" s="23">
        <f>$B$8*Data!L119/Data!L118</f>
        <v>2008.2224060692565</v>
      </c>
      <c r="N121" s="23">
        <f t="shared" si="11"/>
        <v>10018.888991996266</v>
      </c>
      <c r="O121" s="23">
        <f t="shared" si="12"/>
        <v>18.888991996265759</v>
      </c>
      <c r="P121" s="23">
        <f t="shared" si="13"/>
        <v>-18.888991996265759</v>
      </c>
      <c r="W121" s="37"/>
    </row>
    <row r="122" spans="9:23" x14ac:dyDescent="0.3">
      <c r="I122">
        <v>118</v>
      </c>
      <c r="J122" s="23">
        <f>$B$5*Data!C120/Data!C119</f>
        <v>3973.7511652938279</v>
      </c>
      <c r="K122" s="23">
        <f>$B$6*Data!F120/Data!F119</f>
        <v>2992.589805431367</v>
      </c>
      <c r="L122" s="23">
        <f>$B$7*Data!I120/Data!I119</f>
        <v>996.90856084307563</v>
      </c>
      <c r="M122" s="23">
        <f>$B$8*Data!L120/Data!L119</f>
        <v>1970.702240184929</v>
      </c>
      <c r="N122" s="23">
        <f t="shared" si="11"/>
        <v>9933.9517717531999</v>
      </c>
      <c r="O122" s="23">
        <f t="shared" si="12"/>
        <v>-66.048228246800136</v>
      </c>
      <c r="P122" s="23">
        <f t="shared" si="13"/>
        <v>66.048228246800136</v>
      </c>
      <c r="W122" s="37"/>
    </row>
    <row r="123" spans="9:23" x14ac:dyDescent="0.3">
      <c r="I123">
        <v>119</v>
      </c>
      <c r="J123" s="23">
        <f>$B$5*Data!C121/Data!C120</f>
        <v>3976.9833198164952</v>
      </c>
      <c r="K123" s="23">
        <f>$B$6*Data!F121/Data!F120</f>
        <v>2984.3259935295587</v>
      </c>
      <c r="L123" s="23">
        <f>$B$7*Data!I121/Data!I120</f>
        <v>983.69006757349769</v>
      </c>
      <c r="M123" s="23">
        <f>$B$8*Data!L121/Data!L120</f>
        <v>2006.8025198145974</v>
      </c>
      <c r="N123" s="23">
        <f t="shared" si="11"/>
        <v>9951.8019007341481</v>
      </c>
      <c r="O123" s="23">
        <f t="shared" si="12"/>
        <v>-48.198099265851852</v>
      </c>
      <c r="P123" s="23">
        <f t="shared" si="13"/>
        <v>48.198099265851852</v>
      </c>
      <c r="W123" s="37"/>
    </row>
    <row r="124" spans="9:23" x14ac:dyDescent="0.3">
      <c r="I124">
        <v>120</v>
      </c>
      <c r="J124" s="23">
        <f>$B$5*Data!C122/Data!C121</f>
        <v>4019.5389146097145</v>
      </c>
      <c r="K124" s="23">
        <f>$B$6*Data!F122/Data!F121</f>
        <v>2974.5720061690445</v>
      </c>
      <c r="L124" s="23">
        <f>$B$7*Data!I122/Data!I121</f>
        <v>999.60516882361753</v>
      </c>
      <c r="M124" s="23">
        <f>$B$8*Data!L122/Data!L121</f>
        <v>2000.5978266598495</v>
      </c>
      <c r="N124" s="23">
        <f t="shared" si="11"/>
        <v>9994.3139162622265</v>
      </c>
      <c r="O124" s="23">
        <f t="shared" si="12"/>
        <v>-5.6860837377735152</v>
      </c>
      <c r="P124" s="23">
        <f t="shared" si="13"/>
        <v>5.6860837377735152</v>
      </c>
      <c r="W124" s="37"/>
    </row>
    <row r="125" spans="9:23" x14ac:dyDescent="0.3">
      <c r="I125">
        <v>121</v>
      </c>
      <c r="J125" s="23">
        <f>$B$5*Data!C123/Data!C122</f>
        <v>3995.8385933843088</v>
      </c>
      <c r="K125" s="23">
        <f>$B$6*Data!F123/Data!F122</f>
        <v>2933.71594935455</v>
      </c>
      <c r="L125" s="23">
        <f>$B$7*Data!I123/Data!I122</f>
        <v>990.20172982493966</v>
      </c>
      <c r="M125" s="23">
        <f>$B$8*Data!L123/Data!L122</f>
        <v>1989.0431848937392</v>
      </c>
      <c r="N125" s="23">
        <f t="shared" si="11"/>
        <v>9908.7994574575368</v>
      </c>
      <c r="O125" s="23">
        <f t="shared" si="12"/>
        <v>-91.200542542463154</v>
      </c>
      <c r="P125" s="23">
        <f t="shared" si="13"/>
        <v>91.200542542463154</v>
      </c>
      <c r="W125" s="37"/>
    </row>
    <row r="126" spans="9:23" x14ac:dyDescent="0.3">
      <c r="I126">
        <v>122</v>
      </c>
      <c r="J126" s="23">
        <f>$B$5*Data!C124/Data!C123</f>
        <v>4019.7057802383915</v>
      </c>
      <c r="K126" s="23">
        <f>$B$6*Data!F124/Data!F123</f>
        <v>2995.8606342754219</v>
      </c>
      <c r="L126" s="23">
        <f>$B$7*Data!I124/Data!I123</f>
        <v>985.8949346851</v>
      </c>
      <c r="M126" s="23">
        <f>$B$8*Data!L124/Data!L123</f>
        <v>2017.778350054662</v>
      </c>
      <c r="N126" s="23">
        <f t="shared" si="11"/>
        <v>10019.239699253576</v>
      </c>
      <c r="O126" s="23">
        <f t="shared" si="12"/>
        <v>19.239699253575964</v>
      </c>
      <c r="P126" s="23">
        <f t="shared" si="13"/>
        <v>-19.239699253575964</v>
      </c>
      <c r="W126" s="37"/>
    </row>
    <row r="127" spans="9:23" x14ac:dyDescent="0.3">
      <c r="I127">
        <v>123</v>
      </c>
      <c r="J127" s="23">
        <f>$B$5*Data!C125/Data!C124</f>
        <v>4018.5767321038775</v>
      </c>
      <c r="K127" s="23">
        <f>$B$6*Data!F125/Data!F124</f>
        <v>3015.5266558971771</v>
      </c>
      <c r="L127" s="23">
        <f>$B$7*Data!I125/Data!I124</f>
        <v>1006.9512320847693</v>
      </c>
      <c r="M127" s="23">
        <f>$B$8*Data!L125/Data!L124</f>
        <v>1993.7614985354144</v>
      </c>
      <c r="N127" s="23">
        <f t="shared" si="11"/>
        <v>10034.816118621238</v>
      </c>
      <c r="O127" s="23">
        <f t="shared" si="12"/>
        <v>34.816118621238274</v>
      </c>
      <c r="P127" s="23">
        <f t="shared" si="13"/>
        <v>-34.816118621238274</v>
      </c>
      <c r="W127" s="37"/>
    </row>
    <row r="128" spans="9:23" x14ac:dyDescent="0.3">
      <c r="I128">
        <v>124</v>
      </c>
      <c r="J128" s="23">
        <f>$B$5*Data!C126/Data!C125</f>
        <v>4014.1529088362408</v>
      </c>
      <c r="K128" s="23">
        <f>$B$6*Data!F126/Data!F125</f>
        <v>3046.2969547568528</v>
      </c>
      <c r="L128" s="23">
        <f>$B$7*Data!I126/Data!I125</f>
        <v>1004.8463603964105</v>
      </c>
      <c r="M128" s="23">
        <f>$B$8*Data!L126/Data!L125</f>
        <v>2022.5573758704841</v>
      </c>
      <c r="N128" s="23">
        <f t="shared" si="11"/>
        <v>10087.853599859987</v>
      </c>
      <c r="O128" s="23">
        <f t="shared" si="12"/>
        <v>87.853599859987298</v>
      </c>
      <c r="P128" s="23">
        <f t="shared" si="13"/>
        <v>-87.853599859987298</v>
      </c>
      <c r="W128" s="37"/>
    </row>
    <row r="129" spans="9:23" x14ac:dyDescent="0.3">
      <c r="I129">
        <v>125</v>
      </c>
      <c r="J129" s="23">
        <f>$B$5*Data!C127/Data!C126</f>
        <v>4011.2967292685512</v>
      </c>
      <c r="K129" s="23">
        <f>$B$6*Data!F127/Data!F126</f>
        <v>3011.7094655767442</v>
      </c>
      <c r="L129" s="23">
        <f>$B$7*Data!I127/Data!I126</f>
        <v>1006.3371849925977</v>
      </c>
      <c r="M129" s="23">
        <f>$B$8*Data!L127/Data!L126</f>
        <v>2019.9868901395782</v>
      </c>
      <c r="N129" s="23">
        <f t="shared" si="11"/>
        <v>10049.33026997747</v>
      </c>
      <c r="O129" s="23">
        <f t="shared" si="12"/>
        <v>49.33026997747038</v>
      </c>
      <c r="P129" s="23">
        <f t="shared" si="13"/>
        <v>-49.33026997747038</v>
      </c>
      <c r="W129" s="37"/>
    </row>
    <row r="130" spans="9:23" x14ac:dyDescent="0.3">
      <c r="I130">
        <v>126</v>
      </c>
      <c r="J130" s="23">
        <f>$B$5*Data!C128/Data!C127</f>
        <v>3998.9504801373378</v>
      </c>
      <c r="K130" s="23">
        <f>$B$6*Data!F128/Data!F127</f>
        <v>3026.2518698237177</v>
      </c>
      <c r="L130" s="23">
        <f>$B$7*Data!I128/Data!I127</f>
        <v>1008.1636423634102</v>
      </c>
      <c r="M130" s="23">
        <f>$B$8*Data!L128/Data!L127</f>
        <v>1966.2266602835941</v>
      </c>
      <c r="N130" s="23">
        <f t="shared" si="11"/>
        <v>9999.5926526080584</v>
      </c>
      <c r="O130" s="23">
        <f t="shared" si="12"/>
        <v>-0.40734739194158465</v>
      </c>
      <c r="P130" s="23">
        <f t="shared" si="13"/>
        <v>0.40734739194158465</v>
      </c>
      <c r="W130" s="37"/>
    </row>
    <row r="131" spans="9:23" x14ac:dyDescent="0.3">
      <c r="I131">
        <v>127</v>
      </c>
      <c r="J131" s="23">
        <f>$B$5*Data!C129/Data!C128</f>
        <v>3994.2333022071703</v>
      </c>
      <c r="K131" s="23">
        <f>$B$6*Data!F129/Data!F128</f>
        <v>2974.7601171628339</v>
      </c>
      <c r="L131" s="23">
        <f>$B$7*Data!I129/Data!I128</f>
        <v>1004.8436400850388</v>
      </c>
      <c r="M131" s="23">
        <f>$B$8*Data!L129/Data!L128</f>
        <v>1986.5690224705349</v>
      </c>
      <c r="N131" s="23">
        <f t="shared" si="11"/>
        <v>9960.4060819255792</v>
      </c>
      <c r="O131" s="23">
        <f t="shared" si="12"/>
        <v>-39.593918074420799</v>
      </c>
      <c r="P131" s="23">
        <f t="shared" si="13"/>
        <v>39.593918074420799</v>
      </c>
      <c r="W131" s="37"/>
    </row>
    <row r="132" spans="9:23" x14ac:dyDescent="0.3">
      <c r="I132">
        <v>128</v>
      </c>
      <c r="J132" s="23">
        <f>$B$5*Data!C130/Data!C129</f>
        <v>3971.544448103622</v>
      </c>
      <c r="K132" s="23">
        <f>$B$6*Data!F130/Data!F129</f>
        <v>2954.5188491590357</v>
      </c>
      <c r="L132" s="23">
        <f>$B$7*Data!I130/Data!I129</f>
        <v>975.74106255994991</v>
      </c>
      <c r="M132" s="23">
        <f>$B$8*Data!L130/Data!L129</f>
        <v>1991.009083346087</v>
      </c>
      <c r="N132" s="23">
        <f t="shared" si="11"/>
        <v>9892.813443168694</v>
      </c>
      <c r="O132" s="23">
        <f t="shared" si="12"/>
        <v>-107.18655683130601</v>
      </c>
      <c r="P132" s="23">
        <f t="shared" si="13"/>
        <v>107.18655683130601</v>
      </c>
      <c r="W132" s="37"/>
    </row>
    <row r="133" spans="9:23" x14ac:dyDescent="0.3">
      <c r="I133">
        <v>129</v>
      </c>
      <c r="J133" s="23">
        <f>$B$5*Data!C131/Data!C130</f>
        <v>3983.9760321834392</v>
      </c>
      <c r="K133" s="23">
        <f>$B$6*Data!F131/Data!F130</f>
        <v>2980.2795450970721</v>
      </c>
      <c r="L133" s="23">
        <f>$B$7*Data!I131/Data!I130</f>
        <v>1002.3928644342797</v>
      </c>
      <c r="M133" s="23">
        <f>$B$8*Data!L131/Data!L130</f>
        <v>2019.7981547818065</v>
      </c>
      <c r="N133" s="23">
        <f t="shared" si="11"/>
        <v>9986.4465964965984</v>
      </c>
      <c r="O133" s="23">
        <f t="shared" si="12"/>
        <v>-13.553403503401569</v>
      </c>
      <c r="P133" s="23">
        <f t="shared" si="13"/>
        <v>13.553403503401569</v>
      </c>
      <c r="W133" s="37"/>
    </row>
    <row r="134" spans="9:23" x14ac:dyDescent="0.3">
      <c r="I134">
        <v>130</v>
      </c>
      <c r="J134" s="23">
        <f>$B$5*Data!C132/Data!C131</f>
        <v>4025.5570186850409</v>
      </c>
      <c r="K134" s="23">
        <f>$B$6*Data!F132/Data!F131</f>
        <v>2953.5897814580303</v>
      </c>
      <c r="L134" s="23">
        <f>$B$7*Data!I132/Data!I131</f>
        <v>1004.4832899385457</v>
      </c>
      <c r="M134" s="23">
        <f>$B$8*Data!L132/Data!L131</f>
        <v>2007.3259646922302</v>
      </c>
      <c r="N134" s="23">
        <f t="shared" ref="N134:N197" si="14">SUM(J134:M134)</f>
        <v>9990.9560547738474</v>
      </c>
      <c r="O134" s="23">
        <f t="shared" ref="O134:O197" si="15">N134-$B$9</f>
        <v>-9.043945226152573</v>
      </c>
      <c r="P134" s="23">
        <f t="shared" ref="P134:P197" si="16">-O134</f>
        <v>9.043945226152573</v>
      </c>
      <c r="W134" s="37"/>
    </row>
    <row r="135" spans="9:23" x14ac:dyDescent="0.3">
      <c r="I135">
        <v>131</v>
      </c>
      <c r="J135" s="23">
        <f>$B$5*Data!C133/Data!C132</f>
        <v>3969.5913403055192</v>
      </c>
      <c r="K135" s="23">
        <f>$B$6*Data!F133/Data!F132</f>
        <v>2975.4575480444328</v>
      </c>
      <c r="L135" s="23">
        <f>$B$7*Data!I133/Data!I132</f>
        <v>985.66917729883414</v>
      </c>
      <c r="M135" s="23">
        <f>$B$8*Data!L133/Data!L132</f>
        <v>2026.3717588549316</v>
      </c>
      <c r="N135" s="23">
        <f t="shared" si="14"/>
        <v>9957.089824503717</v>
      </c>
      <c r="O135" s="23">
        <f t="shared" si="15"/>
        <v>-42.910175496283046</v>
      </c>
      <c r="P135" s="23">
        <f t="shared" si="16"/>
        <v>42.910175496283046</v>
      </c>
      <c r="W135" s="37"/>
    </row>
    <row r="136" spans="9:23" x14ac:dyDescent="0.3">
      <c r="I136">
        <v>132</v>
      </c>
      <c r="J136" s="23">
        <f>$B$5*Data!C134/Data!C133</f>
        <v>4031.6776336299768</v>
      </c>
      <c r="K136" s="23">
        <f>$B$6*Data!F134/Data!F133</f>
        <v>3012.5478991609725</v>
      </c>
      <c r="L136" s="23">
        <f>$B$7*Data!I134/Data!I133</f>
        <v>1006.3552497664351</v>
      </c>
      <c r="M136" s="23">
        <f>$B$8*Data!L134/Data!L133</f>
        <v>1977.7529201399857</v>
      </c>
      <c r="N136" s="23">
        <f t="shared" si="14"/>
        <v>10028.333702697371</v>
      </c>
      <c r="O136" s="23">
        <f t="shared" si="15"/>
        <v>28.333702697371336</v>
      </c>
      <c r="P136" s="23">
        <f t="shared" si="16"/>
        <v>-28.333702697371336</v>
      </c>
      <c r="W136" s="37"/>
    </row>
    <row r="137" spans="9:23" x14ac:dyDescent="0.3">
      <c r="I137">
        <v>133</v>
      </c>
      <c r="J137" s="23">
        <f>$B$5*Data!C135/Data!C134</f>
        <v>4013.2924637268602</v>
      </c>
      <c r="K137" s="23">
        <f>$B$6*Data!F135/Data!F134</f>
        <v>3042.3992479584776</v>
      </c>
      <c r="L137" s="23">
        <f>$B$7*Data!I135/Data!I134</f>
        <v>994.83945018324766</v>
      </c>
      <c r="M137" s="23">
        <f>$B$8*Data!L135/Data!L134</f>
        <v>1974.3083736587157</v>
      </c>
      <c r="N137" s="23">
        <f t="shared" si="14"/>
        <v>10024.839535527302</v>
      </c>
      <c r="O137" s="23">
        <f t="shared" si="15"/>
        <v>24.83953552730236</v>
      </c>
      <c r="P137" s="23">
        <f t="shared" si="16"/>
        <v>-24.83953552730236</v>
      </c>
      <c r="W137" s="37"/>
    </row>
    <row r="138" spans="9:23" x14ac:dyDescent="0.3">
      <c r="I138">
        <v>134</v>
      </c>
      <c r="J138" s="23">
        <f>$B$5*Data!C136/Data!C135</f>
        <v>4009.712071076166</v>
      </c>
      <c r="K138" s="23">
        <f>$B$6*Data!F136/Data!F135</f>
        <v>3016.8239824411476</v>
      </c>
      <c r="L138" s="23">
        <f>$B$7*Data!I136/Data!I135</f>
        <v>1004.6075056840245</v>
      </c>
      <c r="M138" s="23">
        <f>$B$8*Data!L136/Data!L135</f>
        <v>2056.4657663743915</v>
      </c>
      <c r="N138" s="23">
        <f t="shared" si="14"/>
        <v>10087.60932557573</v>
      </c>
      <c r="O138" s="23">
        <f t="shared" si="15"/>
        <v>87.609325575729599</v>
      </c>
      <c r="P138" s="23">
        <f t="shared" si="16"/>
        <v>-87.609325575729599</v>
      </c>
      <c r="W138" s="37"/>
    </row>
    <row r="139" spans="9:23" x14ac:dyDescent="0.3">
      <c r="I139">
        <v>135</v>
      </c>
      <c r="J139" s="23">
        <f>$B$5*Data!C137/Data!C136</f>
        <v>4008.2741455678297</v>
      </c>
      <c r="K139" s="23">
        <f>$B$6*Data!F137/Data!F136</f>
        <v>3018.8944269280341</v>
      </c>
      <c r="L139" s="23">
        <f>$B$7*Data!I137/Data!I136</f>
        <v>1005.4386813748666</v>
      </c>
      <c r="M139" s="23">
        <f>$B$8*Data!L137/Data!L136</f>
        <v>2003.7085045856038</v>
      </c>
      <c r="N139" s="23">
        <f t="shared" si="14"/>
        <v>10036.315758456334</v>
      </c>
      <c r="O139" s="23">
        <f t="shared" si="15"/>
        <v>36.315758456334152</v>
      </c>
      <c r="P139" s="23">
        <f t="shared" si="16"/>
        <v>-36.315758456334152</v>
      </c>
      <c r="W139" s="37"/>
    </row>
    <row r="140" spans="9:23" x14ac:dyDescent="0.3">
      <c r="I140">
        <v>136</v>
      </c>
      <c r="J140" s="23">
        <f>$B$5*Data!C138/Data!C137</f>
        <v>3998.4073923274823</v>
      </c>
      <c r="K140" s="23">
        <f>$B$6*Data!F138/Data!F137</f>
        <v>2985.2705669860725</v>
      </c>
      <c r="L140" s="23">
        <f>$B$7*Data!I138/Data!I137</f>
        <v>996.65383709929517</v>
      </c>
      <c r="M140" s="23">
        <f>$B$8*Data!L138/Data!L137</f>
        <v>1994.7759965677301</v>
      </c>
      <c r="N140" s="23">
        <f t="shared" si="14"/>
        <v>9975.1077929805797</v>
      </c>
      <c r="O140" s="23">
        <f t="shared" si="15"/>
        <v>-24.892207019420312</v>
      </c>
      <c r="P140" s="23">
        <f t="shared" si="16"/>
        <v>24.892207019420312</v>
      </c>
      <c r="W140" s="37"/>
    </row>
    <row r="141" spans="9:23" x14ac:dyDescent="0.3">
      <c r="I141">
        <v>137</v>
      </c>
      <c r="J141" s="23">
        <f>$B$5*Data!C139/Data!C138</f>
        <v>3993.2349513456552</v>
      </c>
      <c r="K141" s="23">
        <f>$B$6*Data!F139/Data!F138</f>
        <v>2987.1979312687999</v>
      </c>
      <c r="L141" s="23">
        <f>$B$7*Data!I139/Data!I138</f>
        <v>1002.6878013288883</v>
      </c>
      <c r="M141" s="23">
        <f>$B$8*Data!L139/Data!L138</f>
        <v>2001.722424840603</v>
      </c>
      <c r="N141" s="23">
        <f t="shared" si="14"/>
        <v>9984.8431087839472</v>
      </c>
      <c r="O141" s="23">
        <f t="shared" si="15"/>
        <v>-15.156891216052827</v>
      </c>
      <c r="P141" s="23">
        <f t="shared" si="16"/>
        <v>15.156891216052827</v>
      </c>
      <c r="W141" s="37"/>
    </row>
    <row r="142" spans="9:23" x14ac:dyDescent="0.3">
      <c r="I142">
        <v>138</v>
      </c>
      <c r="J142" s="23">
        <f>$B$5*Data!C140/Data!C139</f>
        <v>4024.7953589090253</v>
      </c>
      <c r="K142" s="23">
        <f>$B$6*Data!F140/Data!F139</f>
        <v>3064.9830035274235</v>
      </c>
      <c r="L142" s="23">
        <f>$B$7*Data!I140/Data!I139</f>
        <v>1002.2541077170287</v>
      </c>
      <c r="M142" s="23">
        <f>$B$8*Data!L140/Data!L139</f>
        <v>1980.3375277893874</v>
      </c>
      <c r="N142" s="23">
        <f t="shared" si="14"/>
        <v>10072.369997942866</v>
      </c>
      <c r="O142" s="23">
        <f t="shared" si="15"/>
        <v>72.369997942865666</v>
      </c>
      <c r="P142" s="23">
        <f t="shared" si="16"/>
        <v>-72.369997942865666</v>
      </c>
      <c r="W142" s="37"/>
    </row>
    <row r="143" spans="9:23" x14ac:dyDescent="0.3">
      <c r="I143">
        <v>139</v>
      </c>
      <c r="J143" s="23">
        <f>$B$5*Data!C141/Data!C140</f>
        <v>4030.681637954081</v>
      </c>
      <c r="K143" s="23">
        <f>$B$6*Data!F141/Data!F140</f>
        <v>3008.5262824768333</v>
      </c>
      <c r="L143" s="23">
        <f>$B$7*Data!I141/Data!I140</f>
        <v>1006.2058924054526</v>
      </c>
      <c r="M143" s="23">
        <f>$B$8*Data!L141/Data!L140</f>
        <v>1988.985226148297</v>
      </c>
      <c r="N143" s="23">
        <f t="shared" si="14"/>
        <v>10034.399038984664</v>
      </c>
      <c r="O143" s="23">
        <f t="shared" si="15"/>
        <v>34.399038984664003</v>
      </c>
      <c r="P143" s="23">
        <f t="shared" si="16"/>
        <v>-34.399038984664003</v>
      </c>
      <c r="W143" s="37"/>
    </row>
    <row r="144" spans="9:23" x14ac:dyDescent="0.3">
      <c r="I144">
        <v>140</v>
      </c>
      <c r="J144" s="23">
        <f>$B$5*Data!C142/Data!C141</f>
        <v>4001.077114277005</v>
      </c>
      <c r="K144" s="23">
        <f>$B$6*Data!F142/Data!F141</f>
        <v>3006.858900545782</v>
      </c>
      <c r="L144" s="23">
        <f>$B$7*Data!I142/Data!I141</f>
        <v>1001.8101266420072</v>
      </c>
      <c r="M144" s="23">
        <f>$B$8*Data!L142/Data!L141</f>
        <v>2022.1011171415314</v>
      </c>
      <c r="N144" s="23">
        <f t="shared" si="14"/>
        <v>10031.847258606325</v>
      </c>
      <c r="O144" s="23">
        <f t="shared" si="15"/>
        <v>31.84725860632534</v>
      </c>
      <c r="P144" s="23">
        <f t="shared" si="16"/>
        <v>-31.84725860632534</v>
      </c>
      <c r="W144" s="37"/>
    </row>
    <row r="145" spans="9:23" x14ac:dyDescent="0.3">
      <c r="I145">
        <v>141</v>
      </c>
      <c r="J145" s="23">
        <f>$B$5*Data!C143/Data!C142</f>
        <v>4022.8057357822845</v>
      </c>
      <c r="K145" s="23">
        <f>$B$6*Data!F143/Data!F142</f>
        <v>2973.3546485564343</v>
      </c>
      <c r="L145" s="23">
        <f>$B$7*Data!I143/Data!I142</f>
        <v>1002.0428831706521</v>
      </c>
      <c r="M145" s="23">
        <f>$B$8*Data!L143/Data!L142</f>
        <v>2014.2546261240166</v>
      </c>
      <c r="N145" s="23">
        <f t="shared" si="14"/>
        <v>10012.457893633387</v>
      </c>
      <c r="O145" s="23">
        <f t="shared" si="15"/>
        <v>12.457893633387357</v>
      </c>
      <c r="P145" s="23">
        <f t="shared" si="16"/>
        <v>-12.457893633387357</v>
      </c>
      <c r="W145" s="37"/>
    </row>
    <row r="146" spans="9:23" x14ac:dyDescent="0.3">
      <c r="I146">
        <v>142</v>
      </c>
      <c r="J146" s="23">
        <f>$B$5*Data!C144/Data!C143</f>
        <v>3982.2786841262064</v>
      </c>
      <c r="K146" s="23">
        <f>$B$6*Data!F144/Data!F143</f>
        <v>2970.65407932876</v>
      </c>
      <c r="L146" s="23">
        <f>$B$7*Data!I144/Data!I143</f>
        <v>998.06524228241017</v>
      </c>
      <c r="M146" s="23">
        <f>$B$8*Data!L144/Data!L143</f>
        <v>2028.136784067832</v>
      </c>
      <c r="N146" s="23">
        <f t="shared" si="14"/>
        <v>9979.1347898052081</v>
      </c>
      <c r="O146" s="23">
        <f t="shared" si="15"/>
        <v>-20.865210194791871</v>
      </c>
      <c r="P146" s="23">
        <f t="shared" si="16"/>
        <v>20.865210194791871</v>
      </c>
      <c r="W146" s="37"/>
    </row>
    <row r="147" spans="9:23" x14ac:dyDescent="0.3">
      <c r="I147">
        <v>143</v>
      </c>
      <c r="J147" s="23">
        <f>$B$5*Data!C145/Data!C144</f>
        <v>4000.5379104221238</v>
      </c>
      <c r="K147" s="23">
        <f>$B$6*Data!F145/Data!F144</f>
        <v>2981.0662390402968</v>
      </c>
      <c r="L147" s="23">
        <f>$B$7*Data!I145/Data!I144</f>
        <v>995.19852751256883</v>
      </c>
      <c r="M147" s="23">
        <f>$B$8*Data!L145/Data!L144</f>
        <v>2001.3389941745118</v>
      </c>
      <c r="N147" s="23">
        <f t="shared" si="14"/>
        <v>9978.1416711495003</v>
      </c>
      <c r="O147" s="23">
        <f t="shared" si="15"/>
        <v>-21.858328850499674</v>
      </c>
      <c r="P147" s="23">
        <f t="shared" si="16"/>
        <v>21.858328850499674</v>
      </c>
      <c r="W147" s="37"/>
    </row>
    <row r="148" spans="9:23" x14ac:dyDescent="0.3">
      <c r="I148">
        <v>144</v>
      </c>
      <c r="J148" s="23">
        <f>$B$5*Data!C146/Data!C145</f>
        <v>3993.3827111763303</v>
      </c>
      <c r="K148" s="23">
        <f>$B$6*Data!F146/Data!F145</f>
        <v>3028.2327917056364</v>
      </c>
      <c r="L148" s="23">
        <f>$B$7*Data!I146/Data!I145</f>
        <v>993.36272766623892</v>
      </c>
      <c r="M148" s="23">
        <f>$B$8*Data!L146/Data!L145</f>
        <v>2010.1257468567803</v>
      </c>
      <c r="N148" s="23">
        <f t="shared" si="14"/>
        <v>10025.103977404986</v>
      </c>
      <c r="O148" s="23">
        <f t="shared" si="15"/>
        <v>25.103977404985926</v>
      </c>
      <c r="P148" s="23">
        <f t="shared" si="16"/>
        <v>-25.103977404985926</v>
      </c>
      <c r="W148" s="37"/>
    </row>
    <row r="149" spans="9:23" x14ac:dyDescent="0.3">
      <c r="I149">
        <v>145</v>
      </c>
      <c r="J149" s="23">
        <f>$B$5*Data!C147/Data!C146</f>
        <v>3988.7874933286048</v>
      </c>
      <c r="K149" s="23">
        <f>$B$6*Data!F147/Data!F146</f>
        <v>2921.7658414331459</v>
      </c>
      <c r="L149" s="23">
        <f>$B$7*Data!I147/Data!I146</f>
        <v>993.3899282592771</v>
      </c>
      <c r="M149" s="23">
        <f>$B$8*Data!L147/Data!L146</f>
        <v>1988.9080959379053</v>
      </c>
      <c r="N149" s="23">
        <f t="shared" si="14"/>
        <v>9892.8513589589347</v>
      </c>
      <c r="O149" s="23">
        <f t="shared" si="15"/>
        <v>-107.14864104106528</v>
      </c>
      <c r="P149" s="23">
        <f t="shared" si="16"/>
        <v>107.14864104106528</v>
      </c>
      <c r="W149" s="37"/>
    </row>
    <row r="150" spans="9:23" x14ac:dyDescent="0.3">
      <c r="I150">
        <v>146</v>
      </c>
      <c r="J150" s="23">
        <f>$B$5*Data!C148/Data!C147</f>
        <v>3985.3907794196857</v>
      </c>
      <c r="K150" s="23">
        <f>$B$6*Data!F148/Data!F147</f>
        <v>2970.3754095113864</v>
      </c>
      <c r="L150" s="23">
        <f>$B$7*Data!I148/Data!I147</f>
        <v>984.57841927194647</v>
      </c>
      <c r="M150" s="23">
        <f>$B$8*Data!L148/Data!L147</f>
        <v>2006.2987372724313</v>
      </c>
      <c r="N150" s="23">
        <f t="shared" si="14"/>
        <v>9946.6433454754497</v>
      </c>
      <c r="O150" s="23">
        <f t="shared" si="15"/>
        <v>-53.356654524550322</v>
      </c>
      <c r="P150" s="23">
        <f t="shared" si="16"/>
        <v>53.356654524550322</v>
      </c>
      <c r="W150" s="37"/>
    </row>
    <row r="151" spans="9:23" x14ac:dyDescent="0.3">
      <c r="I151">
        <v>147</v>
      </c>
      <c r="J151" s="23">
        <f>$B$5*Data!C149/Data!C148</f>
        <v>3991.1466209530117</v>
      </c>
      <c r="K151" s="23">
        <f>$B$6*Data!F149/Data!F148</f>
        <v>2999.8499033560547</v>
      </c>
      <c r="L151" s="23">
        <f>$B$7*Data!I149/Data!I148</f>
        <v>993.60398986074449</v>
      </c>
      <c r="M151" s="23">
        <f>$B$8*Data!L149/Data!L148</f>
        <v>1992.3180147020601</v>
      </c>
      <c r="N151" s="23">
        <f t="shared" si="14"/>
        <v>9976.9185288718709</v>
      </c>
      <c r="O151" s="23">
        <f t="shared" si="15"/>
        <v>-23.081471128129124</v>
      </c>
      <c r="P151" s="23">
        <f t="shared" si="16"/>
        <v>23.081471128129124</v>
      </c>
      <c r="W151" s="37"/>
    </row>
    <row r="152" spans="9:23" x14ac:dyDescent="0.3">
      <c r="I152">
        <v>148</v>
      </c>
      <c r="J152" s="23">
        <f>$B$5*Data!C150/Data!C149</f>
        <v>4007.591307010603</v>
      </c>
      <c r="K152" s="23">
        <f>$B$6*Data!F150/Data!F149</f>
        <v>2959.9550107995606</v>
      </c>
      <c r="L152" s="23">
        <f>$B$7*Data!I150/Data!I149</f>
        <v>1009.0219721487759</v>
      </c>
      <c r="M152" s="23">
        <f>$B$8*Data!L150/Data!L149</f>
        <v>1985.0200463268322</v>
      </c>
      <c r="N152" s="23">
        <f t="shared" si="14"/>
        <v>9961.5883362857712</v>
      </c>
      <c r="O152" s="23">
        <f t="shared" si="15"/>
        <v>-38.41166371422878</v>
      </c>
      <c r="P152" s="23">
        <f t="shared" si="16"/>
        <v>38.41166371422878</v>
      </c>
      <c r="W152" s="37"/>
    </row>
    <row r="153" spans="9:23" x14ac:dyDescent="0.3">
      <c r="I153">
        <v>149</v>
      </c>
      <c r="J153" s="23">
        <f>$B$5*Data!C151/Data!C150</f>
        <v>4014.9593663651785</v>
      </c>
      <c r="K153" s="23">
        <f>$B$6*Data!F151/Data!F150</f>
        <v>2978.484260020763</v>
      </c>
      <c r="L153" s="23">
        <f>$B$7*Data!I151/Data!I150</f>
        <v>1000.1904013483094</v>
      </c>
      <c r="M153" s="23">
        <f>$B$8*Data!L151/Data!L150</f>
        <v>1998.3985103088498</v>
      </c>
      <c r="N153" s="23">
        <f t="shared" si="14"/>
        <v>9992.0325380431004</v>
      </c>
      <c r="O153" s="23">
        <f t="shared" si="15"/>
        <v>-7.9674619568995695</v>
      </c>
      <c r="P153" s="23">
        <f t="shared" si="16"/>
        <v>7.9674619568995695</v>
      </c>
      <c r="W153" s="37"/>
    </row>
    <row r="154" spans="9:23" x14ac:dyDescent="0.3">
      <c r="I154">
        <v>150</v>
      </c>
      <c r="J154" s="23">
        <f>$B$5*Data!C152/Data!C151</f>
        <v>4001.4266873574329</v>
      </c>
      <c r="K154" s="23">
        <f>$B$6*Data!F152/Data!F151</f>
        <v>2991.1993676943857</v>
      </c>
      <c r="L154" s="23">
        <f>$B$7*Data!I152/Data!I151</f>
        <v>999.25422700216291</v>
      </c>
      <c r="M154" s="23">
        <f>$B$8*Data!L152/Data!L151</f>
        <v>1988.7597950314364</v>
      </c>
      <c r="N154" s="23">
        <f t="shared" si="14"/>
        <v>9980.6400770854179</v>
      </c>
      <c r="O154" s="23">
        <f t="shared" si="15"/>
        <v>-19.359922914582057</v>
      </c>
      <c r="P154" s="23">
        <f t="shared" si="16"/>
        <v>19.359922914582057</v>
      </c>
      <c r="W154" s="37"/>
    </row>
    <row r="155" spans="9:23" x14ac:dyDescent="0.3">
      <c r="I155">
        <v>151</v>
      </c>
      <c r="J155" s="23">
        <f>$B$5*Data!C153/Data!C152</f>
        <v>4021.129017642601</v>
      </c>
      <c r="K155" s="23">
        <f>$B$6*Data!F153/Data!F152</f>
        <v>3076.232702035375</v>
      </c>
      <c r="L155" s="23">
        <f>$B$7*Data!I153/Data!I152</f>
        <v>1006.1224893757712</v>
      </c>
      <c r="M155" s="23">
        <f>$B$8*Data!L153/Data!L152</f>
        <v>2016.91348218548</v>
      </c>
      <c r="N155" s="23">
        <f t="shared" si="14"/>
        <v>10120.397691239228</v>
      </c>
      <c r="O155" s="23">
        <f t="shared" si="15"/>
        <v>120.39769123922815</v>
      </c>
      <c r="P155" s="23">
        <f t="shared" si="16"/>
        <v>-120.39769123922815</v>
      </c>
      <c r="W155" s="37"/>
    </row>
    <row r="156" spans="9:23" x14ac:dyDescent="0.3">
      <c r="I156">
        <v>152</v>
      </c>
      <c r="J156" s="23">
        <f>$B$5*Data!C154/Data!C153</f>
        <v>4001.1019262149489</v>
      </c>
      <c r="K156" s="23">
        <f>$B$6*Data!F154/Data!F153</f>
        <v>3030.1971186179671</v>
      </c>
      <c r="L156" s="23">
        <f>$B$7*Data!I154/Data!I153</f>
        <v>1001.421456490218</v>
      </c>
      <c r="M156" s="23">
        <f>$B$8*Data!L154/Data!L153</f>
        <v>1959.6822505814941</v>
      </c>
      <c r="N156" s="23">
        <f t="shared" si="14"/>
        <v>9992.4027519046285</v>
      </c>
      <c r="O156" s="23">
        <f t="shared" si="15"/>
        <v>-7.5972480953714694</v>
      </c>
      <c r="P156" s="23">
        <f t="shared" si="16"/>
        <v>7.5972480953714694</v>
      </c>
      <c r="W156" s="37"/>
    </row>
    <row r="157" spans="9:23" x14ac:dyDescent="0.3">
      <c r="I157">
        <v>153</v>
      </c>
      <c r="J157" s="23">
        <f>$B$5*Data!C155/Data!C154</f>
        <v>3977.7211118680411</v>
      </c>
      <c r="K157" s="23">
        <f>$B$6*Data!F155/Data!F154</f>
        <v>2961.1278422139098</v>
      </c>
      <c r="L157" s="23">
        <f>$B$7*Data!I155/Data!I154</f>
        <v>996.12876196955733</v>
      </c>
      <c r="M157" s="23">
        <f>$B$8*Data!L155/Data!L154</f>
        <v>2003.2015263831961</v>
      </c>
      <c r="N157" s="23">
        <f t="shared" si="14"/>
        <v>9938.1792424347041</v>
      </c>
      <c r="O157" s="23">
        <f t="shared" si="15"/>
        <v>-61.820757565295935</v>
      </c>
      <c r="P157" s="23">
        <f t="shared" si="16"/>
        <v>61.820757565295935</v>
      </c>
      <c r="W157" s="37"/>
    </row>
    <row r="158" spans="9:23" x14ac:dyDescent="0.3">
      <c r="I158">
        <v>154</v>
      </c>
      <c r="J158" s="23">
        <f>$B$5*Data!C156/Data!C155</f>
        <v>4021.4760588990835</v>
      </c>
      <c r="K158" s="23">
        <f>$B$6*Data!F156/Data!F155</f>
        <v>3016.9098943339368</v>
      </c>
      <c r="L158" s="23">
        <f>$B$7*Data!I156/Data!I155</f>
        <v>994.61418598473904</v>
      </c>
      <c r="M158" s="23">
        <f>$B$8*Data!L156/Data!L155</f>
        <v>2030.1941046796107</v>
      </c>
      <c r="N158" s="23">
        <f t="shared" si="14"/>
        <v>10063.194243897371</v>
      </c>
      <c r="O158" s="23">
        <f t="shared" si="15"/>
        <v>63.194243897371052</v>
      </c>
      <c r="P158" s="23">
        <f t="shared" si="16"/>
        <v>-63.194243897371052</v>
      </c>
      <c r="W158" s="37"/>
    </row>
    <row r="159" spans="9:23" x14ac:dyDescent="0.3">
      <c r="I159">
        <v>155</v>
      </c>
      <c r="J159" s="23">
        <f>$B$5*Data!C157/Data!C156</f>
        <v>4005.0130900985873</v>
      </c>
      <c r="K159" s="23">
        <f>$B$6*Data!F157/Data!F156</f>
        <v>3035.7444748955254</v>
      </c>
      <c r="L159" s="23">
        <f>$B$7*Data!I157/Data!I156</f>
        <v>1001.6027318643589</v>
      </c>
      <c r="M159" s="23">
        <f>$B$8*Data!L157/Data!L156</f>
        <v>1978.5768655498227</v>
      </c>
      <c r="N159" s="23">
        <f t="shared" si="14"/>
        <v>10020.937162408294</v>
      </c>
      <c r="O159" s="23">
        <f t="shared" si="15"/>
        <v>20.937162408294171</v>
      </c>
      <c r="P159" s="23">
        <f t="shared" si="16"/>
        <v>-20.937162408294171</v>
      </c>
      <c r="W159" s="37"/>
    </row>
    <row r="160" spans="9:23" x14ac:dyDescent="0.3">
      <c r="I160">
        <v>156</v>
      </c>
      <c r="J160" s="23">
        <f>$B$5*Data!C158/Data!C157</f>
        <v>4031.3623678318941</v>
      </c>
      <c r="K160" s="23">
        <f>$B$6*Data!F158/Data!F157</f>
        <v>3007.6950962317837</v>
      </c>
      <c r="L160" s="23">
        <f>$B$7*Data!I158/Data!I157</f>
        <v>1002.2673956246579</v>
      </c>
      <c r="M160" s="23">
        <f>$B$8*Data!L158/Data!L157</f>
        <v>2021.8976014020295</v>
      </c>
      <c r="N160" s="23">
        <f t="shared" si="14"/>
        <v>10063.222461090365</v>
      </c>
      <c r="O160" s="23">
        <f t="shared" si="15"/>
        <v>63.222461090364959</v>
      </c>
      <c r="P160" s="23">
        <f t="shared" si="16"/>
        <v>-63.222461090364959</v>
      </c>
      <c r="W160" s="37"/>
    </row>
    <row r="161" spans="9:23" x14ac:dyDescent="0.3">
      <c r="I161">
        <v>157</v>
      </c>
      <c r="J161" s="23">
        <f>$B$5*Data!C159/Data!C158</f>
        <v>3998.5258681224946</v>
      </c>
      <c r="K161" s="23">
        <f>$B$6*Data!F159/Data!F158</f>
        <v>3051.9596629573339</v>
      </c>
      <c r="L161" s="23">
        <f>$B$7*Data!I159/Data!I158</f>
        <v>1006.522109546917</v>
      </c>
      <c r="M161" s="23">
        <f>$B$8*Data!L159/Data!L158</f>
        <v>2025.1507162816943</v>
      </c>
      <c r="N161" s="23">
        <f t="shared" si="14"/>
        <v>10082.15835690844</v>
      </c>
      <c r="O161" s="23">
        <f t="shared" si="15"/>
        <v>82.1583569084396</v>
      </c>
      <c r="P161" s="23">
        <f t="shared" si="16"/>
        <v>-82.1583569084396</v>
      </c>
      <c r="W161" s="37"/>
    </row>
    <row r="162" spans="9:23" x14ac:dyDescent="0.3">
      <c r="I162">
        <v>158</v>
      </c>
      <c r="J162" s="23">
        <f>$B$5*Data!C160/Data!C159</f>
        <v>3985.9372485307581</v>
      </c>
      <c r="K162" s="23">
        <f>$B$6*Data!F160/Data!F159</f>
        <v>2951.2560339248862</v>
      </c>
      <c r="L162" s="23">
        <f>$B$7*Data!I160/Data!I159</f>
        <v>1008.1192386818306</v>
      </c>
      <c r="M162" s="23">
        <f>$B$8*Data!L160/Data!L159</f>
        <v>2005.1457649317576</v>
      </c>
      <c r="N162" s="23">
        <f t="shared" si="14"/>
        <v>9950.4582860692317</v>
      </c>
      <c r="O162" s="23">
        <f t="shared" si="15"/>
        <v>-49.54171393076831</v>
      </c>
      <c r="P162" s="23">
        <f t="shared" si="16"/>
        <v>49.54171393076831</v>
      </c>
      <c r="W162" s="37"/>
    </row>
    <row r="163" spans="9:23" x14ac:dyDescent="0.3">
      <c r="I163">
        <v>159</v>
      </c>
      <c r="J163" s="23">
        <f>$B$5*Data!C161/Data!C160</f>
        <v>3994.779616359278</v>
      </c>
      <c r="K163" s="23">
        <f>$B$6*Data!F161/Data!F160</f>
        <v>3034.6347874026756</v>
      </c>
      <c r="L163" s="23">
        <f>$B$7*Data!I161/Data!I160</f>
        <v>994.59529878288788</v>
      </c>
      <c r="M163" s="23">
        <f>$B$8*Data!L161/Data!L160</f>
        <v>2009.7918790239335</v>
      </c>
      <c r="N163" s="23">
        <f t="shared" si="14"/>
        <v>10033.801581568774</v>
      </c>
      <c r="O163" s="23">
        <f t="shared" si="15"/>
        <v>33.801581568774054</v>
      </c>
      <c r="P163" s="23">
        <f t="shared" si="16"/>
        <v>-33.801581568774054</v>
      </c>
      <c r="W163" s="37"/>
    </row>
    <row r="164" spans="9:23" x14ac:dyDescent="0.3">
      <c r="I164">
        <v>160</v>
      </c>
      <c r="J164" s="23">
        <f>$B$5*Data!C162/Data!C161</f>
        <v>3986.8428873959961</v>
      </c>
      <c r="K164" s="23">
        <f>$B$6*Data!F162/Data!F161</f>
        <v>2989.0858437209054</v>
      </c>
      <c r="L164" s="23">
        <f>$B$7*Data!I162/Data!I161</f>
        <v>998.88722120980594</v>
      </c>
      <c r="M164" s="23">
        <f>$B$8*Data!L162/Data!L161</f>
        <v>2027.9758857566242</v>
      </c>
      <c r="N164" s="23">
        <f t="shared" si="14"/>
        <v>10002.791838083331</v>
      </c>
      <c r="O164" s="23">
        <f t="shared" si="15"/>
        <v>2.791838083330731</v>
      </c>
      <c r="P164" s="23">
        <f t="shared" si="16"/>
        <v>-2.791838083330731</v>
      </c>
      <c r="W164" s="37"/>
    </row>
    <row r="165" spans="9:23" x14ac:dyDescent="0.3">
      <c r="I165">
        <v>161</v>
      </c>
      <c r="J165" s="23">
        <f>$B$5*Data!C163/Data!C162</f>
        <v>4011.0531479404608</v>
      </c>
      <c r="K165" s="23">
        <f>$B$6*Data!F163/Data!F162</f>
        <v>3007.8853885767535</v>
      </c>
      <c r="L165" s="23">
        <f>$B$7*Data!I163/Data!I162</f>
        <v>1001.517289952945</v>
      </c>
      <c r="M165" s="23">
        <f>$B$8*Data!L163/Data!L162</f>
        <v>1994.3354667203123</v>
      </c>
      <c r="N165" s="23">
        <f t="shared" si="14"/>
        <v>10014.791293190472</v>
      </c>
      <c r="O165" s="23">
        <f t="shared" si="15"/>
        <v>14.791293190472061</v>
      </c>
      <c r="P165" s="23">
        <f t="shared" si="16"/>
        <v>-14.791293190472061</v>
      </c>
      <c r="W165" s="37"/>
    </row>
    <row r="166" spans="9:23" x14ac:dyDescent="0.3">
      <c r="I166">
        <v>162</v>
      </c>
      <c r="J166" s="23">
        <f>$B$5*Data!C164/Data!C163</f>
        <v>3999.9725188743996</v>
      </c>
      <c r="K166" s="23">
        <f>$B$6*Data!F164/Data!F163</f>
        <v>2928.5166662519023</v>
      </c>
      <c r="L166" s="23">
        <f>$B$7*Data!I164/Data!I163</f>
        <v>1006.4580495452714</v>
      </c>
      <c r="M166" s="23">
        <f>$B$8*Data!L164/Data!L163</f>
        <v>2007.8895203150134</v>
      </c>
      <c r="N166" s="23">
        <f t="shared" si="14"/>
        <v>9942.836754986587</v>
      </c>
      <c r="O166" s="23">
        <f t="shared" si="15"/>
        <v>-57.163245013412961</v>
      </c>
      <c r="P166" s="23">
        <f t="shared" si="16"/>
        <v>57.163245013412961</v>
      </c>
      <c r="W166" s="37"/>
    </row>
    <row r="167" spans="9:23" x14ac:dyDescent="0.3">
      <c r="I167">
        <v>163</v>
      </c>
      <c r="J167" s="23">
        <f>$B$5*Data!C165/Data!C164</f>
        <v>4014.5644212696338</v>
      </c>
      <c r="K167" s="23">
        <f>$B$6*Data!F165/Data!F164</f>
        <v>2996.1158372158943</v>
      </c>
      <c r="L167" s="23">
        <f>$B$7*Data!I165/Data!I164</f>
        <v>990.70956628270892</v>
      </c>
      <c r="M167" s="23">
        <f>$B$8*Data!L165/Data!L164</f>
        <v>2012.0148131498424</v>
      </c>
      <c r="N167" s="23">
        <f t="shared" si="14"/>
        <v>10013.40463791808</v>
      </c>
      <c r="O167" s="23">
        <f t="shared" si="15"/>
        <v>13.40463791807997</v>
      </c>
      <c r="P167" s="23">
        <f t="shared" si="16"/>
        <v>-13.40463791807997</v>
      </c>
      <c r="W167" s="37"/>
    </row>
    <row r="168" spans="9:23" x14ac:dyDescent="0.3">
      <c r="I168">
        <v>164</v>
      </c>
      <c r="J168" s="23">
        <f>$B$5*Data!C166/Data!C165</f>
        <v>3998.4132395103707</v>
      </c>
      <c r="K168" s="23">
        <f>$B$6*Data!F166/Data!F165</f>
        <v>2948.2426477354243</v>
      </c>
      <c r="L168" s="23">
        <f>$B$7*Data!I166/Data!I165</f>
        <v>1004.5817815102187</v>
      </c>
      <c r="M168" s="23">
        <f>$B$8*Data!L166/Data!L165</f>
        <v>2020.2190171060206</v>
      </c>
      <c r="N168" s="23">
        <f t="shared" si="14"/>
        <v>9971.4566858620346</v>
      </c>
      <c r="O168" s="23">
        <f t="shared" si="15"/>
        <v>-28.543314137965353</v>
      </c>
      <c r="P168" s="23">
        <f t="shared" si="16"/>
        <v>28.543314137965353</v>
      </c>
      <c r="W168" s="37"/>
    </row>
    <row r="169" spans="9:23" x14ac:dyDescent="0.3">
      <c r="I169">
        <v>165</v>
      </c>
      <c r="J169" s="23">
        <f>$B$5*Data!C167/Data!C166</f>
        <v>4002.8460788161619</v>
      </c>
      <c r="K169" s="23">
        <f>$B$6*Data!F167/Data!F166</f>
        <v>2994.2196048521359</v>
      </c>
      <c r="L169" s="23">
        <f>$B$7*Data!I167/Data!I166</f>
        <v>997.89793520513649</v>
      </c>
      <c r="M169" s="23">
        <f>$B$8*Data!L167/Data!L166</f>
        <v>2007.474026915349</v>
      </c>
      <c r="N169" s="23">
        <f t="shared" si="14"/>
        <v>10002.437645788783</v>
      </c>
      <c r="O169" s="23">
        <f t="shared" si="15"/>
        <v>2.4376457887829019</v>
      </c>
      <c r="P169" s="23">
        <f t="shared" si="16"/>
        <v>-2.4376457887829019</v>
      </c>
      <c r="W169" s="37"/>
    </row>
    <row r="170" spans="9:23" x14ac:dyDescent="0.3">
      <c r="I170">
        <v>166</v>
      </c>
      <c r="J170" s="23">
        <f>$B$5*Data!C168/Data!C167</f>
        <v>3967.3220697679308</v>
      </c>
      <c r="K170" s="23">
        <f>$B$6*Data!F168/Data!F167</f>
        <v>2958.2276013601531</v>
      </c>
      <c r="L170" s="23">
        <f>$B$7*Data!I168/Data!I167</f>
        <v>996.03454692265336</v>
      </c>
      <c r="M170" s="23">
        <f>$B$8*Data!L168/Data!L167</f>
        <v>1969.9467648164364</v>
      </c>
      <c r="N170" s="23">
        <f t="shared" si="14"/>
        <v>9891.5309828671743</v>
      </c>
      <c r="O170" s="23">
        <f t="shared" si="15"/>
        <v>-108.46901713282568</v>
      </c>
      <c r="P170" s="23">
        <f t="shared" si="16"/>
        <v>108.46901713282568</v>
      </c>
      <c r="W170" s="37"/>
    </row>
    <row r="171" spans="9:23" x14ac:dyDescent="0.3">
      <c r="I171">
        <v>167</v>
      </c>
      <c r="J171" s="23">
        <f>$B$5*Data!C169/Data!C168</f>
        <v>3977.8880850169303</v>
      </c>
      <c r="K171" s="23">
        <f>$B$6*Data!F169/Data!F168</f>
        <v>2996.6041319635028</v>
      </c>
      <c r="L171" s="23">
        <f>$B$7*Data!I169/Data!I168</f>
        <v>983.1337022495328</v>
      </c>
      <c r="M171" s="23">
        <f>$B$8*Data!L169/Data!L168</f>
        <v>2029.9034976064961</v>
      </c>
      <c r="N171" s="23">
        <f t="shared" si="14"/>
        <v>9987.5294168364617</v>
      </c>
      <c r="O171" s="23">
        <f t="shared" si="15"/>
        <v>-12.470583163538322</v>
      </c>
      <c r="P171" s="23">
        <f t="shared" si="16"/>
        <v>12.470583163538322</v>
      </c>
      <c r="W171" s="37"/>
    </row>
    <row r="172" spans="9:23" x14ac:dyDescent="0.3">
      <c r="I172">
        <v>168</v>
      </c>
      <c r="J172" s="23">
        <f>$B$5*Data!C170/Data!C169</f>
        <v>3998.4195344793134</v>
      </c>
      <c r="K172" s="23">
        <f>$B$6*Data!F170/Data!F169</f>
        <v>3002.3108042109002</v>
      </c>
      <c r="L172" s="23">
        <f>$B$7*Data!I170/Data!I169</f>
        <v>982.71245277088815</v>
      </c>
      <c r="M172" s="23">
        <f>$B$8*Data!L170/Data!L169</f>
        <v>2015.8577064378562</v>
      </c>
      <c r="N172" s="23">
        <f t="shared" si="14"/>
        <v>9999.3004978989575</v>
      </c>
      <c r="O172" s="23">
        <f t="shared" si="15"/>
        <v>-0.69950210104252619</v>
      </c>
      <c r="P172" s="23">
        <f t="shared" si="16"/>
        <v>0.69950210104252619</v>
      </c>
      <c r="W172" s="37"/>
    </row>
    <row r="173" spans="9:23" x14ac:dyDescent="0.3">
      <c r="I173">
        <v>169</v>
      </c>
      <c r="J173" s="23">
        <f>$B$5*Data!C171/Data!C170</f>
        <v>3994.3283850238454</v>
      </c>
      <c r="K173" s="23">
        <f>$B$6*Data!F171/Data!F170</f>
        <v>2893.8611059040222</v>
      </c>
      <c r="L173" s="23">
        <f>$B$7*Data!I171/Data!I170</f>
        <v>1006.6261490935043</v>
      </c>
      <c r="M173" s="23">
        <f>$B$8*Data!L171/Data!L170</f>
        <v>2000.8677707224338</v>
      </c>
      <c r="N173" s="23">
        <f t="shared" si="14"/>
        <v>9895.6834107438044</v>
      </c>
      <c r="O173" s="23">
        <f t="shared" si="15"/>
        <v>-104.31658925619558</v>
      </c>
      <c r="P173" s="23">
        <f t="shared" si="16"/>
        <v>104.31658925619558</v>
      </c>
      <c r="W173" s="37"/>
    </row>
    <row r="174" spans="9:23" x14ac:dyDescent="0.3">
      <c r="I174">
        <v>170</v>
      </c>
      <c r="J174" s="23">
        <f>$B$5*Data!C172/Data!C171</f>
        <v>3868.5430843470594</v>
      </c>
      <c r="K174" s="23">
        <f>$B$6*Data!F172/Data!F171</f>
        <v>3063.537553418982</v>
      </c>
      <c r="L174" s="23">
        <f>$B$7*Data!I172/Data!I171</f>
        <v>974.24507115794484</v>
      </c>
      <c r="M174" s="23">
        <f>$B$8*Data!L172/Data!L171</f>
        <v>1971.6996218633626</v>
      </c>
      <c r="N174" s="23">
        <f t="shared" si="14"/>
        <v>9878.0253307873481</v>
      </c>
      <c r="O174" s="23">
        <f t="shared" si="15"/>
        <v>-121.97466921265186</v>
      </c>
      <c r="P174" s="23">
        <f t="shared" si="16"/>
        <v>121.97466921265186</v>
      </c>
      <c r="W174" s="37"/>
    </row>
    <row r="175" spans="9:23" x14ac:dyDescent="0.3">
      <c r="I175">
        <v>171</v>
      </c>
      <c r="J175" s="23">
        <f>$B$5*Data!C173/Data!C172</f>
        <v>3917.707968755974</v>
      </c>
      <c r="K175" s="23">
        <f>$B$6*Data!F173/Data!F172</f>
        <v>2958.5570813428849</v>
      </c>
      <c r="L175" s="23">
        <f>$B$7*Data!I173/Data!I172</f>
        <v>985.30252556039943</v>
      </c>
      <c r="M175" s="23">
        <f>$B$8*Data!L173/Data!L172</f>
        <v>1987.6080596116547</v>
      </c>
      <c r="N175" s="23">
        <f t="shared" si="14"/>
        <v>9849.1756352709126</v>
      </c>
      <c r="O175" s="23">
        <f t="shared" si="15"/>
        <v>-150.82436472908739</v>
      </c>
      <c r="P175" s="23">
        <f t="shared" si="16"/>
        <v>150.82436472908739</v>
      </c>
      <c r="W175" s="37"/>
    </row>
    <row r="176" spans="9:23" x14ac:dyDescent="0.3">
      <c r="I176">
        <v>172</v>
      </c>
      <c r="J176" s="23">
        <f>$B$5*Data!C174/Data!C173</f>
        <v>4056.8247918542938</v>
      </c>
      <c r="K176" s="23">
        <f>$B$6*Data!F174/Data!F173</f>
        <v>3002.0278064147142</v>
      </c>
      <c r="L176" s="23">
        <f>$B$7*Data!I174/Data!I173</f>
        <v>991.51322087167739</v>
      </c>
      <c r="M176" s="23">
        <f>$B$8*Data!L174/Data!L173</f>
        <v>1973.2554192967068</v>
      </c>
      <c r="N176" s="23">
        <f t="shared" si="14"/>
        <v>10023.621238437392</v>
      </c>
      <c r="O176" s="23">
        <f t="shared" si="15"/>
        <v>23.621238437392094</v>
      </c>
      <c r="P176" s="23">
        <f t="shared" si="16"/>
        <v>-23.621238437392094</v>
      </c>
      <c r="W176" s="37"/>
    </row>
    <row r="177" spans="9:23" x14ac:dyDescent="0.3">
      <c r="I177">
        <v>173</v>
      </c>
      <c r="J177" s="23">
        <f>$B$5*Data!C175/Data!C174</f>
        <v>3976.3800837822832</v>
      </c>
      <c r="K177" s="23">
        <f>$B$6*Data!F175/Data!F174</f>
        <v>2999.0917163200547</v>
      </c>
      <c r="L177" s="23">
        <f>$B$7*Data!I175/Data!I174</f>
        <v>1005.6276406378895</v>
      </c>
      <c r="M177" s="23">
        <f>$B$8*Data!L175/Data!L174</f>
        <v>1990.7616909350422</v>
      </c>
      <c r="N177" s="23">
        <f t="shared" si="14"/>
        <v>9971.8611316752686</v>
      </c>
      <c r="O177" s="23">
        <f t="shared" si="15"/>
        <v>-28.138868324731448</v>
      </c>
      <c r="P177" s="23">
        <f t="shared" si="16"/>
        <v>28.138868324731448</v>
      </c>
      <c r="W177" s="37"/>
    </row>
    <row r="178" spans="9:23" x14ac:dyDescent="0.3">
      <c r="I178">
        <v>174</v>
      </c>
      <c r="J178" s="23">
        <f>$B$5*Data!C176/Data!C175</f>
        <v>4085.9824009272565</v>
      </c>
      <c r="K178" s="23">
        <f>$B$6*Data!F176/Data!F175</f>
        <v>3012.5929871148724</v>
      </c>
      <c r="L178" s="23">
        <f>$B$7*Data!I176/Data!I175</f>
        <v>1017.8195003858516</v>
      </c>
      <c r="M178" s="23">
        <f>$B$8*Data!L176/Data!L175</f>
        <v>1989.3512441539178</v>
      </c>
      <c r="N178" s="23">
        <f t="shared" si="14"/>
        <v>10105.746132581899</v>
      </c>
      <c r="O178" s="23">
        <f t="shared" si="15"/>
        <v>105.74613258189856</v>
      </c>
      <c r="P178" s="23">
        <f t="shared" si="16"/>
        <v>-105.74613258189856</v>
      </c>
      <c r="W178" s="37"/>
    </row>
    <row r="179" spans="9:23" x14ac:dyDescent="0.3">
      <c r="I179">
        <v>175</v>
      </c>
      <c r="J179" s="23">
        <f>$B$5*Data!C177/Data!C176</f>
        <v>3998.9893505584391</v>
      </c>
      <c r="K179" s="23">
        <f>$B$6*Data!F177/Data!F176</f>
        <v>3069.4504202760754</v>
      </c>
      <c r="L179" s="23">
        <f>$B$7*Data!I177/Data!I176</f>
        <v>993.64220238196458</v>
      </c>
      <c r="M179" s="23">
        <f>$B$8*Data!L177/Data!L176</f>
        <v>1991.1472587698236</v>
      </c>
      <c r="N179" s="23">
        <f t="shared" si="14"/>
        <v>10053.229231986305</v>
      </c>
      <c r="O179" s="23">
        <f t="shared" si="15"/>
        <v>53.229231986304512</v>
      </c>
      <c r="P179" s="23">
        <f t="shared" si="16"/>
        <v>-53.229231986304512</v>
      </c>
      <c r="W179" s="37"/>
    </row>
    <row r="180" spans="9:23" x14ac:dyDescent="0.3">
      <c r="I180">
        <v>176</v>
      </c>
      <c r="J180" s="23">
        <f>$B$5*Data!C178/Data!C177</f>
        <v>3942.4323100639895</v>
      </c>
      <c r="K180" s="23">
        <f>$B$6*Data!F178/Data!F177</f>
        <v>2907.4758186366448</v>
      </c>
      <c r="L180" s="23">
        <f>$B$7*Data!I178/Data!I177</f>
        <v>985.00485615308889</v>
      </c>
      <c r="M180" s="23">
        <f>$B$8*Data!L178/Data!L177</f>
        <v>1927.413840328833</v>
      </c>
      <c r="N180" s="23">
        <f t="shared" si="14"/>
        <v>9762.3268251825557</v>
      </c>
      <c r="O180" s="23">
        <f t="shared" si="15"/>
        <v>-237.67317481744431</v>
      </c>
      <c r="P180" s="23">
        <f t="shared" si="16"/>
        <v>237.67317481744431</v>
      </c>
      <c r="W180" s="37"/>
    </row>
    <row r="181" spans="9:23" x14ac:dyDescent="0.3">
      <c r="I181">
        <v>177</v>
      </c>
      <c r="J181" s="23">
        <f>$B$5*Data!C179/Data!C178</f>
        <v>3998.555320408951</v>
      </c>
      <c r="K181" s="23">
        <f>$B$6*Data!F179/Data!F178</f>
        <v>2988.5461949237833</v>
      </c>
      <c r="L181" s="23">
        <f>$B$7*Data!I179/Data!I178</f>
        <v>994.39833254960593</v>
      </c>
      <c r="M181" s="23">
        <f>$B$8*Data!L179/Data!L178</f>
        <v>2004.8494030694635</v>
      </c>
      <c r="N181" s="23">
        <f t="shared" si="14"/>
        <v>9986.3492509518037</v>
      </c>
      <c r="O181" s="23">
        <f t="shared" si="15"/>
        <v>-13.650749048196303</v>
      </c>
      <c r="P181" s="23">
        <f t="shared" si="16"/>
        <v>13.650749048196303</v>
      </c>
      <c r="W181" s="37"/>
    </row>
    <row r="182" spans="9:23" x14ac:dyDescent="0.3">
      <c r="I182">
        <v>178</v>
      </c>
      <c r="J182" s="23">
        <f>$B$5*Data!C180/Data!C179</f>
        <v>3982.8018905038498</v>
      </c>
      <c r="K182" s="23">
        <f>$B$6*Data!F180/Data!F179</f>
        <v>2969.6648803147755</v>
      </c>
      <c r="L182" s="23">
        <f>$B$7*Data!I180/Data!I179</f>
        <v>1005.6465032806309</v>
      </c>
      <c r="M182" s="23">
        <f>$B$8*Data!L180/Data!L179</f>
        <v>1964.1595516242808</v>
      </c>
      <c r="N182" s="23">
        <f t="shared" si="14"/>
        <v>9922.2728257235376</v>
      </c>
      <c r="O182" s="23">
        <f t="shared" si="15"/>
        <v>-77.727174276462392</v>
      </c>
      <c r="P182" s="23">
        <f t="shared" si="16"/>
        <v>77.727174276462392</v>
      </c>
      <c r="W182" s="37"/>
    </row>
    <row r="183" spans="9:23" x14ac:dyDescent="0.3">
      <c r="I183">
        <v>179</v>
      </c>
      <c r="J183" s="23">
        <f>$B$5*Data!C181/Data!C180</f>
        <v>3977.952679151655</v>
      </c>
      <c r="K183" s="23">
        <f>$B$6*Data!F181/Data!F180</f>
        <v>2966.7730286698293</v>
      </c>
      <c r="L183" s="23">
        <f>$B$7*Data!I181/Data!I180</f>
        <v>975.98600601460328</v>
      </c>
      <c r="M183" s="23">
        <f>$B$8*Data!L181/Data!L180</f>
        <v>2017.9125883261459</v>
      </c>
      <c r="N183" s="23">
        <f t="shared" si="14"/>
        <v>9938.6243021622322</v>
      </c>
      <c r="O183" s="23">
        <f t="shared" si="15"/>
        <v>-61.375697837767802</v>
      </c>
      <c r="P183" s="23">
        <f t="shared" si="16"/>
        <v>61.375697837767802</v>
      </c>
      <c r="W183" s="37"/>
    </row>
    <row r="184" spans="9:23" x14ac:dyDescent="0.3">
      <c r="I184">
        <v>180</v>
      </c>
      <c r="J184" s="23">
        <f>$B$5*Data!C182/Data!C181</f>
        <v>3876.5422651653389</v>
      </c>
      <c r="K184" s="23">
        <f>$B$6*Data!F182/Data!F181</f>
        <v>3011.4584044731318</v>
      </c>
      <c r="L184" s="23">
        <f>$B$7*Data!I182/Data!I181</f>
        <v>995.28599868516369</v>
      </c>
      <c r="M184" s="23">
        <f>$B$8*Data!L182/Data!L181</f>
        <v>2016.1988885969201</v>
      </c>
      <c r="N184" s="23">
        <f t="shared" si="14"/>
        <v>9899.4855569205538</v>
      </c>
      <c r="O184" s="23">
        <f t="shared" si="15"/>
        <v>-100.51444307944621</v>
      </c>
      <c r="P184" s="23">
        <f t="shared" si="16"/>
        <v>100.51444307944621</v>
      </c>
      <c r="W184" s="37"/>
    </row>
    <row r="185" spans="9:23" x14ac:dyDescent="0.3">
      <c r="I185">
        <v>181</v>
      </c>
      <c r="J185" s="23">
        <f>$B$5*Data!C183/Data!C182</f>
        <v>4074.5001591427222</v>
      </c>
      <c r="K185" s="23">
        <f>$B$6*Data!F183/Data!F182</f>
        <v>2972.6129200314972</v>
      </c>
      <c r="L185" s="23">
        <f>$B$7*Data!I183/Data!I182</f>
        <v>1010.4964336691324</v>
      </c>
      <c r="M185" s="23">
        <f>$B$8*Data!L183/Data!L182</f>
        <v>1984.9619453072462</v>
      </c>
      <c r="N185" s="23">
        <f t="shared" si="14"/>
        <v>10042.571458150598</v>
      </c>
      <c r="O185" s="23">
        <f t="shared" si="15"/>
        <v>42.571458150598119</v>
      </c>
      <c r="P185" s="23">
        <f t="shared" si="16"/>
        <v>-42.571458150598119</v>
      </c>
      <c r="W185" s="37"/>
    </row>
    <row r="186" spans="9:23" x14ac:dyDescent="0.3">
      <c r="I186">
        <v>182</v>
      </c>
      <c r="J186" s="23">
        <f>$B$5*Data!C184/Data!C183</f>
        <v>3930.6909437615795</v>
      </c>
      <c r="K186" s="23">
        <f>$B$6*Data!F184/Data!F183</f>
        <v>3048.0966040517292</v>
      </c>
      <c r="L186" s="23">
        <f>$B$7*Data!I184/Data!I183</f>
        <v>994.40043144177082</v>
      </c>
      <c r="M186" s="23">
        <f>$B$8*Data!L184/Data!L183</f>
        <v>1982.492330004746</v>
      </c>
      <c r="N186" s="23">
        <f t="shared" si="14"/>
        <v>9955.6803092598257</v>
      </c>
      <c r="O186" s="23">
        <f t="shared" si="15"/>
        <v>-44.319690740174337</v>
      </c>
      <c r="P186" s="23">
        <f t="shared" si="16"/>
        <v>44.319690740174337</v>
      </c>
      <c r="W186" s="37"/>
    </row>
    <row r="187" spans="9:23" x14ac:dyDescent="0.3">
      <c r="I187">
        <v>183</v>
      </c>
      <c r="J187" s="23">
        <f>$B$5*Data!C185/Data!C184</f>
        <v>3973.7616023123924</v>
      </c>
      <c r="K187" s="23">
        <f>$B$6*Data!F185/Data!F184</f>
        <v>3052.3998364136105</v>
      </c>
      <c r="L187" s="23">
        <f>$B$7*Data!I185/Data!I184</f>
        <v>1003.9130165030381</v>
      </c>
      <c r="M187" s="23">
        <f>$B$8*Data!L185/Data!L184</f>
        <v>2010.3200189693446</v>
      </c>
      <c r="N187" s="23">
        <f t="shared" si="14"/>
        <v>10040.394474198387</v>
      </c>
      <c r="O187" s="23">
        <f t="shared" si="15"/>
        <v>40.394474198386888</v>
      </c>
      <c r="P187" s="23">
        <f t="shared" si="16"/>
        <v>-40.394474198386888</v>
      </c>
      <c r="W187" s="37"/>
    </row>
    <row r="188" spans="9:23" x14ac:dyDescent="0.3">
      <c r="I188">
        <v>184</v>
      </c>
      <c r="J188" s="23">
        <f>$B$5*Data!C186/Data!C185</f>
        <v>4062.6671204921909</v>
      </c>
      <c r="K188" s="23">
        <f>$B$6*Data!F186/Data!F185</f>
        <v>3126.3396611189801</v>
      </c>
      <c r="L188" s="23">
        <f>$B$7*Data!I186/Data!I185</f>
        <v>992.77828492709796</v>
      </c>
      <c r="M188" s="23">
        <f>$B$8*Data!L186/Data!L185</f>
        <v>1946.2594907903804</v>
      </c>
      <c r="N188" s="23">
        <f t="shared" si="14"/>
        <v>10128.044557328649</v>
      </c>
      <c r="O188" s="23">
        <f t="shared" si="15"/>
        <v>128.04455732864881</v>
      </c>
      <c r="P188" s="23">
        <f t="shared" si="16"/>
        <v>-128.04455732864881</v>
      </c>
      <c r="W188" s="37"/>
    </row>
    <row r="189" spans="9:23" x14ac:dyDescent="0.3">
      <c r="I189">
        <v>185</v>
      </c>
      <c r="J189" s="23">
        <f>$B$5*Data!C187/Data!C186</f>
        <v>4043.4053272640745</v>
      </c>
      <c r="K189" s="23">
        <f>$B$6*Data!F187/Data!F186</f>
        <v>2937.4818736275633</v>
      </c>
      <c r="L189" s="23">
        <f>$B$7*Data!I187/Data!I186</f>
        <v>1006.2190684842323</v>
      </c>
      <c r="M189" s="23">
        <f>$B$8*Data!L187/Data!L186</f>
        <v>2007.4708525408366</v>
      </c>
      <c r="N189" s="23">
        <f t="shared" si="14"/>
        <v>9994.5771219167073</v>
      </c>
      <c r="O189" s="23">
        <f t="shared" si="15"/>
        <v>-5.4228780832927441</v>
      </c>
      <c r="P189" s="23">
        <f t="shared" si="16"/>
        <v>5.4228780832927441</v>
      </c>
      <c r="W189" s="37"/>
    </row>
    <row r="190" spans="9:23" x14ac:dyDescent="0.3">
      <c r="I190">
        <v>186</v>
      </c>
      <c r="J190" s="23">
        <f>$B$5*Data!C188/Data!C187</f>
        <v>4042.2313748450492</v>
      </c>
      <c r="K190" s="23">
        <f>$B$6*Data!F188/Data!F187</f>
        <v>3021.5818041415805</v>
      </c>
      <c r="L190" s="23">
        <f>$B$7*Data!I188/Data!I187</f>
        <v>1004.6890561608258</v>
      </c>
      <c r="M190" s="23">
        <f>$B$8*Data!L188/Data!L187</f>
        <v>1922.2162247095707</v>
      </c>
      <c r="N190" s="23">
        <f t="shared" si="14"/>
        <v>9990.7184598570257</v>
      </c>
      <c r="O190" s="23">
        <f t="shared" si="15"/>
        <v>-9.281540142974336</v>
      </c>
      <c r="P190" s="23">
        <f t="shared" si="16"/>
        <v>9.281540142974336</v>
      </c>
      <c r="W190" s="37"/>
    </row>
    <row r="191" spans="9:23" x14ac:dyDescent="0.3">
      <c r="I191">
        <v>187</v>
      </c>
      <c r="J191" s="23">
        <f>$B$5*Data!C189/Data!C188</f>
        <v>3974.733255347347</v>
      </c>
      <c r="K191" s="23">
        <f>$B$6*Data!F189/Data!F188</f>
        <v>3003.0697777616347</v>
      </c>
      <c r="L191" s="23">
        <f>$B$7*Data!I189/Data!I188</f>
        <v>1010.0121662697363</v>
      </c>
      <c r="M191" s="23">
        <f>$B$8*Data!L189/Data!L188</f>
        <v>1990.4524276853679</v>
      </c>
      <c r="N191" s="23">
        <f t="shared" si="14"/>
        <v>9978.2676270640859</v>
      </c>
      <c r="O191" s="23">
        <f t="shared" si="15"/>
        <v>-21.7323729359141</v>
      </c>
      <c r="P191" s="23">
        <f t="shared" si="16"/>
        <v>21.7323729359141</v>
      </c>
      <c r="W191" s="37"/>
    </row>
    <row r="192" spans="9:23" x14ac:dyDescent="0.3">
      <c r="I192">
        <v>188</v>
      </c>
      <c r="J192" s="23">
        <f>$B$5*Data!C190/Data!C189</f>
        <v>4022.4012686750661</v>
      </c>
      <c r="K192" s="23">
        <f>$B$6*Data!F190/Data!F189</f>
        <v>3009.1822166708671</v>
      </c>
      <c r="L192" s="23">
        <f>$B$7*Data!I190/Data!I189</f>
        <v>998.97022205894314</v>
      </c>
      <c r="M192" s="23">
        <f>$B$8*Data!L190/Data!L189</f>
        <v>2000.3295606067388</v>
      </c>
      <c r="N192" s="23">
        <f t="shared" si="14"/>
        <v>10030.883268011616</v>
      </c>
      <c r="O192" s="23">
        <f t="shared" si="15"/>
        <v>30.883268011615655</v>
      </c>
      <c r="P192" s="23">
        <f t="shared" si="16"/>
        <v>-30.883268011615655</v>
      </c>
      <c r="W192" s="37"/>
    </row>
    <row r="193" spans="9:23" x14ac:dyDescent="0.3">
      <c r="I193">
        <v>189</v>
      </c>
      <c r="J193" s="23">
        <f>$B$5*Data!C191/Data!C190</f>
        <v>4025.0371822484694</v>
      </c>
      <c r="K193" s="23">
        <f>$B$6*Data!F191/Data!F190</f>
        <v>2928.4191575676932</v>
      </c>
      <c r="L193" s="23">
        <f>$B$7*Data!I191/Data!I190</f>
        <v>1004.4465369083395</v>
      </c>
      <c r="M193" s="23">
        <f>$B$8*Data!L191/Data!L190</f>
        <v>2024.2464404566933</v>
      </c>
      <c r="N193" s="23">
        <f t="shared" si="14"/>
        <v>9982.1493171811944</v>
      </c>
      <c r="O193" s="23">
        <f t="shared" si="15"/>
        <v>-17.850682818805581</v>
      </c>
      <c r="P193" s="23">
        <f t="shared" si="16"/>
        <v>17.850682818805581</v>
      </c>
      <c r="W193" s="37"/>
    </row>
    <row r="194" spans="9:23" x14ac:dyDescent="0.3">
      <c r="I194">
        <v>190</v>
      </c>
      <c r="J194" s="23">
        <f>$B$5*Data!C192/Data!C191</f>
        <v>4084.835425123641</v>
      </c>
      <c r="K194" s="23">
        <f>$B$6*Data!F192/Data!F191</f>
        <v>3003.6629791158521</v>
      </c>
      <c r="L194" s="23">
        <f>$B$7*Data!I192/Data!I191</f>
        <v>1012.2280151111795</v>
      </c>
      <c r="M194" s="23">
        <f>$B$8*Data!L192/Data!L191</f>
        <v>2039.4880165417469</v>
      </c>
      <c r="N194" s="23">
        <f t="shared" si="14"/>
        <v>10140.21443589242</v>
      </c>
      <c r="O194" s="23">
        <f t="shared" si="15"/>
        <v>140.21443589241971</v>
      </c>
      <c r="P194" s="23">
        <f t="shared" si="16"/>
        <v>-140.21443589241971</v>
      </c>
      <c r="W194" s="37"/>
    </row>
    <row r="195" spans="9:23" x14ac:dyDescent="0.3">
      <c r="I195">
        <v>191</v>
      </c>
      <c r="J195" s="23">
        <f>$B$5*Data!C193/Data!C192</f>
        <v>3989.9643336897257</v>
      </c>
      <c r="K195" s="23">
        <f>$B$6*Data!F193/Data!F192</f>
        <v>3018.6893848063755</v>
      </c>
      <c r="L195" s="23">
        <f>$B$7*Data!I193/Data!I192</f>
        <v>987.70583064187474</v>
      </c>
      <c r="M195" s="23">
        <f>$B$8*Data!L193/Data!L192</f>
        <v>1983.3093469216351</v>
      </c>
      <c r="N195" s="23">
        <f t="shared" si="14"/>
        <v>9979.6688960596111</v>
      </c>
      <c r="O195" s="23">
        <f t="shared" si="15"/>
        <v>-20.331103940388857</v>
      </c>
      <c r="P195" s="23">
        <f t="shared" si="16"/>
        <v>20.331103940388857</v>
      </c>
      <c r="W195" s="37"/>
    </row>
    <row r="196" spans="9:23" x14ac:dyDescent="0.3">
      <c r="I196">
        <v>192</v>
      </c>
      <c r="J196" s="23">
        <f>$B$5*Data!C194/Data!C193</f>
        <v>3963.2039456860912</v>
      </c>
      <c r="K196" s="23">
        <f>$B$6*Data!F194/Data!F193</f>
        <v>2983.8979387392073</v>
      </c>
      <c r="L196" s="23">
        <f>$B$7*Data!I194/Data!I193</f>
        <v>1002.5359103572954</v>
      </c>
      <c r="M196" s="23">
        <f>$B$8*Data!L194/Data!L193</f>
        <v>2052.9605300563371</v>
      </c>
      <c r="N196" s="23">
        <f t="shared" si="14"/>
        <v>10002.598324838931</v>
      </c>
      <c r="O196" s="23">
        <f t="shared" si="15"/>
        <v>2.5983248389311484</v>
      </c>
      <c r="P196" s="23">
        <f t="shared" si="16"/>
        <v>-2.5983248389311484</v>
      </c>
      <c r="W196" s="37"/>
    </row>
    <row r="197" spans="9:23" x14ac:dyDescent="0.3">
      <c r="I197">
        <v>193</v>
      </c>
      <c r="J197" s="23">
        <f>$B$5*Data!C195/Data!C194</f>
        <v>3921.1940427355744</v>
      </c>
      <c r="K197" s="23">
        <f>$B$6*Data!F195/Data!F194</f>
        <v>3052.4950460555328</v>
      </c>
      <c r="L197" s="23">
        <f>$B$7*Data!I195/Data!I194</f>
        <v>983.62360708037363</v>
      </c>
      <c r="M197" s="23">
        <f>$B$8*Data!L195/Data!L194</f>
        <v>1978.7692547443785</v>
      </c>
      <c r="N197" s="23">
        <f t="shared" si="14"/>
        <v>9936.0819506158587</v>
      </c>
      <c r="O197" s="23">
        <f t="shared" si="15"/>
        <v>-63.918049384141341</v>
      </c>
      <c r="P197" s="23">
        <f t="shared" si="16"/>
        <v>63.918049384141341</v>
      </c>
      <c r="W197" s="37"/>
    </row>
    <row r="198" spans="9:23" x14ac:dyDescent="0.3">
      <c r="I198">
        <v>194</v>
      </c>
      <c r="J198" s="23">
        <f>$B$5*Data!C196/Data!C195</f>
        <v>3994.0723213196652</v>
      </c>
      <c r="K198" s="23">
        <f>$B$6*Data!F196/Data!F195</f>
        <v>3009.2159991954172</v>
      </c>
      <c r="L198" s="23">
        <f>$B$7*Data!I196/Data!I195</f>
        <v>1006.3882439021168</v>
      </c>
      <c r="M198" s="23">
        <f>$B$8*Data!L196/Data!L195</f>
        <v>2016.0569361919131</v>
      </c>
      <c r="N198" s="23">
        <f t="shared" ref="N198:N261" si="17">SUM(J198:M198)</f>
        <v>10025.733500609113</v>
      </c>
      <c r="O198" s="23">
        <f t="shared" ref="O198:O261" si="18">N198-$B$9</f>
        <v>25.733500609112525</v>
      </c>
      <c r="P198" s="23">
        <f t="shared" ref="P198:P261" si="19">-O198</f>
        <v>-25.733500609112525</v>
      </c>
      <c r="W198" s="37"/>
    </row>
    <row r="199" spans="9:23" x14ac:dyDescent="0.3">
      <c r="I199">
        <v>195</v>
      </c>
      <c r="J199" s="23">
        <f>$B$5*Data!C197/Data!C196</f>
        <v>3969.730356531039</v>
      </c>
      <c r="K199" s="23">
        <f>$B$6*Data!F197/Data!F196</f>
        <v>3021.5941900950984</v>
      </c>
      <c r="L199" s="23">
        <f>$B$7*Data!I197/Data!I196</f>
        <v>994.53368442747501</v>
      </c>
      <c r="M199" s="23">
        <f>$B$8*Data!L197/Data!L196</f>
        <v>1992.6010791338092</v>
      </c>
      <c r="N199" s="23">
        <f t="shared" si="17"/>
        <v>9978.4593101874216</v>
      </c>
      <c r="O199" s="23">
        <f t="shared" si="18"/>
        <v>-21.540689812578421</v>
      </c>
      <c r="P199" s="23">
        <f t="shared" si="19"/>
        <v>21.540689812578421</v>
      </c>
      <c r="W199" s="37"/>
    </row>
    <row r="200" spans="9:23" x14ac:dyDescent="0.3">
      <c r="I200">
        <v>196</v>
      </c>
      <c r="J200" s="23">
        <f>$B$5*Data!C198/Data!C197</f>
        <v>4042.3750133976223</v>
      </c>
      <c r="K200" s="23">
        <f>$B$6*Data!F198/Data!F197</f>
        <v>2939.5199276505382</v>
      </c>
      <c r="L200" s="23">
        <f>$B$7*Data!I198/Data!I197</f>
        <v>991.50555598824985</v>
      </c>
      <c r="M200" s="23">
        <f>$B$8*Data!L198/Data!L197</f>
        <v>2033.479918787966</v>
      </c>
      <c r="N200" s="23">
        <f t="shared" si="17"/>
        <v>10006.880415824375</v>
      </c>
      <c r="O200" s="23">
        <f t="shared" si="18"/>
        <v>6.8804158243747224</v>
      </c>
      <c r="P200" s="23">
        <f t="shared" si="19"/>
        <v>-6.8804158243747224</v>
      </c>
      <c r="W200" s="37"/>
    </row>
    <row r="201" spans="9:23" x14ac:dyDescent="0.3">
      <c r="I201">
        <v>197</v>
      </c>
      <c r="J201" s="23">
        <f>$B$5*Data!C199/Data!C198</f>
        <v>4008.893222634154</v>
      </c>
      <c r="K201" s="23">
        <f>$B$6*Data!F199/Data!F198</f>
        <v>3015.2239707130379</v>
      </c>
      <c r="L201" s="23">
        <f>$B$7*Data!I199/Data!I198</f>
        <v>1005.8729833270459</v>
      </c>
      <c r="M201" s="23">
        <f>$B$8*Data!L199/Data!L198</f>
        <v>1978.4628503714205</v>
      </c>
      <c r="N201" s="23">
        <f t="shared" si="17"/>
        <v>10008.45302704566</v>
      </c>
      <c r="O201" s="23">
        <f t="shared" si="18"/>
        <v>8.4530270456598373</v>
      </c>
      <c r="P201" s="23">
        <f t="shared" si="19"/>
        <v>-8.4530270456598373</v>
      </c>
      <c r="W201" s="37"/>
    </row>
    <row r="202" spans="9:23" x14ac:dyDescent="0.3">
      <c r="I202">
        <v>198</v>
      </c>
      <c r="J202" s="23">
        <f>$B$5*Data!C200/Data!C199</f>
        <v>3933.4275642869488</v>
      </c>
      <c r="K202" s="23">
        <f>$B$6*Data!F200/Data!F199</f>
        <v>3005.5375515943883</v>
      </c>
      <c r="L202" s="23">
        <f>$B$7*Data!I200/Data!I199</f>
        <v>992.62821560129623</v>
      </c>
      <c r="M202" s="23">
        <f>$B$8*Data!L200/Data!L199</f>
        <v>1992.4372747764521</v>
      </c>
      <c r="N202" s="23">
        <f t="shared" si="17"/>
        <v>9924.0306062590862</v>
      </c>
      <c r="O202" s="23">
        <f t="shared" si="18"/>
        <v>-75.969393740913802</v>
      </c>
      <c r="P202" s="23">
        <f t="shared" si="19"/>
        <v>75.969393740913802</v>
      </c>
      <c r="W202" s="37"/>
    </row>
    <row r="203" spans="9:23" x14ac:dyDescent="0.3">
      <c r="I203">
        <v>199</v>
      </c>
      <c r="J203" s="23">
        <f>$B$5*Data!C201/Data!C200</f>
        <v>3927.3950379814773</v>
      </c>
      <c r="K203" s="23">
        <f>$B$6*Data!F201/Data!F200</f>
        <v>2989.4236109754188</v>
      </c>
      <c r="L203" s="23">
        <f>$B$7*Data!I201/Data!I200</f>
        <v>977.93352318996494</v>
      </c>
      <c r="M203" s="23">
        <f>$B$8*Data!L201/Data!L200</f>
        <v>1949.3442298741711</v>
      </c>
      <c r="N203" s="23">
        <f t="shared" si="17"/>
        <v>9844.0964020210322</v>
      </c>
      <c r="O203" s="23">
        <f t="shared" si="18"/>
        <v>-155.90359797896781</v>
      </c>
      <c r="P203" s="23">
        <f t="shared" si="19"/>
        <v>155.90359797896781</v>
      </c>
      <c r="W203" s="37"/>
    </row>
    <row r="204" spans="9:23" x14ac:dyDescent="0.3">
      <c r="I204">
        <v>200</v>
      </c>
      <c r="J204" s="23">
        <f>$B$5*Data!C202/Data!C201</f>
        <v>4012.1731628881325</v>
      </c>
      <c r="K204" s="23">
        <f>$B$6*Data!F202/Data!F201</f>
        <v>3051.8943467441368</v>
      </c>
      <c r="L204" s="23">
        <f>$B$7*Data!I202/Data!I201</f>
        <v>1018.6680611926726</v>
      </c>
      <c r="M204" s="23">
        <f>$B$8*Data!L202/Data!L201</f>
        <v>1993.5665334552027</v>
      </c>
      <c r="N204" s="23">
        <f t="shared" si="17"/>
        <v>10076.302104280145</v>
      </c>
      <c r="O204" s="23">
        <f t="shared" si="18"/>
        <v>76.302104280144704</v>
      </c>
      <c r="P204" s="23">
        <f t="shared" si="19"/>
        <v>-76.302104280144704</v>
      </c>
      <c r="W204" s="37"/>
    </row>
    <row r="205" spans="9:23" x14ac:dyDescent="0.3">
      <c r="I205">
        <v>201</v>
      </c>
      <c r="J205" s="23">
        <f>$B$5*Data!C203/Data!C202</f>
        <v>3973.7806305136673</v>
      </c>
      <c r="K205" s="23">
        <f>$B$6*Data!F203/Data!F202</f>
        <v>2994.9706040992605</v>
      </c>
      <c r="L205" s="23">
        <f>$B$7*Data!I203/Data!I202</f>
        <v>990.77608855427025</v>
      </c>
      <c r="M205" s="23">
        <f>$B$8*Data!L203/Data!L202</f>
        <v>1993.816303616524</v>
      </c>
      <c r="N205" s="23">
        <f t="shared" si="17"/>
        <v>9953.3436267837224</v>
      </c>
      <c r="O205" s="23">
        <f t="shared" si="18"/>
        <v>-46.656373216277643</v>
      </c>
      <c r="P205" s="23">
        <f t="shared" si="19"/>
        <v>46.656373216277643</v>
      </c>
      <c r="W205" s="37"/>
    </row>
    <row r="206" spans="9:23" x14ac:dyDescent="0.3">
      <c r="I206">
        <v>202</v>
      </c>
      <c r="J206" s="23">
        <f>$B$5*Data!C204/Data!C203</f>
        <v>4062.1294725796793</v>
      </c>
      <c r="K206" s="23">
        <f>$B$6*Data!F204/Data!F203</f>
        <v>3039.9438093302861</v>
      </c>
      <c r="L206" s="23">
        <f>$B$7*Data!I204/Data!I203</f>
        <v>1005.3090116544242</v>
      </c>
      <c r="M206" s="23">
        <f>$B$8*Data!L204/Data!L203</f>
        <v>1993.2050103837578</v>
      </c>
      <c r="N206" s="23">
        <f t="shared" si="17"/>
        <v>10100.587303948147</v>
      </c>
      <c r="O206" s="23">
        <f t="shared" si="18"/>
        <v>100.58730394814665</v>
      </c>
      <c r="P206" s="23">
        <f t="shared" si="19"/>
        <v>-100.58730394814665</v>
      </c>
      <c r="W206" s="37"/>
    </row>
    <row r="207" spans="9:23" x14ac:dyDescent="0.3">
      <c r="I207">
        <v>203</v>
      </c>
      <c r="J207" s="23">
        <f>$B$5*Data!C205/Data!C204</f>
        <v>4013.0467690210376</v>
      </c>
      <c r="K207" s="23">
        <f>$B$6*Data!F205/Data!F204</f>
        <v>2973.9682498320763</v>
      </c>
      <c r="L207" s="23">
        <f>$B$7*Data!I205/Data!I204</f>
        <v>1017.4267080087021</v>
      </c>
      <c r="M207" s="23">
        <f>$B$8*Data!L205/Data!L204</f>
        <v>2008.5950686207627</v>
      </c>
      <c r="N207" s="23">
        <f t="shared" si="17"/>
        <v>10013.036795482578</v>
      </c>
      <c r="O207" s="23">
        <f t="shared" si="18"/>
        <v>13.036795482577872</v>
      </c>
      <c r="P207" s="23">
        <f t="shared" si="19"/>
        <v>-13.036795482577872</v>
      </c>
      <c r="W207" s="37"/>
    </row>
    <row r="208" spans="9:23" x14ac:dyDescent="0.3">
      <c r="I208">
        <v>204</v>
      </c>
      <c r="J208" s="23">
        <f>$B$5*Data!C206/Data!C205</f>
        <v>4091.8959182929793</v>
      </c>
      <c r="K208" s="23">
        <f>$B$6*Data!F206/Data!F205</f>
        <v>3006.3196825773034</v>
      </c>
      <c r="L208" s="23">
        <f>$B$7*Data!I206/Data!I205</f>
        <v>998.78387899184168</v>
      </c>
      <c r="M208" s="23">
        <f>$B$8*Data!L206/Data!L205</f>
        <v>1978.0225823857238</v>
      </c>
      <c r="N208" s="23">
        <f t="shared" si="17"/>
        <v>10075.022062247848</v>
      </c>
      <c r="O208" s="23">
        <f t="shared" si="18"/>
        <v>75.022062247848226</v>
      </c>
      <c r="P208" s="23">
        <f t="shared" si="19"/>
        <v>-75.022062247848226</v>
      </c>
      <c r="W208" s="37"/>
    </row>
    <row r="209" spans="9:23" x14ac:dyDescent="0.3">
      <c r="I209">
        <v>205</v>
      </c>
      <c r="J209" s="23">
        <f>$B$5*Data!C207/Data!C206</f>
        <v>3991.267567977347</v>
      </c>
      <c r="K209" s="23">
        <f>$B$6*Data!F207/Data!F206</f>
        <v>3076.4283508540275</v>
      </c>
      <c r="L209" s="23">
        <f>$B$7*Data!I207/Data!I206</f>
        <v>993.84251069792606</v>
      </c>
      <c r="M209" s="23">
        <f>$B$8*Data!L207/Data!L206</f>
        <v>1986.0901866046609</v>
      </c>
      <c r="N209" s="23">
        <f t="shared" si="17"/>
        <v>10047.628616133961</v>
      </c>
      <c r="O209" s="23">
        <f t="shared" si="18"/>
        <v>47.628616133961259</v>
      </c>
      <c r="P209" s="23">
        <f t="shared" si="19"/>
        <v>-47.628616133961259</v>
      </c>
      <c r="W209" s="37"/>
    </row>
    <row r="210" spans="9:23" x14ac:dyDescent="0.3">
      <c r="I210">
        <v>206</v>
      </c>
      <c r="J210" s="23">
        <f>$B$5*Data!C208/Data!C207</f>
        <v>4032.6829901375318</v>
      </c>
      <c r="K210" s="23">
        <f>$B$6*Data!F208/Data!F207</f>
        <v>3008.652815539514</v>
      </c>
      <c r="L210" s="23">
        <f>$B$7*Data!I208/Data!I207</f>
        <v>997.65231036338673</v>
      </c>
      <c r="M210" s="23">
        <f>$B$8*Data!L208/Data!L207</f>
        <v>2018.6203761347999</v>
      </c>
      <c r="N210" s="23">
        <f t="shared" si="17"/>
        <v>10057.608492175234</v>
      </c>
      <c r="O210" s="23">
        <f t="shared" si="18"/>
        <v>57.60849217523355</v>
      </c>
      <c r="P210" s="23">
        <f t="shared" si="19"/>
        <v>-57.60849217523355</v>
      </c>
      <c r="W210" s="37"/>
    </row>
    <row r="211" spans="9:23" x14ac:dyDescent="0.3">
      <c r="I211">
        <v>207</v>
      </c>
      <c r="J211" s="23">
        <f>$B$5*Data!C209/Data!C208</f>
        <v>4043.765704073925</v>
      </c>
      <c r="K211" s="23">
        <f>$B$6*Data!F209/Data!F208</f>
        <v>2951.4945715647855</v>
      </c>
      <c r="L211" s="23">
        <f>$B$7*Data!I209/Data!I208</f>
        <v>999.89086134670924</v>
      </c>
      <c r="M211" s="23">
        <f>$B$8*Data!L209/Data!L208</f>
        <v>2018.2449532435771</v>
      </c>
      <c r="N211" s="23">
        <f t="shared" si="17"/>
        <v>10013.396090228996</v>
      </c>
      <c r="O211" s="23">
        <f t="shared" si="18"/>
        <v>13.3960902289964</v>
      </c>
      <c r="P211" s="23">
        <f t="shared" si="19"/>
        <v>-13.3960902289964</v>
      </c>
      <c r="W211" s="37"/>
    </row>
    <row r="212" spans="9:23" x14ac:dyDescent="0.3">
      <c r="I212">
        <v>208</v>
      </c>
      <c r="J212" s="23">
        <f>$B$5*Data!C210/Data!C209</f>
        <v>3870.5403882448472</v>
      </c>
      <c r="K212" s="23">
        <f>$B$6*Data!F210/Data!F209</f>
        <v>2925.8046139943149</v>
      </c>
      <c r="L212" s="23">
        <f>$B$7*Data!I210/Data!I209</f>
        <v>1018.4965162572544</v>
      </c>
      <c r="M212" s="23">
        <f>$B$8*Data!L210/Data!L209</f>
        <v>2017.6128471048862</v>
      </c>
      <c r="N212" s="23">
        <f t="shared" si="17"/>
        <v>9832.4543656013029</v>
      </c>
      <c r="O212" s="23">
        <f t="shared" si="18"/>
        <v>-167.54563439869708</v>
      </c>
      <c r="P212" s="23">
        <f t="shared" si="19"/>
        <v>167.54563439869708</v>
      </c>
      <c r="W212" s="37"/>
    </row>
    <row r="213" spans="9:23" x14ac:dyDescent="0.3">
      <c r="I213">
        <v>209</v>
      </c>
      <c r="J213" s="23">
        <f>$B$5*Data!C211/Data!C210</f>
        <v>3993.911086553353</v>
      </c>
      <c r="K213" s="23">
        <f>$B$6*Data!F211/Data!F210</f>
        <v>2989.376845348067</v>
      </c>
      <c r="L213" s="23">
        <f>$B$7*Data!I211/Data!I210</f>
        <v>983.43043422719143</v>
      </c>
      <c r="M213" s="23">
        <f>$B$8*Data!L211/Data!L210</f>
        <v>2004.8529620316388</v>
      </c>
      <c r="N213" s="23">
        <f t="shared" si="17"/>
        <v>9971.5713281602511</v>
      </c>
      <c r="O213" s="23">
        <f t="shared" si="18"/>
        <v>-28.428671839748858</v>
      </c>
      <c r="P213" s="23">
        <f t="shared" si="19"/>
        <v>28.428671839748858</v>
      </c>
      <c r="W213" s="37"/>
    </row>
    <row r="214" spans="9:23" x14ac:dyDescent="0.3">
      <c r="I214">
        <v>210</v>
      </c>
      <c r="J214" s="23">
        <f>$B$5*Data!C212/Data!C211</f>
        <v>3906.7195250020422</v>
      </c>
      <c r="K214" s="23">
        <f>$B$6*Data!F212/Data!F211</f>
        <v>2964.1595560507521</v>
      </c>
      <c r="L214" s="23">
        <f>$B$7*Data!I212/Data!I211</f>
        <v>991.75383163374011</v>
      </c>
      <c r="M214" s="23">
        <f>$B$8*Data!L212/Data!L211</f>
        <v>2011.6304954602069</v>
      </c>
      <c r="N214" s="23">
        <f t="shared" si="17"/>
        <v>9874.2634081467422</v>
      </c>
      <c r="O214" s="23">
        <f t="shared" si="18"/>
        <v>-125.73659185325778</v>
      </c>
      <c r="P214" s="23">
        <f t="shared" si="19"/>
        <v>125.73659185325778</v>
      </c>
      <c r="W214" s="37"/>
    </row>
    <row r="215" spans="9:23" x14ac:dyDescent="0.3">
      <c r="I215">
        <v>211</v>
      </c>
      <c r="J215" s="23">
        <f>$B$5*Data!C213/Data!C212</f>
        <v>4007.0486166201586</v>
      </c>
      <c r="K215" s="23">
        <f>$B$6*Data!F213/Data!F212</f>
        <v>3002.2470617111803</v>
      </c>
      <c r="L215" s="23">
        <f>$B$7*Data!I213/Data!I212</f>
        <v>965.67070249015285</v>
      </c>
      <c r="M215" s="23">
        <f>$B$8*Data!L213/Data!L212</f>
        <v>2027.4158988780787</v>
      </c>
      <c r="N215" s="23">
        <f t="shared" si="17"/>
        <v>10002.38227969957</v>
      </c>
      <c r="O215" s="23">
        <f t="shared" si="18"/>
        <v>2.3822796995700628</v>
      </c>
      <c r="P215" s="23">
        <f t="shared" si="19"/>
        <v>-2.3822796995700628</v>
      </c>
      <c r="W215" s="37"/>
    </row>
    <row r="216" spans="9:23" x14ac:dyDescent="0.3">
      <c r="I216">
        <v>212</v>
      </c>
      <c r="J216" s="23">
        <f>$B$5*Data!C214/Data!C213</f>
        <v>3998.5746144240725</v>
      </c>
      <c r="K216" s="23">
        <f>$B$6*Data!F214/Data!F213</f>
        <v>3048.3136347690493</v>
      </c>
      <c r="L216" s="23">
        <f>$B$7*Data!I214/Data!I213</f>
        <v>1000.1679449557178</v>
      </c>
      <c r="M216" s="23">
        <f>$B$8*Data!L214/Data!L213</f>
        <v>2007.6187611131879</v>
      </c>
      <c r="N216" s="23">
        <f t="shared" si="17"/>
        <v>10054.674955262028</v>
      </c>
      <c r="O216" s="23">
        <f t="shared" si="18"/>
        <v>54.674955262027652</v>
      </c>
      <c r="P216" s="23">
        <f t="shared" si="19"/>
        <v>-54.674955262027652</v>
      </c>
      <c r="W216" s="37"/>
    </row>
    <row r="217" spans="9:23" x14ac:dyDescent="0.3">
      <c r="I217">
        <v>213</v>
      </c>
      <c r="J217" s="23">
        <f>$B$5*Data!C215/Data!C214</f>
        <v>4021.6780146130272</v>
      </c>
      <c r="K217" s="23">
        <f>$B$6*Data!F215/Data!F214</f>
        <v>3038.6805359175573</v>
      </c>
      <c r="L217" s="23">
        <f>$B$7*Data!I215/Data!I214</f>
        <v>992.3984392818212</v>
      </c>
      <c r="M217" s="23">
        <f>$B$8*Data!L215/Data!L214</f>
        <v>2011.9578619797308</v>
      </c>
      <c r="N217" s="23">
        <f t="shared" si="17"/>
        <v>10064.714851792136</v>
      </c>
      <c r="O217" s="23">
        <f t="shared" si="18"/>
        <v>64.71485179213596</v>
      </c>
      <c r="P217" s="23">
        <f t="shared" si="19"/>
        <v>-64.71485179213596</v>
      </c>
      <c r="W217" s="37"/>
    </row>
    <row r="218" spans="9:23" x14ac:dyDescent="0.3">
      <c r="I218">
        <v>214</v>
      </c>
      <c r="J218" s="23">
        <f>$B$5*Data!C216/Data!C215</f>
        <v>3999.2002791530895</v>
      </c>
      <c r="K218" s="23">
        <f>$B$6*Data!F216/Data!F215</f>
        <v>2951.4151465729915</v>
      </c>
      <c r="L218" s="23">
        <f>$B$7*Data!I216/Data!I215</f>
        <v>1006.2438341788051</v>
      </c>
      <c r="M218" s="23">
        <f>$B$8*Data!L216/Data!L215</f>
        <v>1946.2517138843173</v>
      </c>
      <c r="N218" s="23">
        <f t="shared" si="17"/>
        <v>9903.110973789202</v>
      </c>
      <c r="O218" s="23">
        <f t="shared" si="18"/>
        <v>-96.889026210797965</v>
      </c>
      <c r="P218" s="23">
        <f t="shared" si="19"/>
        <v>96.889026210797965</v>
      </c>
      <c r="W218" s="37"/>
    </row>
    <row r="219" spans="9:23" x14ac:dyDescent="0.3">
      <c r="I219">
        <v>215</v>
      </c>
      <c r="J219" s="23">
        <f>$B$5*Data!C217/Data!C216</f>
        <v>3923.6531616114175</v>
      </c>
      <c r="K219" s="23">
        <f>$B$6*Data!F217/Data!F216</f>
        <v>2999.217246709652</v>
      </c>
      <c r="L219" s="23">
        <f>$B$7*Data!I217/Data!I216</f>
        <v>1017.7367557851629</v>
      </c>
      <c r="M219" s="23">
        <f>$B$8*Data!L217/Data!L216</f>
        <v>1987.6317152820886</v>
      </c>
      <c r="N219" s="23">
        <f t="shared" si="17"/>
        <v>9928.2388793883219</v>
      </c>
      <c r="O219" s="23">
        <f t="shared" si="18"/>
        <v>-71.761120611678052</v>
      </c>
      <c r="P219" s="23">
        <f t="shared" si="19"/>
        <v>71.761120611678052</v>
      </c>
      <c r="W219" s="37"/>
    </row>
    <row r="220" spans="9:23" x14ac:dyDescent="0.3">
      <c r="I220">
        <v>216</v>
      </c>
      <c r="J220" s="23">
        <f>$B$5*Data!C218/Data!C217</f>
        <v>3916.9060773970259</v>
      </c>
      <c r="K220" s="23">
        <f>$B$6*Data!F218/Data!F217</f>
        <v>2968.5222316086979</v>
      </c>
      <c r="L220" s="23">
        <f>$B$7*Data!I218/Data!I217</f>
        <v>998.0786458633977</v>
      </c>
      <c r="M220" s="23">
        <f>$B$8*Data!L218/Data!L217</f>
        <v>1981.6532372259287</v>
      </c>
      <c r="N220" s="23">
        <f t="shared" si="17"/>
        <v>9865.1601920950488</v>
      </c>
      <c r="O220" s="23">
        <f t="shared" si="18"/>
        <v>-134.83980790495116</v>
      </c>
      <c r="P220" s="23">
        <f t="shared" si="19"/>
        <v>134.83980790495116</v>
      </c>
      <c r="W220" s="37"/>
    </row>
    <row r="221" spans="9:23" x14ac:dyDescent="0.3">
      <c r="I221">
        <v>217</v>
      </c>
      <c r="J221" s="23">
        <f>$B$5*Data!C219/Data!C218</f>
        <v>4000.3456028109031</v>
      </c>
      <c r="K221" s="23">
        <f>$B$6*Data!F219/Data!F218</f>
        <v>3005.9433016647781</v>
      </c>
      <c r="L221" s="23">
        <f>$B$7*Data!I219/Data!I218</f>
        <v>990.85349950334785</v>
      </c>
      <c r="M221" s="23">
        <f>$B$8*Data!L219/Data!L218</f>
        <v>2020.4415427455617</v>
      </c>
      <c r="N221" s="23">
        <f t="shared" si="17"/>
        <v>10017.583946724591</v>
      </c>
      <c r="O221" s="23">
        <f t="shared" si="18"/>
        <v>17.583946724591442</v>
      </c>
      <c r="P221" s="23">
        <f t="shared" si="19"/>
        <v>-17.583946724591442</v>
      </c>
      <c r="W221" s="37"/>
    </row>
    <row r="222" spans="9:23" x14ac:dyDescent="0.3">
      <c r="I222">
        <v>218</v>
      </c>
      <c r="J222" s="23">
        <f>$B$5*Data!C220/Data!C219</f>
        <v>3938.4171421201763</v>
      </c>
      <c r="K222" s="23">
        <f>$B$6*Data!F220/Data!F219</f>
        <v>2971.947688920704</v>
      </c>
      <c r="L222" s="23">
        <f>$B$7*Data!I220/Data!I219</f>
        <v>999.24638369248294</v>
      </c>
      <c r="M222" s="23">
        <f>$B$8*Data!L220/Data!L219</f>
        <v>1947.7263902631157</v>
      </c>
      <c r="N222" s="23">
        <f t="shared" si="17"/>
        <v>9857.3376049964791</v>
      </c>
      <c r="O222" s="23">
        <f t="shared" si="18"/>
        <v>-142.66239500352094</v>
      </c>
      <c r="P222" s="23">
        <f t="shared" si="19"/>
        <v>142.66239500352094</v>
      </c>
      <c r="W222" s="37"/>
    </row>
    <row r="223" spans="9:23" x14ac:dyDescent="0.3">
      <c r="I223">
        <v>219</v>
      </c>
      <c r="J223" s="23">
        <f>$B$5*Data!C221/Data!C220</f>
        <v>3936.9115747916012</v>
      </c>
      <c r="K223" s="23">
        <f>$B$6*Data!F221/Data!F220</f>
        <v>3015.2075801300962</v>
      </c>
      <c r="L223" s="23">
        <f>$B$7*Data!I221/Data!I220</f>
        <v>996.74491176462857</v>
      </c>
      <c r="M223" s="23">
        <f>$B$8*Data!L221/Data!L220</f>
        <v>1996.8501076863297</v>
      </c>
      <c r="N223" s="23">
        <f t="shared" si="17"/>
        <v>9945.7141743726552</v>
      </c>
      <c r="O223" s="23">
        <f t="shared" si="18"/>
        <v>-54.285825627344821</v>
      </c>
      <c r="P223" s="23">
        <f t="shared" si="19"/>
        <v>54.285825627344821</v>
      </c>
      <c r="W223" s="37"/>
    </row>
    <row r="224" spans="9:23" x14ac:dyDescent="0.3">
      <c r="I224">
        <v>220</v>
      </c>
      <c r="J224" s="23">
        <f>$B$5*Data!C222/Data!C221</f>
        <v>3917.6470862587125</v>
      </c>
      <c r="K224" s="23">
        <f>$B$6*Data!F222/Data!F221</f>
        <v>2988.1135324967659</v>
      </c>
      <c r="L224" s="23">
        <f>$B$7*Data!I222/Data!I221</f>
        <v>1002.7078197432849</v>
      </c>
      <c r="M224" s="23">
        <f>$B$8*Data!L222/Data!L221</f>
        <v>2043.338859987017</v>
      </c>
      <c r="N224" s="23">
        <f t="shared" si="17"/>
        <v>9951.8072984857808</v>
      </c>
      <c r="O224" s="23">
        <f t="shared" si="18"/>
        <v>-48.192701514219152</v>
      </c>
      <c r="P224" s="23">
        <f t="shared" si="19"/>
        <v>48.192701514219152</v>
      </c>
      <c r="W224" s="37"/>
    </row>
    <row r="225" spans="9:23" x14ac:dyDescent="0.3">
      <c r="I225">
        <v>221</v>
      </c>
      <c r="J225" s="23">
        <f>$B$5*Data!C223/Data!C222</f>
        <v>3891.5509830625147</v>
      </c>
      <c r="K225" s="23">
        <f>$B$6*Data!F223/Data!F222</f>
        <v>2979.8256474828945</v>
      </c>
      <c r="L225" s="23">
        <f>$B$7*Data!I223/Data!I222</f>
        <v>983.78442737306295</v>
      </c>
      <c r="M225" s="23">
        <f>$B$8*Data!L223/Data!L222</f>
        <v>2026.2260170985246</v>
      </c>
      <c r="N225" s="23">
        <f t="shared" si="17"/>
        <v>9881.3870750169972</v>
      </c>
      <c r="O225" s="23">
        <f t="shared" si="18"/>
        <v>-118.61292498300281</v>
      </c>
      <c r="P225" s="23">
        <f t="shared" si="19"/>
        <v>118.61292498300281</v>
      </c>
      <c r="W225" s="37"/>
    </row>
    <row r="226" spans="9:23" x14ac:dyDescent="0.3">
      <c r="I226">
        <v>222</v>
      </c>
      <c r="J226" s="23">
        <f>$B$5*Data!C224/Data!C223</f>
        <v>4198.3749702519044</v>
      </c>
      <c r="K226" s="23">
        <f>$B$6*Data!F224/Data!F223</f>
        <v>3002.981099539667</v>
      </c>
      <c r="L226" s="23">
        <f>$B$7*Data!I224/Data!I223</f>
        <v>994.86025749995235</v>
      </c>
      <c r="M226" s="23">
        <f>$B$8*Data!L224/Data!L223</f>
        <v>1956.6474772506062</v>
      </c>
      <c r="N226" s="23">
        <f t="shared" si="17"/>
        <v>10152.86380454213</v>
      </c>
      <c r="O226" s="23">
        <f t="shared" si="18"/>
        <v>152.86380454213031</v>
      </c>
      <c r="P226" s="23">
        <f t="shared" si="19"/>
        <v>-152.86380454213031</v>
      </c>
      <c r="W226" s="37"/>
    </row>
    <row r="227" spans="9:23" x14ac:dyDescent="0.3">
      <c r="I227">
        <v>223</v>
      </c>
      <c r="J227" s="23">
        <f>$B$5*Data!C225/Data!C224</f>
        <v>4034.2507232152548</v>
      </c>
      <c r="K227" s="23">
        <f>$B$6*Data!F225/Data!F224</f>
        <v>3040.1698556070241</v>
      </c>
      <c r="L227" s="23">
        <f>$B$7*Data!I225/Data!I224</f>
        <v>981.00741380180511</v>
      </c>
      <c r="M227" s="23">
        <f>$B$8*Data!L225/Data!L224</f>
        <v>2025.8046388901678</v>
      </c>
      <c r="N227" s="23">
        <f t="shared" si="17"/>
        <v>10081.232631514253</v>
      </c>
      <c r="O227" s="23">
        <f t="shared" si="18"/>
        <v>81.232631514252716</v>
      </c>
      <c r="P227" s="23">
        <f t="shared" si="19"/>
        <v>-81.232631514252716</v>
      </c>
      <c r="W227" s="37"/>
    </row>
    <row r="228" spans="9:23" x14ac:dyDescent="0.3">
      <c r="I228">
        <v>224</v>
      </c>
      <c r="J228" s="23">
        <f>$B$5*Data!C226/Data!C225</f>
        <v>3995.0336697915786</v>
      </c>
      <c r="K228" s="23">
        <f>$B$6*Data!F226/Data!F225</f>
        <v>2916.9668883083514</v>
      </c>
      <c r="L228" s="23">
        <f>$B$7*Data!I226/Data!I225</f>
        <v>1017.0929083533844</v>
      </c>
      <c r="M228" s="23">
        <f>$B$8*Data!L226/Data!L225</f>
        <v>1961.1722107335193</v>
      </c>
      <c r="N228" s="23">
        <f t="shared" si="17"/>
        <v>9890.2656771868333</v>
      </c>
      <c r="O228" s="23">
        <f t="shared" si="18"/>
        <v>-109.73432281316673</v>
      </c>
      <c r="P228" s="23">
        <f t="shared" si="19"/>
        <v>109.73432281316673</v>
      </c>
      <c r="W228" s="37"/>
    </row>
    <row r="229" spans="9:23" x14ac:dyDescent="0.3">
      <c r="I229">
        <v>225</v>
      </c>
      <c r="J229" s="23">
        <f>$B$5*Data!C227/Data!C226</f>
        <v>4033.9699374591464</v>
      </c>
      <c r="K229" s="23">
        <f>$B$6*Data!F227/Data!F226</f>
        <v>2992.1222464040411</v>
      </c>
      <c r="L229" s="23">
        <f>$B$7*Data!I227/Data!I226</f>
        <v>1009.0447809674775</v>
      </c>
      <c r="M229" s="23">
        <f>$B$8*Data!L227/Data!L226</f>
        <v>1999.2887795357578</v>
      </c>
      <c r="N229" s="23">
        <f t="shared" si="17"/>
        <v>10034.425744366423</v>
      </c>
      <c r="O229" s="23">
        <f t="shared" si="18"/>
        <v>34.425744366422805</v>
      </c>
      <c r="P229" s="23">
        <f t="shared" si="19"/>
        <v>-34.425744366422805</v>
      </c>
      <c r="W229" s="37"/>
    </row>
    <row r="230" spans="9:23" x14ac:dyDescent="0.3">
      <c r="I230">
        <v>226</v>
      </c>
      <c r="J230" s="23">
        <f>$B$5*Data!C228/Data!C227</f>
        <v>4005.0739866776034</v>
      </c>
      <c r="K230" s="23">
        <f>$B$6*Data!F228/Data!F227</f>
        <v>3067.2273223021484</v>
      </c>
      <c r="L230" s="23">
        <f>$B$7*Data!I228/Data!I227</f>
        <v>981.36944352469948</v>
      </c>
      <c r="M230" s="23">
        <f>$B$8*Data!L228/Data!L227</f>
        <v>1949.8940294137203</v>
      </c>
      <c r="N230" s="23">
        <f t="shared" si="17"/>
        <v>10003.564781918172</v>
      </c>
      <c r="O230" s="23">
        <f t="shared" si="18"/>
        <v>3.5647819181722298</v>
      </c>
      <c r="P230" s="23">
        <f t="shared" si="19"/>
        <v>-3.5647819181722298</v>
      </c>
      <c r="W230" s="37"/>
    </row>
    <row r="231" spans="9:23" x14ac:dyDescent="0.3">
      <c r="I231">
        <v>227</v>
      </c>
      <c r="J231" s="23">
        <f>$B$5*Data!C229/Data!C228</f>
        <v>3900.9730795535438</v>
      </c>
      <c r="K231" s="23">
        <f>$B$6*Data!F229/Data!F228</f>
        <v>3024.5457366301239</v>
      </c>
      <c r="L231" s="23">
        <f>$B$7*Data!I229/Data!I228</f>
        <v>1042.825913262611</v>
      </c>
      <c r="M231" s="23">
        <f>$B$8*Data!L229/Data!L228</f>
        <v>1993.3791046672823</v>
      </c>
      <c r="N231" s="23">
        <f t="shared" si="17"/>
        <v>9961.7238341135599</v>
      </c>
      <c r="O231" s="23">
        <f t="shared" si="18"/>
        <v>-38.27616588644014</v>
      </c>
      <c r="P231" s="23">
        <f t="shared" si="19"/>
        <v>38.27616588644014</v>
      </c>
      <c r="W231" s="37"/>
    </row>
    <row r="232" spans="9:23" x14ac:dyDescent="0.3">
      <c r="I232">
        <v>228</v>
      </c>
      <c r="J232" s="23">
        <f>$B$5*Data!C230/Data!C229</f>
        <v>4137.3428571936183</v>
      </c>
      <c r="K232" s="23">
        <f>$B$6*Data!F230/Data!F229</f>
        <v>3004.6157063135456</v>
      </c>
      <c r="L232" s="23">
        <f>$B$7*Data!I230/Data!I229</f>
        <v>994.43436600461291</v>
      </c>
      <c r="M232" s="23">
        <f>$B$8*Data!L230/Data!L229</f>
        <v>1958.2646509815984</v>
      </c>
      <c r="N232" s="23">
        <f t="shared" si="17"/>
        <v>10094.657580493375</v>
      </c>
      <c r="O232" s="23">
        <f t="shared" si="18"/>
        <v>94.657580493374553</v>
      </c>
      <c r="P232" s="23">
        <f t="shared" si="19"/>
        <v>-94.657580493374553</v>
      </c>
      <c r="W232" s="37"/>
    </row>
    <row r="233" spans="9:23" x14ac:dyDescent="0.3">
      <c r="I233">
        <v>229</v>
      </c>
      <c r="J233" s="23">
        <f>$B$5*Data!C231/Data!C230</f>
        <v>4028.0417393992207</v>
      </c>
      <c r="K233" s="23">
        <f>$B$6*Data!F231/Data!F230</f>
        <v>3068.0418441086313</v>
      </c>
      <c r="L233" s="23">
        <f>$B$7*Data!I231/Data!I230</f>
        <v>1002.1660822228338</v>
      </c>
      <c r="M233" s="23">
        <f>$B$8*Data!L231/Data!L230</f>
        <v>1954.1991517887757</v>
      </c>
      <c r="N233" s="23">
        <f t="shared" si="17"/>
        <v>10052.448817519462</v>
      </c>
      <c r="O233" s="23">
        <f t="shared" si="18"/>
        <v>52.448817519461954</v>
      </c>
      <c r="P233" s="23">
        <f t="shared" si="19"/>
        <v>-52.448817519461954</v>
      </c>
      <c r="W233" s="37"/>
    </row>
    <row r="234" spans="9:23" x14ac:dyDescent="0.3">
      <c r="I234">
        <v>230</v>
      </c>
      <c r="J234" s="23">
        <f>$B$5*Data!C232/Data!C231</f>
        <v>4038.7811405653579</v>
      </c>
      <c r="K234" s="23">
        <f>$B$6*Data!F232/Data!F231</f>
        <v>3006.7011555639315</v>
      </c>
      <c r="L234" s="23">
        <f>$B$7*Data!I232/Data!I231</f>
        <v>1008.4450925805099</v>
      </c>
      <c r="M234" s="23">
        <f>$B$8*Data!L232/Data!L231</f>
        <v>2007.5493892027889</v>
      </c>
      <c r="N234" s="23">
        <f t="shared" si="17"/>
        <v>10061.476777912587</v>
      </c>
      <c r="O234" s="23">
        <f t="shared" si="18"/>
        <v>61.47677791258684</v>
      </c>
      <c r="P234" s="23">
        <f t="shared" si="19"/>
        <v>-61.47677791258684</v>
      </c>
      <c r="W234" s="37"/>
    </row>
    <row r="235" spans="9:23" x14ac:dyDescent="0.3">
      <c r="I235">
        <v>231</v>
      </c>
      <c r="J235" s="23">
        <f>$B$5*Data!C233/Data!C232</f>
        <v>4016.392182069877</v>
      </c>
      <c r="K235" s="23">
        <f>$B$6*Data!F233/Data!F232</f>
        <v>3016.4968304554855</v>
      </c>
      <c r="L235" s="23">
        <f>$B$7*Data!I233/Data!I232</f>
        <v>997.61013556742671</v>
      </c>
      <c r="M235" s="23">
        <f>$B$8*Data!L233/Data!L232</f>
        <v>2086.7825454473091</v>
      </c>
      <c r="N235" s="23">
        <f t="shared" si="17"/>
        <v>10117.281693540097</v>
      </c>
      <c r="O235" s="23">
        <f t="shared" si="18"/>
        <v>117.28169354009697</v>
      </c>
      <c r="P235" s="23">
        <f t="shared" si="19"/>
        <v>-117.28169354009697</v>
      </c>
      <c r="W235" s="37"/>
    </row>
    <row r="236" spans="9:23" x14ac:dyDescent="0.3">
      <c r="I236">
        <v>232</v>
      </c>
      <c r="J236" s="23">
        <f>$B$5*Data!C234/Data!C233</f>
        <v>4018.0736756873894</v>
      </c>
      <c r="K236" s="23">
        <f>$B$6*Data!F234/Data!F233</f>
        <v>2958.4952498525072</v>
      </c>
      <c r="L236" s="23">
        <f>$B$7*Data!I234/Data!I233</f>
        <v>996.17587568944839</v>
      </c>
      <c r="M236" s="23">
        <f>$B$8*Data!L234/Data!L233</f>
        <v>1986.3669075238947</v>
      </c>
      <c r="N236" s="23">
        <f t="shared" si="17"/>
        <v>9959.1117087532402</v>
      </c>
      <c r="O236" s="23">
        <f t="shared" si="18"/>
        <v>-40.888291246759763</v>
      </c>
      <c r="P236" s="23">
        <f t="shared" si="19"/>
        <v>40.888291246759763</v>
      </c>
      <c r="W236" s="37"/>
    </row>
    <row r="237" spans="9:23" x14ac:dyDescent="0.3">
      <c r="I237">
        <v>233</v>
      </c>
      <c r="J237" s="23">
        <f>$B$5*Data!C235/Data!C234</f>
        <v>3999.4148083436226</v>
      </c>
      <c r="K237" s="23">
        <f>$B$6*Data!F235/Data!F234</f>
        <v>3060.6835852415984</v>
      </c>
      <c r="L237" s="23">
        <f>$B$7*Data!I235/Data!I234</f>
        <v>996.31493365851009</v>
      </c>
      <c r="M237" s="23">
        <f>$B$8*Data!L235/Data!L234</f>
        <v>1987.7334058664969</v>
      </c>
      <c r="N237" s="23">
        <f t="shared" si="17"/>
        <v>10044.146733110229</v>
      </c>
      <c r="O237" s="23">
        <f t="shared" si="18"/>
        <v>44.146733110228524</v>
      </c>
      <c r="P237" s="23">
        <f t="shared" si="19"/>
        <v>-44.146733110228524</v>
      </c>
      <c r="W237" s="37"/>
    </row>
    <row r="238" spans="9:23" x14ac:dyDescent="0.3">
      <c r="I238">
        <v>234</v>
      </c>
      <c r="J238" s="23">
        <f>$B$5*Data!C236/Data!C235</f>
        <v>3978.9698983192361</v>
      </c>
      <c r="K238" s="23">
        <f>$B$6*Data!F236/Data!F235</f>
        <v>3008.0294191946332</v>
      </c>
      <c r="L238" s="23">
        <f>$B$7*Data!I236/Data!I235</f>
        <v>1000.9267661381385</v>
      </c>
      <c r="M238" s="23">
        <f>$B$8*Data!L236/Data!L235</f>
        <v>1986.6841302716302</v>
      </c>
      <c r="N238" s="23">
        <f t="shared" si="17"/>
        <v>9974.6102139236391</v>
      </c>
      <c r="O238" s="23">
        <f t="shared" si="18"/>
        <v>-25.389786076360906</v>
      </c>
      <c r="P238" s="23">
        <f t="shared" si="19"/>
        <v>25.389786076360906</v>
      </c>
      <c r="W238" s="37"/>
    </row>
    <row r="239" spans="9:23" x14ac:dyDescent="0.3">
      <c r="I239">
        <v>235</v>
      </c>
      <c r="J239" s="23">
        <f>$B$5*Data!C237/Data!C236</f>
        <v>4042.8867554184017</v>
      </c>
      <c r="K239" s="23">
        <f>$B$6*Data!F237/Data!F236</f>
        <v>2983.6664700381602</v>
      </c>
      <c r="L239" s="23">
        <f>$B$7*Data!I237/Data!I236</f>
        <v>1004.063630487305</v>
      </c>
      <c r="M239" s="23">
        <f>$B$8*Data!L237/Data!L236</f>
        <v>2038.3868394552089</v>
      </c>
      <c r="N239" s="23">
        <f t="shared" si="17"/>
        <v>10069.003695399077</v>
      </c>
      <c r="O239" s="23">
        <f t="shared" si="18"/>
        <v>69.003695399076605</v>
      </c>
      <c r="P239" s="23">
        <f t="shared" si="19"/>
        <v>-69.003695399076605</v>
      </c>
      <c r="W239" s="37"/>
    </row>
    <row r="240" spans="9:23" x14ac:dyDescent="0.3">
      <c r="I240">
        <v>236</v>
      </c>
      <c r="J240" s="23">
        <f>$B$5*Data!C238/Data!C237</f>
        <v>4008.887942215259</v>
      </c>
      <c r="K240" s="23">
        <f>$B$6*Data!F238/Data!F237</f>
        <v>3037.5823343242814</v>
      </c>
      <c r="L240" s="23">
        <f>$B$7*Data!I238/Data!I237</f>
        <v>998.23044733851714</v>
      </c>
      <c r="M240" s="23">
        <f>$B$8*Data!L238/Data!L237</f>
        <v>1995.5751299989174</v>
      </c>
      <c r="N240" s="23">
        <f t="shared" si="17"/>
        <v>10040.275853876976</v>
      </c>
      <c r="O240" s="23">
        <f t="shared" si="18"/>
        <v>40.275853876975816</v>
      </c>
      <c r="P240" s="23">
        <f t="shared" si="19"/>
        <v>-40.275853876975816</v>
      </c>
      <c r="W240" s="37"/>
    </row>
    <row r="241" spans="9:23" x14ac:dyDescent="0.3">
      <c r="I241">
        <v>237</v>
      </c>
      <c r="J241" s="23">
        <f>$B$5*Data!C239/Data!C238</f>
        <v>4030.3656010948253</v>
      </c>
      <c r="K241" s="23">
        <f>$B$6*Data!F239/Data!F238</f>
        <v>3011.708233958143</v>
      </c>
      <c r="L241" s="23">
        <f>$B$7*Data!I239/Data!I238</f>
        <v>1028.0847071965673</v>
      </c>
      <c r="M241" s="23">
        <f>$B$8*Data!L239/Data!L238</f>
        <v>2038.7770334677518</v>
      </c>
      <c r="N241" s="23">
        <f t="shared" si="17"/>
        <v>10108.935575717287</v>
      </c>
      <c r="O241" s="23">
        <f t="shared" si="18"/>
        <v>108.93557571728707</v>
      </c>
      <c r="P241" s="23">
        <f t="shared" si="19"/>
        <v>-108.93557571728707</v>
      </c>
      <c r="W241" s="37"/>
    </row>
    <row r="242" spans="9:23" x14ac:dyDescent="0.3">
      <c r="I242">
        <v>238</v>
      </c>
      <c r="J242" s="23">
        <f>$B$5*Data!C240/Data!C239</f>
        <v>4052.7322121946299</v>
      </c>
      <c r="K242" s="23">
        <f>$B$6*Data!F240/Data!F239</f>
        <v>2978.9212321953155</v>
      </c>
      <c r="L242" s="23">
        <f>$B$7*Data!I240/Data!I239</f>
        <v>986.73891908265091</v>
      </c>
      <c r="M242" s="23">
        <f>$B$8*Data!L240/Data!L239</f>
        <v>1988.9749407618001</v>
      </c>
      <c r="N242" s="23">
        <f t="shared" si="17"/>
        <v>10007.367304234396</v>
      </c>
      <c r="O242" s="23">
        <f t="shared" si="18"/>
        <v>7.3673042343962152</v>
      </c>
      <c r="P242" s="23">
        <f t="shared" si="19"/>
        <v>-7.3673042343962152</v>
      </c>
      <c r="W242" s="37"/>
    </row>
    <row r="243" spans="9:23" x14ac:dyDescent="0.3">
      <c r="I243">
        <v>239</v>
      </c>
      <c r="J243" s="23">
        <f>$B$5*Data!C241/Data!C240</f>
        <v>3943.3707747346066</v>
      </c>
      <c r="K243" s="23">
        <f>$B$6*Data!F241/Data!F240</f>
        <v>3000.3054938998825</v>
      </c>
      <c r="L243" s="23">
        <f>$B$7*Data!I241/Data!I240</f>
        <v>1005.2029668685325</v>
      </c>
      <c r="M243" s="23">
        <f>$B$8*Data!L241/Data!L240</f>
        <v>2009.3651136366609</v>
      </c>
      <c r="N243" s="23">
        <f t="shared" si="17"/>
        <v>9958.2443491396825</v>
      </c>
      <c r="O243" s="23">
        <f t="shared" si="18"/>
        <v>-41.755650860317473</v>
      </c>
      <c r="P243" s="23">
        <f t="shared" si="19"/>
        <v>41.755650860317473</v>
      </c>
      <c r="W243" s="37"/>
    </row>
    <row r="244" spans="9:23" x14ac:dyDescent="0.3">
      <c r="I244">
        <v>240</v>
      </c>
      <c r="J244" s="23">
        <f>$B$5*Data!C242/Data!C241</f>
        <v>4008.8116513591631</v>
      </c>
      <c r="K244" s="23">
        <f>$B$6*Data!F242/Data!F241</f>
        <v>3012.5274457307019</v>
      </c>
      <c r="L244" s="23">
        <f>$B$7*Data!I242/Data!I241</f>
        <v>1000.0760338514832</v>
      </c>
      <c r="M244" s="23">
        <f>$B$8*Data!L242/Data!L241</f>
        <v>2026.7471711736662</v>
      </c>
      <c r="N244" s="23">
        <f t="shared" si="17"/>
        <v>10048.162302115015</v>
      </c>
      <c r="O244" s="23">
        <f t="shared" si="18"/>
        <v>48.162302115015336</v>
      </c>
      <c r="P244" s="23">
        <f t="shared" si="19"/>
        <v>-48.162302115015336</v>
      </c>
      <c r="W244" s="37"/>
    </row>
    <row r="245" spans="9:23" x14ac:dyDescent="0.3">
      <c r="I245">
        <v>241</v>
      </c>
      <c r="J245" s="23">
        <f>$B$5*Data!C243/Data!C242</f>
        <v>4005.5029022888698</v>
      </c>
      <c r="K245" s="23">
        <f>$B$6*Data!F243/Data!F242</f>
        <v>3024.789423699799</v>
      </c>
      <c r="L245" s="23">
        <f>$B$7*Data!I243/Data!I242</f>
        <v>1005.9123137387761</v>
      </c>
      <c r="M245" s="23">
        <f>$B$8*Data!L243/Data!L242</f>
        <v>2000.5857538068115</v>
      </c>
      <c r="N245" s="23">
        <f t="shared" si="17"/>
        <v>10036.790393534257</v>
      </c>
      <c r="O245" s="23">
        <f t="shared" si="18"/>
        <v>36.790393534256509</v>
      </c>
      <c r="P245" s="23">
        <f t="shared" si="19"/>
        <v>-36.790393534256509</v>
      </c>
      <c r="W245" s="37"/>
    </row>
    <row r="246" spans="9:23" x14ac:dyDescent="0.3">
      <c r="I246">
        <v>242</v>
      </c>
      <c r="J246" s="23">
        <f>$B$5*Data!C244/Data!C243</f>
        <v>4033.9547767884883</v>
      </c>
      <c r="K246" s="23">
        <f>$B$6*Data!F244/Data!F243</f>
        <v>3024.5862639285583</v>
      </c>
      <c r="L246" s="23">
        <f>$B$7*Data!I244/Data!I243</f>
        <v>1017.7884586286382</v>
      </c>
      <c r="M246" s="23">
        <f>$B$8*Data!L244/Data!L243</f>
        <v>2048.8106988940626</v>
      </c>
      <c r="N246" s="23">
        <f t="shared" si="17"/>
        <v>10125.140198239747</v>
      </c>
      <c r="O246" s="23">
        <f t="shared" si="18"/>
        <v>125.14019823974741</v>
      </c>
      <c r="P246" s="23">
        <f t="shared" si="19"/>
        <v>-125.14019823974741</v>
      </c>
      <c r="W246" s="37"/>
    </row>
    <row r="247" spans="9:23" x14ac:dyDescent="0.3">
      <c r="I247">
        <v>243</v>
      </c>
      <c r="J247" s="23">
        <f>$B$5*Data!C245/Data!C244</f>
        <v>3968.6126901911889</v>
      </c>
      <c r="K247" s="23">
        <f>$B$6*Data!F245/Data!F244</f>
        <v>3000.8456706730444</v>
      </c>
      <c r="L247" s="23">
        <f>$B$7*Data!I245/Data!I244</f>
        <v>990.46150856275506</v>
      </c>
      <c r="M247" s="23">
        <f>$B$8*Data!L245/Data!L244</f>
        <v>2033.8722226687653</v>
      </c>
      <c r="N247" s="23">
        <f t="shared" si="17"/>
        <v>9993.7920920957531</v>
      </c>
      <c r="O247" s="23">
        <f t="shared" si="18"/>
        <v>-6.2079079042468948</v>
      </c>
      <c r="P247" s="23">
        <f t="shared" si="19"/>
        <v>6.2079079042468948</v>
      </c>
      <c r="W247" s="37"/>
    </row>
    <row r="248" spans="9:23" x14ac:dyDescent="0.3">
      <c r="I248">
        <v>244</v>
      </c>
      <c r="J248" s="23">
        <f>$B$5*Data!C246/Data!C245</f>
        <v>3994.1750131705085</v>
      </c>
      <c r="K248" s="23">
        <f>$B$6*Data!F246/Data!F245</f>
        <v>2995.0740130391664</v>
      </c>
      <c r="L248" s="23">
        <f>$B$7*Data!I246/Data!I245</f>
        <v>1002.1593574806107</v>
      </c>
      <c r="M248" s="23">
        <f>$B$8*Data!L246/Data!L245</f>
        <v>1986.8192848306176</v>
      </c>
      <c r="N248" s="23">
        <f t="shared" si="17"/>
        <v>9978.2276685209017</v>
      </c>
      <c r="O248" s="23">
        <f t="shared" si="18"/>
        <v>-21.772331479098284</v>
      </c>
      <c r="P248" s="23">
        <f t="shared" si="19"/>
        <v>21.772331479098284</v>
      </c>
      <c r="W248" s="37"/>
    </row>
    <row r="249" spans="9:23" x14ac:dyDescent="0.3">
      <c r="I249">
        <v>245</v>
      </c>
      <c r="J249" s="23">
        <f>$B$5*Data!C247/Data!C246</f>
        <v>4062.197043939394</v>
      </c>
      <c r="K249" s="23">
        <f>$B$6*Data!F247/Data!F246</f>
        <v>3012.1136729316722</v>
      </c>
      <c r="L249" s="23">
        <f>$B$7*Data!I247/Data!I246</f>
        <v>994.4253858148611</v>
      </c>
      <c r="M249" s="23">
        <f>$B$8*Data!L247/Data!L246</f>
        <v>1999.2237997482655</v>
      </c>
      <c r="N249" s="23">
        <f t="shared" si="17"/>
        <v>10067.959902434193</v>
      </c>
      <c r="O249" s="23">
        <f t="shared" si="18"/>
        <v>67.959902434193282</v>
      </c>
      <c r="P249" s="23">
        <f t="shared" si="19"/>
        <v>-67.959902434193282</v>
      </c>
      <c r="W249" s="37"/>
    </row>
    <row r="250" spans="9:23" x14ac:dyDescent="0.3">
      <c r="I250">
        <v>246</v>
      </c>
      <c r="J250" s="23">
        <f>$B$5*Data!C248/Data!C247</f>
        <v>4034.3895840491264</v>
      </c>
      <c r="K250" s="23">
        <f>$B$6*Data!F248/Data!F247</f>
        <v>3032.5170268157644</v>
      </c>
      <c r="L250" s="23">
        <f>$B$7*Data!I248/Data!I247</f>
        <v>997.22423149753445</v>
      </c>
      <c r="M250" s="23">
        <f>$B$8*Data!L248/Data!L247</f>
        <v>1985.1893306211821</v>
      </c>
      <c r="N250" s="23">
        <f t="shared" si="17"/>
        <v>10049.320172983607</v>
      </c>
      <c r="O250" s="23">
        <f t="shared" si="18"/>
        <v>49.320172983607335</v>
      </c>
      <c r="P250" s="23">
        <f t="shared" si="19"/>
        <v>-49.320172983607335</v>
      </c>
      <c r="W250" s="37"/>
    </row>
    <row r="251" spans="9:23" x14ac:dyDescent="0.3">
      <c r="I251">
        <v>247</v>
      </c>
      <c r="J251" s="23">
        <f>$B$5*Data!C249/Data!C248</f>
        <v>4003.5944394244834</v>
      </c>
      <c r="K251" s="23">
        <f>$B$6*Data!F249/Data!F248</f>
        <v>2998.7405764016344</v>
      </c>
      <c r="L251" s="23">
        <f>$B$7*Data!I249/Data!I248</f>
        <v>996.55469304768565</v>
      </c>
      <c r="M251" s="23">
        <f>$B$8*Data!L249/Data!L248</f>
        <v>1977.1762611415506</v>
      </c>
      <c r="N251" s="23">
        <f t="shared" si="17"/>
        <v>9976.0659700153556</v>
      </c>
      <c r="O251" s="23">
        <f t="shared" si="18"/>
        <v>-23.93402998464444</v>
      </c>
      <c r="P251" s="23">
        <f t="shared" si="19"/>
        <v>23.93402998464444</v>
      </c>
      <c r="W251" s="37"/>
    </row>
    <row r="252" spans="9:23" x14ac:dyDescent="0.3">
      <c r="I252">
        <v>248</v>
      </c>
      <c r="J252" s="23">
        <f>$B$5*Data!C250/Data!C249</f>
        <v>4027.1049466342351</v>
      </c>
      <c r="K252" s="23">
        <f>$B$6*Data!F250/Data!F249</f>
        <v>3006.387661426274</v>
      </c>
      <c r="L252" s="23">
        <f>$B$7*Data!I250/Data!I249</f>
        <v>998.57940342376844</v>
      </c>
      <c r="M252" s="23">
        <f>$B$8*Data!L250/Data!L249</f>
        <v>2025.2607193258043</v>
      </c>
      <c r="N252" s="23">
        <f t="shared" si="17"/>
        <v>10057.332730810082</v>
      </c>
      <c r="O252" s="23">
        <f t="shared" si="18"/>
        <v>57.332730810081557</v>
      </c>
      <c r="P252" s="23">
        <f t="shared" si="19"/>
        <v>-57.332730810081557</v>
      </c>
      <c r="W252" s="37"/>
    </row>
    <row r="253" spans="9:23" x14ac:dyDescent="0.3">
      <c r="I253">
        <v>249</v>
      </c>
      <c r="J253" s="23">
        <f>$B$5*Data!C251/Data!C250</f>
        <v>4018.8336815321313</v>
      </c>
      <c r="K253" s="23">
        <f>$B$6*Data!F251/Data!F250</f>
        <v>2997.8450892301739</v>
      </c>
      <c r="L253" s="23">
        <f>$B$7*Data!I251/Data!I250</f>
        <v>1014.7057507166201</v>
      </c>
      <c r="M253" s="23">
        <f>$B$8*Data!L251/Data!L250</f>
        <v>2004.6105424913683</v>
      </c>
      <c r="N253" s="23">
        <f t="shared" si="17"/>
        <v>10035.995063970293</v>
      </c>
      <c r="O253" s="23">
        <f t="shared" si="18"/>
        <v>35.995063970292904</v>
      </c>
      <c r="P253" s="23">
        <f t="shared" si="19"/>
        <v>-35.995063970292904</v>
      </c>
      <c r="W253" s="37"/>
    </row>
    <row r="254" spans="9:23" x14ac:dyDescent="0.3">
      <c r="I254">
        <v>250</v>
      </c>
      <c r="J254" s="23">
        <f>$B$5*Data!C252/Data!C251</f>
        <v>3991.1022477130473</v>
      </c>
      <c r="K254" s="23">
        <f>$B$6*Data!F252/Data!F251</f>
        <v>2997.8435402373852</v>
      </c>
      <c r="L254" s="23">
        <f>$B$7*Data!I252/Data!I251</f>
        <v>991.97185524581073</v>
      </c>
      <c r="M254" s="23">
        <f>$B$8*Data!L252/Data!L251</f>
        <v>1999.0801824640873</v>
      </c>
      <c r="N254" s="23">
        <f t="shared" si="17"/>
        <v>9979.9978256603299</v>
      </c>
      <c r="O254" s="23">
        <f t="shared" si="18"/>
        <v>-20.002174339670091</v>
      </c>
      <c r="P254" s="23">
        <f t="shared" si="19"/>
        <v>20.002174339670091</v>
      </c>
      <c r="W254" s="37"/>
    </row>
    <row r="255" spans="9:23" x14ac:dyDescent="0.3">
      <c r="I255">
        <v>251</v>
      </c>
      <c r="J255" s="23">
        <f>$B$5*Data!C253/Data!C252</f>
        <v>3962.5714402879094</v>
      </c>
      <c r="K255" s="23">
        <f>$B$6*Data!F253/Data!F252</f>
        <v>2999.60504254025</v>
      </c>
      <c r="L255" s="23">
        <f>$B$7*Data!I253/Data!I252</f>
        <v>978.10439947232953</v>
      </c>
      <c r="M255" s="23">
        <f>$B$8*Data!L253/Data!L252</f>
        <v>1977.3391593615454</v>
      </c>
      <c r="N255" s="23">
        <f t="shared" si="17"/>
        <v>9917.6200416620341</v>
      </c>
      <c r="O255" s="23">
        <f t="shared" si="18"/>
        <v>-82.379958337965945</v>
      </c>
      <c r="P255" s="23">
        <f t="shared" si="19"/>
        <v>82.379958337965945</v>
      </c>
      <c r="W255" s="37"/>
    </row>
    <row r="256" spans="9:23" x14ac:dyDescent="0.3">
      <c r="I256">
        <v>252</v>
      </c>
      <c r="J256" s="23">
        <f>$B$5*Data!C254/Data!C253</f>
        <v>4002.7048043707487</v>
      </c>
      <c r="K256" s="23">
        <f>$B$6*Data!F254/Data!F253</f>
        <v>3021.2034567114133</v>
      </c>
      <c r="L256" s="23">
        <f>$B$7*Data!I254/Data!I253</f>
        <v>983.78131280304081</v>
      </c>
      <c r="M256" s="23">
        <f>$B$8*Data!L254/Data!L253</f>
        <v>2019.0155086053785</v>
      </c>
      <c r="N256" s="23">
        <f t="shared" si="17"/>
        <v>10026.705082490582</v>
      </c>
      <c r="O256" s="23">
        <f t="shared" si="18"/>
        <v>26.705082490581844</v>
      </c>
      <c r="P256" s="23">
        <f t="shared" si="19"/>
        <v>-26.705082490581844</v>
      </c>
      <c r="W256" s="37"/>
    </row>
    <row r="257" spans="9:23" x14ac:dyDescent="0.3">
      <c r="I257">
        <v>253</v>
      </c>
      <c r="J257" s="23">
        <f>$B$5*Data!C255/Data!C254</f>
        <v>4002.8364123712499</v>
      </c>
      <c r="K257" s="23">
        <f>$B$6*Data!F255/Data!F254</f>
        <v>3002.930328713393</v>
      </c>
      <c r="L257" s="23">
        <f>$B$7*Data!I255/Data!I254</f>
        <v>1012.8427588215168</v>
      </c>
      <c r="M257" s="23">
        <f>$B$8*Data!L255/Data!L254</f>
        <v>1996.6118243844721</v>
      </c>
      <c r="N257" s="23">
        <f t="shared" si="17"/>
        <v>10015.221324290631</v>
      </c>
      <c r="O257" s="23">
        <f t="shared" si="18"/>
        <v>15.221324290630946</v>
      </c>
      <c r="P257" s="23">
        <f t="shared" si="19"/>
        <v>-15.221324290630946</v>
      </c>
      <c r="W257" s="37"/>
    </row>
    <row r="258" spans="9:23" x14ac:dyDescent="0.3">
      <c r="I258">
        <v>254</v>
      </c>
      <c r="J258" s="23">
        <f>$B$5*Data!C256/Data!C255</f>
        <v>4051.5608980269822</v>
      </c>
      <c r="K258" s="23">
        <f>$B$6*Data!F256/Data!F255</f>
        <v>3034.7438085205767</v>
      </c>
      <c r="L258" s="23">
        <f>$B$7*Data!I256/Data!I255</f>
        <v>1010.0326511987641</v>
      </c>
      <c r="M258" s="23">
        <f>$B$8*Data!L256/Data!L255</f>
        <v>2023.9815430021179</v>
      </c>
      <c r="N258" s="23">
        <f t="shared" si="17"/>
        <v>10120.31890074844</v>
      </c>
      <c r="O258" s="23">
        <f t="shared" si="18"/>
        <v>120.31890074843977</v>
      </c>
      <c r="P258" s="23">
        <f t="shared" si="19"/>
        <v>-120.31890074843977</v>
      </c>
      <c r="W258" s="37"/>
    </row>
    <row r="259" spans="9:23" x14ac:dyDescent="0.3">
      <c r="I259">
        <v>255</v>
      </c>
      <c r="J259" s="23">
        <f>$B$5*Data!C257/Data!C256</f>
        <v>4012.0959789275885</v>
      </c>
      <c r="K259" s="23">
        <f>$B$6*Data!F257/Data!F256</f>
        <v>2993.1005677997227</v>
      </c>
      <c r="L259" s="23">
        <f>$B$7*Data!I257/Data!I256</f>
        <v>1004.5859721842528</v>
      </c>
      <c r="M259" s="23">
        <f>$B$8*Data!L257/Data!L256</f>
        <v>1997.9664569680592</v>
      </c>
      <c r="N259" s="23">
        <f t="shared" si="17"/>
        <v>10007.748975879624</v>
      </c>
      <c r="O259" s="23">
        <f t="shared" si="18"/>
        <v>7.7489758796236856</v>
      </c>
      <c r="P259" s="23">
        <f t="shared" si="19"/>
        <v>-7.7489758796236856</v>
      </c>
      <c r="W259" s="37"/>
    </row>
    <row r="260" spans="9:23" x14ac:dyDescent="0.3">
      <c r="I260">
        <v>256</v>
      </c>
      <c r="J260" s="23">
        <f>$B$5*Data!C258/Data!C257</f>
        <v>3989.3934335287267</v>
      </c>
      <c r="K260" s="23">
        <f>$B$6*Data!F258/Data!F257</f>
        <v>2943.9494244268526</v>
      </c>
      <c r="L260" s="23">
        <f>$B$7*Data!I258/Data!I257</f>
        <v>995.43747620124702</v>
      </c>
      <c r="M260" s="23">
        <f>$B$8*Data!L258/Data!L257</f>
        <v>2034.6182901772083</v>
      </c>
      <c r="N260" s="23">
        <f t="shared" si="17"/>
        <v>9963.398624334035</v>
      </c>
      <c r="O260" s="23">
        <f t="shared" si="18"/>
        <v>-36.601375665964952</v>
      </c>
      <c r="P260" s="23">
        <f t="shared" si="19"/>
        <v>36.601375665964952</v>
      </c>
      <c r="W260" s="37"/>
    </row>
    <row r="261" spans="9:23" x14ac:dyDescent="0.3">
      <c r="I261">
        <v>257</v>
      </c>
      <c r="J261" s="23">
        <f>$B$5*Data!C259/Data!C258</f>
        <v>4043.5150116254326</v>
      </c>
      <c r="K261" s="23">
        <f>$B$6*Data!F259/Data!F258</f>
        <v>3047.9738163253837</v>
      </c>
      <c r="L261" s="23">
        <f>$B$7*Data!I259/Data!I258</f>
        <v>1020.0159335663587</v>
      </c>
      <c r="M261" s="23">
        <f>$B$8*Data!L259/Data!L258</f>
        <v>1991.043992575474</v>
      </c>
      <c r="N261" s="23">
        <f t="shared" si="17"/>
        <v>10102.548754092648</v>
      </c>
      <c r="O261" s="23">
        <f t="shared" si="18"/>
        <v>102.54875409264787</v>
      </c>
      <c r="P261" s="23">
        <f t="shared" si="19"/>
        <v>-102.54875409264787</v>
      </c>
      <c r="W261" s="37"/>
    </row>
    <row r="262" spans="9:23" x14ac:dyDescent="0.3">
      <c r="I262">
        <v>258</v>
      </c>
      <c r="J262" s="23">
        <f>$B$5*Data!C260/Data!C259</f>
        <v>4005.9949731274291</v>
      </c>
      <c r="K262" s="23">
        <f>$B$6*Data!F260/Data!F259</f>
        <v>2987.4188944815</v>
      </c>
      <c r="L262" s="23">
        <f>$B$7*Data!I260/Data!I259</f>
        <v>998.27257368390599</v>
      </c>
      <c r="M262" s="23">
        <f>$B$8*Data!L260/Data!L259</f>
        <v>1945.7907851495834</v>
      </c>
      <c r="N262" s="23">
        <f t="shared" ref="N262:N325" si="20">SUM(J262:M262)</f>
        <v>9937.4772264424191</v>
      </c>
      <c r="O262" s="23">
        <f t="shared" ref="O262:O325" si="21">N262-$B$9</f>
        <v>-62.522773557580877</v>
      </c>
      <c r="P262" s="23">
        <f t="shared" ref="P262:P325" si="22">-O262</f>
        <v>62.522773557580877</v>
      </c>
      <c r="W262" s="37"/>
    </row>
    <row r="263" spans="9:23" x14ac:dyDescent="0.3">
      <c r="I263">
        <v>259</v>
      </c>
      <c r="J263" s="23">
        <f>$B$5*Data!C261/Data!C260</f>
        <v>4007.1084424298915</v>
      </c>
      <c r="K263" s="23">
        <f>$B$6*Data!F261/Data!F260</f>
        <v>3030.3867007803146</v>
      </c>
      <c r="L263" s="23">
        <f>$B$7*Data!I261/Data!I260</f>
        <v>1001.3276578974736</v>
      </c>
      <c r="M263" s="23">
        <f>$B$8*Data!L261/Data!L260</f>
        <v>2050.4369098356087</v>
      </c>
      <c r="N263" s="23">
        <f t="shared" si="20"/>
        <v>10089.259710943288</v>
      </c>
      <c r="O263" s="23">
        <f t="shared" si="21"/>
        <v>89.259710943288155</v>
      </c>
      <c r="P263" s="23">
        <f t="shared" si="22"/>
        <v>-89.259710943288155</v>
      </c>
      <c r="W263" s="37"/>
    </row>
    <row r="264" spans="9:23" x14ac:dyDescent="0.3">
      <c r="I264">
        <v>260</v>
      </c>
      <c r="J264" s="23">
        <f>$B$5*Data!C262/Data!C261</f>
        <v>3985.8942533518216</v>
      </c>
      <c r="K264" s="23">
        <f>$B$6*Data!F262/Data!F261</f>
        <v>3012.1907415284404</v>
      </c>
      <c r="L264" s="23">
        <f>$B$7*Data!I262/Data!I261</f>
        <v>1010.7820310146815</v>
      </c>
      <c r="M264" s="23">
        <f>$B$8*Data!L262/Data!L261</f>
        <v>2005.6156624999903</v>
      </c>
      <c r="N264" s="23">
        <f t="shared" si="20"/>
        <v>10014.482688394935</v>
      </c>
      <c r="O264" s="23">
        <f t="shared" si="21"/>
        <v>14.482688394935394</v>
      </c>
      <c r="P264" s="23">
        <f t="shared" si="22"/>
        <v>-14.482688394935394</v>
      </c>
      <c r="W264" s="37"/>
    </row>
    <row r="265" spans="9:23" x14ac:dyDescent="0.3">
      <c r="I265">
        <v>261</v>
      </c>
      <c r="J265" s="23">
        <f>$B$5*Data!C263/Data!C262</f>
        <v>4025.6444094881208</v>
      </c>
      <c r="K265" s="23">
        <f>$B$6*Data!F263/Data!F262</f>
        <v>3019.5300084150899</v>
      </c>
      <c r="L265" s="23">
        <f>$B$7*Data!I263/Data!I262</f>
        <v>1004.6906926945345</v>
      </c>
      <c r="M265" s="23">
        <f>$B$8*Data!L263/Data!L262</f>
        <v>2005.456976224805</v>
      </c>
      <c r="N265" s="23">
        <f t="shared" si="20"/>
        <v>10055.322086822551</v>
      </c>
      <c r="O265" s="23">
        <f t="shared" si="21"/>
        <v>55.322086822550773</v>
      </c>
      <c r="P265" s="23">
        <f t="shared" si="22"/>
        <v>-55.322086822550773</v>
      </c>
      <c r="W265" s="37"/>
    </row>
    <row r="266" spans="9:23" x14ac:dyDescent="0.3">
      <c r="I266">
        <v>262</v>
      </c>
      <c r="J266" s="23">
        <f>$B$5*Data!C264/Data!C263</f>
        <v>4004.9274494961237</v>
      </c>
      <c r="K266" s="23">
        <f>$B$6*Data!F264/Data!F263</f>
        <v>3014.8874070707529</v>
      </c>
      <c r="L266" s="23">
        <f>$B$7*Data!I264/Data!I263</f>
        <v>1000.9004196221576</v>
      </c>
      <c r="M266" s="23">
        <f>$B$8*Data!L264/Data!L263</f>
        <v>1964.7459289278461</v>
      </c>
      <c r="N266" s="23">
        <f t="shared" si="20"/>
        <v>9985.4612051168806</v>
      </c>
      <c r="O266" s="23">
        <f t="shared" si="21"/>
        <v>-14.538794883119408</v>
      </c>
      <c r="P266" s="23">
        <f t="shared" si="22"/>
        <v>14.538794883119408</v>
      </c>
      <c r="W266" s="37"/>
    </row>
    <row r="267" spans="9:23" x14ac:dyDescent="0.3">
      <c r="I267">
        <v>263</v>
      </c>
      <c r="J267" s="23">
        <f>$B$5*Data!C265/Data!C264</f>
        <v>3996.8381717236862</v>
      </c>
      <c r="K267" s="23">
        <f>$B$6*Data!F265/Data!F264</f>
        <v>2980.6030985952348</v>
      </c>
      <c r="L267" s="23">
        <f>$B$7*Data!I265/Data!I264</f>
        <v>1004.5154858830748</v>
      </c>
      <c r="M267" s="23">
        <f>$B$8*Data!L265/Data!L264</f>
        <v>2028.4222220410986</v>
      </c>
      <c r="N267" s="23">
        <f t="shared" si="20"/>
        <v>10010.378978243094</v>
      </c>
      <c r="O267" s="23">
        <f t="shared" si="21"/>
        <v>10.378978243094025</v>
      </c>
      <c r="P267" s="23">
        <f t="shared" si="22"/>
        <v>-10.378978243094025</v>
      </c>
      <c r="W267" s="37"/>
    </row>
    <row r="268" spans="9:23" x14ac:dyDescent="0.3">
      <c r="I268">
        <v>264</v>
      </c>
      <c r="J268" s="23">
        <f>$B$5*Data!C266/Data!C265</f>
        <v>3997.8238032093964</v>
      </c>
      <c r="K268" s="23">
        <f>$B$6*Data!F266/Data!F265</f>
        <v>2998.4754904179226</v>
      </c>
      <c r="L268" s="23">
        <f>$B$7*Data!I266/Data!I265</f>
        <v>1001.4894268537774</v>
      </c>
      <c r="M268" s="23">
        <f>$B$8*Data!L266/Data!L265</f>
        <v>2032.014696877214</v>
      </c>
      <c r="N268" s="23">
        <f t="shared" si="20"/>
        <v>10029.803417358309</v>
      </c>
      <c r="O268" s="23">
        <f t="shared" si="21"/>
        <v>29.803417358309162</v>
      </c>
      <c r="P268" s="23">
        <f t="shared" si="22"/>
        <v>-29.803417358309162</v>
      </c>
      <c r="W268" s="37"/>
    </row>
    <row r="269" spans="9:23" x14ac:dyDescent="0.3">
      <c r="I269">
        <v>265</v>
      </c>
      <c r="J269" s="23">
        <f>$B$5*Data!C267/Data!C266</f>
        <v>3988.6979661355772</v>
      </c>
      <c r="K269" s="23">
        <f>$B$6*Data!F267/Data!F266</f>
        <v>2987.0371179739677</v>
      </c>
      <c r="L269" s="23">
        <f>$B$7*Data!I267/Data!I266</f>
        <v>992.91350283304348</v>
      </c>
      <c r="M269" s="23">
        <f>$B$8*Data!L267/Data!L266</f>
        <v>1997.1026081000964</v>
      </c>
      <c r="N269" s="23">
        <f t="shared" si="20"/>
        <v>9965.7511950426851</v>
      </c>
      <c r="O269" s="23">
        <f t="shared" si="21"/>
        <v>-34.24880495731486</v>
      </c>
      <c r="P269" s="23">
        <f t="shared" si="22"/>
        <v>34.24880495731486</v>
      </c>
      <c r="W269" s="37"/>
    </row>
    <row r="270" spans="9:23" x14ac:dyDescent="0.3">
      <c r="I270">
        <v>266</v>
      </c>
      <c r="J270" s="23">
        <f>$B$5*Data!C268/Data!C267</f>
        <v>4027.5812821291556</v>
      </c>
      <c r="K270" s="23">
        <f>$B$6*Data!F268/Data!F267</f>
        <v>3018.7534429585216</v>
      </c>
      <c r="L270" s="23">
        <f>$B$7*Data!I268/Data!I267</f>
        <v>1000.2520571898568</v>
      </c>
      <c r="M270" s="23">
        <f>$B$8*Data!L268/Data!L267</f>
        <v>2021.4464557982064</v>
      </c>
      <c r="N270" s="23">
        <f t="shared" si="20"/>
        <v>10068.033238075741</v>
      </c>
      <c r="O270" s="23">
        <f t="shared" si="21"/>
        <v>68.033238075740883</v>
      </c>
      <c r="P270" s="23">
        <f t="shared" si="22"/>
        <v>-68.033238075740883</v>
      </c>
      <c r="W270" s="37"/>
    </row>
    <row r="271" spans="9:23" x14ac:dyDescent="0.3">
      <c r="I271">
        <v>267</v>
      </c>
      <c r="J271" s="23">
        <f>$B$5*Data!C269/Data!C268</f>
        <v>3984.4777671868815</v>
      </c>
      <c r="K271" s="23">
        <f>$B$6*Data!F269/Data!F268</f>
        <v>3015.3497555788845</v>
      </c>
      <c r="L271" s="23">
        <f>$B$7*Data!I269/Data!I268</f>
        <v>1008.0955132808191</v>
      </c>
      <c r="M271" s="23">
        <f>$B$8*Data!L269/Data!L268</f>
        <v>1973.2705039919583</v>
      </c>
      <c r="N271" s="23">
        <f t="shared" si="20"/>
        <v>9981.1935400385446</v>
      </c>
      <c r="O271" s="23">
        <f t="shared" si="21"/>
        <v>-18.806459961455403</v>
      </c>
      <c r="P271" s="23">
        <f t="shared" si="22"/>
        <v>18.806459961455403</v>
      </c>
      <c r="W271" s="37"/>
    </row>
    <row r="272" spans="9:23" x14ac:dyDescent="0.3">
      <c r="I272">
        <v>268</v>
      </c>
      <c r="J272" s="23">
        <f>$B$5*Data!C270/Data!C269</f>
        <v>3995.4738676340471</v>
      </c>
      <c r="K272" s="23">
        <f>$B$6*Data!F270/Data!F269</f>
        <v>3000.2081968367816</v>
      </c>
      <c r="L272" s="23">
        <f>$B$7*Data!I270/Data!I269</f>
        <v>988.26734139938912</v>
      </c>
      <c r="M272" s="23">
        <f>$B$8*Data!L270/Data!L269</f>
        <v>2010.1098395486454</v>
      </c>
      <c r="N272" s="23">
        <f t="shared" si="20"/>
        <v>9994.0592454188627</v>
      </c>
      <c r="O272" s="23">
        <f t="shared" si="21"/>
        <v>-5.9407545811372984</v>
      </c>
      <c r="P272" s="23">
        <f t="shared" si="22"/>
        <v>5.9407545811372984</v>
      </c>
      <c r="W272" s="37"/>
    </row>
    <row r="273" spans="9:23" x14ac:dyDescent="0.3">
      <c r="I273">
        <v>269</v>
      </c>
      <c r="J273" s="23">
        <f>$B$5*Data!C271/Data!C270</f>
        <v>3973.903605628861</v>
      </c>
      <c r="K273" s="23">
        <f>$B$6*Data!F271/Data!F270</f>
        <v>3007.8724933387016</v>
      </c>
      <c r="L273" s="23">
        <f>$B$7*Data!I271/Data!I270</f>
        <v>1007.0821571494077</v>
      </c>
      <c r="M273" s="23">
        <f>$B$8*Data!L271/Data!L270</f>
        <v>2003.9366692400845</v>
      </c>
      <c r="N273" s="23">
        <f t="shared" si="20"/>
        <v>9992.794925357055</v>
      </c>
      <c r="O273" s="23">
        <f t="shared" si="21"/>
        <v>-7.2050746429449646</v>
      </c>
      <c r="P273" s="23">
        <f t="shared" si="22"/>
        <v>7.2050746429449646</v>
      </c>
      <c r="W273" s="37"/>
    </row>
    <row r="274" spans="9:23" x14ac:dyDescent="0.3">
      <c r="I274">
        <v>270</v>
      </c>
      <c r="J274" s="23">
        <f>$B$5*Data!C272/Data!C271</f>
        <v>3967.4971305299969</v>
      </c>
      <c r="K274" s="23">
        <f>$B$6*Data!F272/Data!F271</f>
        <v>2973.3293667373259</v>
      </c>
      <c r="L274" s="23">
        <f>$B$7*Data!I272/Data!I271</f>
        <v>997.23948397806612</v>
      </c>
      <c r="M274" s="23">
        <f>$B$8*Data!L272/Data!L271</f>
        <v>1998.8658935072776</v>
      </c>
      <c r="N274" s="23">
        <f t="shared" si="20"/>
        <v>9936.9318747526668</v>
      </c>
      <c r="O274" s="23">
        <f t="shared" si="21"/>
        <v>-63.068125247333228</v>
      </c>
      <c r="P274" s="23">
        <f t="shared" si="22"/>
        <v>63.068125247333228</v>
      </c>
      <c r="W274" s="37"/>
    </row>
    <row r="275" spans="9:23" x14ac:dyDescent="0.3">
      <c r="I275">
        <v>271</v>
      </c>
      <c r="J275" s="23">
        <f>$B$5*Data!C273/Data!C272</f>
        <v>3991.4732435602873</v>
      </c>
      <c r="K275" s="23">
        <f>$B$6*Data!F273/Data!F272</f>
        <v>2942.5601275958875</v>
      </c>
      <c r="L275" s="23">
        <f>$B$7*Data!I273/Data!I272</f>
        <v>999.72231956609301</v>
      </c>
      <c r="M275" s="23">
        <f>$B$8*Data!L273/Data!L272</f>
        <v>1979.9937052359296</v>
      </c>
      <c r="N275" s="23">
        <f t="shared" si="20"/>
        <v>9913.7493959581971</v>
      </c>
      <c r="O275" s="23">
        <f t="shared" si="21"/>
        <v>-86.250604041802944</v>
      </c>
      <c r="P275" s="23">
        <f t="shared" si="22"/>
        <v>86.250604041802944</v>
      </c>
      <c r="W275" s="37"/>
    </row>
    <row r="276" spans="9:23" x14ac:dyDescent="0.3">
      <c r="I276">
        <v>272</v>
      </c>
      <c r="J276" s="23">
        <f>$B$5*Data!C274/Data!C273</f>
        <v>4058.6641682533937</v>
      </c>
      <c r="K276" s="23">
        <f>$B$6*Data!F274/Data!F273</f>
        <v>3029.2132035472987</v>
      </c>
      <c r="L276" s="23">
        <f>$B$7*Data!I274/Data!I273</f>
        <v>997.25825241366169</v>
      </c>
      <c r="M276" s="23">
        <f>$B$8*Data!L274/Data!L273</f>
        <v>2005.6348061289311</v>
      </c>
      <c r="N276" s="23">
        <f t="shared" si="20"/>
        <v>10090.770430343286</v>
      </c>
      <c r="O276" s="23">
        <f t="shared" si="21"/>
        <v>90.770430343285625</v>
      </c>
      <c r="P276" s="23">
        <f t="shared" si="22"/>
        <v>-90.770430343285625</v>
      </c>
      <c r="W276" s="37"/>
    </row>
    <row r="277" spans="9:23" x14ac:dyDescent="0.3">
      <c r="I277">
        <v>273</v>
      </c>
      <c r="J277" s="23">
        <f>$B$5*Data!C275/Data!C274</f>
        <v>4011.8132732444042</v>
      </c>
      <c r="K277" s="23">
        <f>$B$6*Data!F275/Data!F274</f>
        <v>3043.9494741196791</v>
      </c>
      <c r="L277" s="23">
        <f>$B$7*Data!I275/Data!I274</f>
        <v>1004.5405392193742</v>
      </c>
      <c r="M277" s="23">
        <f>$B$8*Data!L275/Data!L274</f>
        <v>2025.338439788321</v>
      </c>
      <c r="N277" s="23">
        <f t="shared" si="20"/>
        <v>10085.641726371778</v>
      </c>
      <c r="O277" s="23">
        <f t="shared" si="21"/>
        <v>85.641726371777622</v>
      </c>
      <c r="P277" s="23">
        <f t="shared" si="22"/>
        <v>-85.641726371777622</v>
      </c>
      <c r="W277" s="37"/>
    </row>
    <row r="278" spans="9:23" x14ac:dyDescent="0.3">
      <c r="I278">
        <v>274</v>
      </c>
      <c r="J278" s="23">
        <f>$B$5*Data!C276/Data!C275</f>
        <v>4027.7983347581371</v>
      </c>
      <c r="K278" s="23">
        <f>$B$6*Data!F276/Data!F275</f>
        <v>2988.2348015081739</v>
      </c>
      <c r="L278" s="23">
        <f>$B$7*Data!I276/Data!I275</f>
        <v>1000.2709646995818</v>
      </c>
      <c r="M278" s="23">
        <f>$B$8*Data!L276/Data!L275</f>
        <v>1987.1285117051978</v>
      </c>
      <c r="N278" s="23">
        <f t="shared" si="20"/>
        <v>10003.432612671091</v>
      </c>
      <c r="O278" s="23">
        <f t="shared" si="21"/>
        <v>3.4326126710911922</v>
      </c>
      <c r="P278" s="23">
        <f t="shared" si="22"/>
        <v>-3.4326126710911922</v>
      </c>
      <c r="W278" s="37"/>
    </row>
    <row r="279" spans="9:23" x14ac:dyDescent="0.3">
      <c r="I279">
        <v>275</v>
      </c>
      <c r="J279" s="23">
        <f>$B$5*Data!C277/Data!C276</f>
        <v>3996.5279096271602</v>
      </c>
      <c r="K279" s="23">
        <f>$B$6*Data!F277/Data!F276</f>
        <v>3004.5760461815917</v>
      </c>
      <c r="L279" s="23">
        <f>$B$7*Data!I277/Data!I276</f>
        <v>1005.4278215478171</v>
      </c>
      <c r="M279" s="23">
        <f>$B$8*Data!L277/Data!L276</f>
        <v>1983.1536841437717</v>
      </c>
      <c r="N279" s="23">
        <f t="shared" si="20"/>
        <v>9989.6854615003413</v>
      </c>
      <c r="O279" s="23">
        <f t="shared" si="21"/>
        <v>-10.314538499658738</v>
      </c>
      <c r="P279" s="23">
        <f t="shared" si="22"/>
        <v>10.314538499658738</v>
      </c>
      <c r="W279" s="37"/>
    </row>
    <row r="280" spans="9:23" x14ac:dyDescent="0.3">
      <c r="I280">
        <v>276</v>
      </c>
      <c r="J280" s="23">
        <f>$B$5*Data!C278/Data!C277</f>
        <v>4019.9396116044236</v>
      </c>
      <c r="K280" s="23">
        <f>$B$6*Data!F278/Data!F277</f>
        <v>3016.7273539522844</v>
      </c>
      <c r="L280" s="23">
        <f>$B$7*Data!I278/Data!I277</f>
        <v>1002.8030651756686</v>
      </c>
      <c r="M280" s="23">
        <f>$B$8*Data!L278/Data!L277</f>
        <v>1985.4335781616003</v>
      </c>
      <c r="N280" s="23">
        <f t="shared" si="20"/>
        <v>10024.903608893977</v>
      </c>
      <c r="O280" s="23">
        <f t="shared" si="21"/>
        <v>24.903608893977434</v>
      </c>
      <c r="P280" s="23">
        <f t="shared" si="22"/>
        <v>-24.903608893977434</v>
      </c>
      <c r="W280" s="37"/>
    </row>
    <row r="281" spans="9:23" x14ac:dyDescent="0.3">
      <c r="I281">
        <v>277</v>
      </c>
      <c r="J281" s="23">
        <f>$B$5*Data!C279/Data!C278</f>
        <v>4014.8237876960957</v>
      </c>
      <c r="K281" s="23">
        <f>$B$6*Data!F279/Data!F278</f>
        <v>3041.0257597856917</v>
      </c>
      <c r="L281" s="23">
        <f>$B$7*Data!I279/Data!I278</f>
        <v>1014.7838779273137</v>
      </c>
      <c r="M281" s="23">
        <f>$B$8*Data!L279/Data!L278</f>
        <v>1951.5418924148571</v>
      </c>
      <c r="N281" s="23">
        <f t="shared" si="20"/>
        <v>10022.175317823958</v>
      </c>
      <c r="O281" s="23">
        <f t="shared" si="21"/>
        <v>22.175317823957812</v>
      </c>
      <c r="P281" s="23">
        <f t="shared" si="22"/>
        <v>-22.175317823957812</v>
      </c>
      <c r="W281" s="37"/>
    </row>
    <row r="282" spans="9:23" x14ac:dyDescent="0.3">
      <c r="I282">
        <v>278</v>
      </c>
      <c r="J282" s="23">
        <f>$B$5*Data!C280/Data!C279</f>
        <v>3999.4777538420112</v>
      </c>
      <c r="K282" s="23">
        <f>$B$6*Data!F280/Data!F279</f>
        <v>3005.842039373887</v>
      </c>
      <c r="L282" s="23">
        <f>$B$7*Data!I280/Data!I279</f>
        <v>991.78626082353082</v>
      </c>
      <c r="M282" s="23">
        <f>$B$8*Data!L280/Data!L279</f>
        <v>2012.0342639385676</v>
      </c>
      <c r="N282" s="23">
        <f t="shared" si="20"/>
        <v>10009.140317977997</v>
      </c>
      <c r="O282" s="23">
        <f t="shared" si="21"/>
        <v>9.1403179779972561</v>
      </c>
      <c r="P282" s="23">
        <f t="shared" si="22"/>
        <v>-9.1403179779972561</v>
      </c>
      <c r="W282" s="37"/>
    </row>
    <row r="283" spans="9:23" x14ac:dyDescent="0.3">
      <c r="I283">
        <v>279</v>
      </c>
      <c r="J283" s="23">
        <f>$B$5*Data!C281/Data!C280</f>
        <v>3988.222585426261</v>
      </c>
      <c r="K283" s="23">
        <f>$B$6*Data!F281/Data!F280</f>
        <v>2985.2059441368156</v>
      </c>
      <c r="L283" s="23">
        <f>$B$7*Data!I281/Data!I280</f>
        <v>1005.6581550525615</v>
      </c>
      <c r="M283" s="23">
        <f>$B$8*Data!L281/Data!L280</f>
        <v>2035.3236306580545</v>
      </c>
      <c r="N283" s="23">
        <f t="shared" si="20"/>
        <v>10014.410315273692</v>
      </c>
      <c r="O283" s="23">
        <f t="shared" si="21"/>
        <v>14.410315273691594</v>
      </c>
      <c r="P283" s="23">
        <f t="shared" si="22"/>
        <v>-14.410315273691594</v>
      </c>
      <c r="W283" s="37"/>
    </row>
    <row r="284" spans="9:23" x14ac:dyDescent="0.3">
      <c r="I284">
        <v>280</v>
      </c>
      <c r="J284" s="23">
        <f>$B$5*Data!C282/Data!C281</f>
        <v>4043.4099251364787</v>
      </c>
      <c r="K284" s="23">
        <f>$B$6*Data!F282/Data!F281</f>
        <v>2974.4813882330491</v>
      </c>
      <c r="L284" s="23">
        <f>$B$7*Data!I282/Data!I281</f>
        <v>986.43905467125057</v>
      </c>
      <c r="M284" s="23">
        <f>$B$8*Data!L282/Data!L281</f>
        <v>1995.2658898407233</v>
      </c>
      <c r="N284" s="23">
        <f t="shared" si="20"/>
        <v>9999.5962578815015</v>
      </c>
      <c r="O284" s="23">
        <f t="shared" si="21"/>
        <v>-0.40374211849848507</v>
      </c>
      <c r="P284" s="23">
        <f t="shared" si="22"/>
        <v>0.40374211849848507</v>
      </c>
      <c r="W284" s="37"/>
    </row>
    <row r="285" spans="9:23" x14ac:dyDescent="0.3">
      <c r="I285">
        <v>281</v>
      </c>
      <c r="J285" s="23">
        <f>$B$5*Data!C283/Data!C282</f>
        <v>3924.1019948719154</v>
      </c>
      <c r="K285" s="23">
        <f>$B$6*Data!F283/Data!F282</f>
        <v>3004.313372988604</v>
      </c>
      <c r="L285" s="23">
        <f>$B$7*Data!I283/Data!I282</f>
        <v>991.57084687439465</v>
      </c>
      <c r="M285" s="23">
        <f>$B$8*Data!L283/Data!L282</f>
        <v>1997.8122343725452</v>
      </c>
      <c r="N285" s="23">
        <f t="shared" si="20"/>
        <v>9917.7984491074585</v>
      </c>
      <c r="O285" s="23">
        <f t="shared" si="21"/>
        <v>-82.201550892541491</v>
      </c>
      <c r="P285" s="23">
        <f t="shared" si="22"/>
        <v>82.201550892541491</v>
      </c>
      <c r="W285" s="37"/>
    </row>
    <row r="286" spans="9:23" x14ac:dyDescent="0.3">
      <c r="I286">
        <v>282</v>
      </c>
      <c r="J286" s="23">
        <f>$B$5*Data!C284/Data!C283</f>
        <v>3996.6439166743835</v>
      </c>
      <c r="K286" s="23">
        <f>$B$6*Data!F284/Data!F283</f>
        <v>2939.2021623062865</v>
      </c>
      <c r="L286" s="23">
        <f>$B$7*Data!I284/Data!I283</f>
        <v>982.51798465706247</v>
      </c>
      <c r="M286" s="23">
        <f>$B$8*Data!L284/Data!L283</f>
        <v>2032.9903630911233</v>
      </c>
      <c r="N286" s="23">
        <f t="shared" si="20"/>
        <v>9951.3544267288562</v>
      </c>
      <c r="O286" s="23">
        <f t="shared" si="21"/>
        <v>-48.645573271143803</v>
      </c>
      <c r="P286" s="23">
        <f t="shared" si="22"/>
        <v>48.645573271143803</v>
      </c>
      <c r="W286" s="37"/>
    </row>
    <row r="287" spans="9:23" x14ac:dyDescent="0.3">
      <c r="I287">
        <v>283</v>
      </c>
      <c r="J287" s="23">
        <f>$B$5*Data!C285/Data!C284</f>
        <v>4028.7309041459262</v>
      </c>
      <c r="K287" s="23">
        <f>$B$6*Data!F285/Data!F284</f>
        <v>3004.5815671297869</v>
      </c>
      <c r="L287" s="23">
        <f>$B$7*Data!I285/Data!I284</f>
        <v>995.35452184453607</v>
      </c>
      <c r="M287" s="23">
        <f>$B$8*Data!L285/Data!L284</f>
        <v>2025.2425028687223</v>
      </c>
      <c r="N287" s="23">
        <f t="shared" si="20"/>
        <v>10053.909495988972</v>
      </c>
      <c r="O287" s="23">
        <f t="shared" si="21"/>
        <v>53.909495988971685</v>
      </c>
      <c r="P287" s="23">
        <f t="shared" si="22"/>
        <v>-53.909495988971685</v>
      </c>
      <c r="W287" s="37"/>
    </row>
    <row r="288" spans="9:23" x14ac:dyDescent="0.3">
      <c r="I288">
        <v>284</v>
      </c>
      <c r="J288" s="23">
        <f>$B$5*Data!C286/Data!C285</f>
        <v>3981.4227000828414</v>
      </c>
      <c r="K288" s="23">
        <f>$B$6*Data!F286/Data!F285</f>
        <v>3016.9433631203665</v>
      </c>
      <c r="L288" s="23">
        <f>$B$7*Data!I286/Data!I285</f>
        <v>1006.2393078992548</v>
      </c>
      <c r="M288" s="23">
        <f>$B$8*Data!L286/Data!L285</f>
        <v>2013.7823880926464</v>
      </c>
      <c r="N288" s="23">
        <f t="shared" si="20"/>
        <v>10018.38775919511</v>
      </c>
      <c r="O288" s="23">
        <f t="shared" si="21"/>
        <v>18.387759195109538</v>
      </c>
      <c r="P288" s="23">
        <f t="shared" si="22"/>
        <v>-18.387759195109538</v>
      </c>
      <c r="W288" s="37"/>
    </row>
    <row r="289" spans="9:23" x14ac:dyDescent="0.3">
      <c r="I289">
        <v>285</v>
      </c>
      <c r="J289" s="23">
        <f>$B$5*Data!C287/Data!C286</f>
        <v>4014.357925806622</v>
      </c>
      <c r="K289" s="23">
        <f>$B$6*Data!F287/Data!F286</f>
        <v>3004.9039817601142</v>
      </c>
      <c r="L289" s="23">
        <f>$B$7*Data!I287/Data!I286</f>
        <v>998.98125207077271</v>
      </c>
      <c r="M289" s="23">
        <f>$B$8*Data!L287/Data!L286</f>
        <v>1993.2414074957851</v>
      </c>
      <c r="N289" s="23">
        <f t="shared" si="20"/>
        <v>10011.484567133295</v>
      </c>
      <c r="O289" s="23">
        <f t="shared" si="21"/>
        <v>11.484567133295059</v>
      </c>
      <c r="P289" s="23">
        <f t="shared" si="22"/>
        <v>-11.484567133295059</v>
      </c>
      <c r="W289" s="37"/>
    </row>
    <row r="290" spans="9:23" x14ac:dyDescent="0.3">
      <c r="I290">
        <v>286</v>
      </c>
      <c r="J290" s="23">
        <f>$B$5*Data!C288/Data!C287</f>
        <v>4026.9371201621384</v>
      </c>
      <c r="K290" s="23">
        <f>$B$6*Data!F288/Data!F287</f>
        <v>3028.7902428512161</v>
      </c>
      <c r="L290" s="23">
        <f>$B$7*Data!I288/Data!I287</f>
        <v>999.28109739071976</v>
      </c>
      <c r="M290" s="23">
        <f>$B$8*Data!L288/Data!L287</f>
        <v>2012.0572799448012</v>
      </c>
      <c r="N290" s="23">
        <f t="shared" si="20"/>
        <v>10067.065740348877</v>
      </c>
      <c r="O290" s="23">
        <f t="shared" si="21"/>
        <v>67.065740348876716</v>
      </c>
      <c r="P290" s="23">
        <f t="shared" si="22"/>
        <v>-67.065740348876716</v>
      </c>
      <c r="W290" s="37"/>
    </row>
    <row r="291" spans="9:23" x14ac:dyDescent="0.3">
      <c r="I291">
        <v>287</v>
      </c>
      <c r="J291" s="23">
        <f>$B$5*Data!C289/Data!C288</f>
        <v>4046.2744004145115</v>
      </c>
      <c r="K291" s="23">
        <f>$B$6*Data!F289/Data!F288</f>
        <v>3052.7335209421676</v>
      </c>
      <c r="L291" s="23">
        <f>$B$7*Data!I289/Data!I288</f>
        <v>1012.6192392780341</v>
      </c>
      <c r="M291" s="23">
        <f>$B$8*Data!L289/Data!L288</f>
        <v>1936.9831261507907</v>
      </c>
      <c r="N291" s="23">
        <f t="shared" si="20"/>
        <v>10048.610286785504</v>
      </c>
      <c r="O291" s="23">
        <f t="shared" si="21"/>
        <v>48.610286785504286</v>
      </c>
      <c r="P291" s="23">
        <f t="shared" si="22"/>
        <v>-48.610286785504286</v>
      </c>
      <c r="W291" s="37"/>
    </row>
    <row r="292" spans="9:23" x14ac:dyDescent="0.3">
      <c r="I292">
        <v>288</v>
      </c>
      <c r="J292" s="23">
        <f>$B$5*Data!C290/Data!C289</f>
        <v>4000.0698230686212</v>
      </c>
      <c r="K292" s="23">
        <f>$B$6*Data!F290/Data!F289</f>
        <v>3006.3578597126257</v>
      </c>
      <c r="L292" s="23">
        <f>$B$7*Data!I290/Data!I289</f>
        <v>1011.907013722781</v>
      </c>
      <c r="M292" s="23">
        <f>$B$8*Data!L290/Data!L289</f>
        <v>2044.8158395232329</v>
      </c>
      <c r="N292" s="23">
        <f t="shared" si="20"/>
        <v>10063.15053602726</v>
      </c>
      <c r="O292" s="23">
        <f t="shared" si="21"/>
        <v>63.150536027260387</v>
      </c>
      <c r="P292" s="23">
        <f t="shared" si="22"/>
        <v>-63.150536027260387</v>
      </c>
      <c r="W292" s="37"/>
    </row>
    <row r="293" spans="9:23" x14ac:dyDescent="0.3">
      <c r="I293">
        <v>289</v>
      </c>
      <c r="J293" s="23">
        <f>$B$5*Data!C291/Data!C290</f>
        <v>4008.5935073750143</v>
      </c>
      <c r="K293" s="23">
        <f>$B$6*Data!F291/Data!F290</f>
        <v>3036.6303527383484</v>
      </c>
      <c r="L293" s="23">
        <f>$B$7*Data!I291/Data!I290</f>
        <v>1005.7834282084453</v>
      </c>
      <c r="M293" s="23">
        <f>$B$8*Data!L291/Data!L290</f>
        <v>1985.7970029104772</v>
      </c>
      <c r="N293" s="23">
        <f t="shared" si="20"/>
        <v>10036.804291232285</v>
      </c>
      <c r="O293" s="23">
        <f t="shared" si="21"/>
        <v>36.804291232285323</v>
      </c>
      <c r="P293" s="23">
        <f t="shared" si="22"/>
        <v>-36.804291232285323</v>
      </c>
      <c r="W293" s="37"/>
    </row>
    <row r="294" spans="9:23" x14ac:dyDescent="0.3">
      <c r="I294">
        <v>290</v>
      </c>
      <c r="J294" s="23">
        <f>$B$5*Data!C292/Data!C291</f>
        <v>4008.3385413855285</v>
      </c>
      <c r="K294" s="23">
        <f>$B$6*Data!F292/Data!F291</f>
        <v>2994.9906963502713</v>
      </c>
      <c r="L294" s="23">
        <f>$B$7*Data!I292/Data!I291</f>
        <v>1020.9707763123727</v>
      </c>
      <c r="M294" s="23">
        <f>$B$8*Data!L292/Data!L291</f>
        <v>1967.3846230518282</v>
      </c>
      <c r="N294" s="23">
        <f t="shared" si="20"/>
        <v>9991.6846370999992</v>
      </c>
      <c r="O294" s="23">
        <f t="shared" si="21"/>
        <v>-8.3153629000007641</v>
      </c>
      <c r="P294" s="23">
        <f t="shared" si="22"/>
        <v>8.3153629000007641</v>
      </c>
      <c r="W294" s="37"/>
    </row>
    <row r="295" spans="9:23" x14ac:dyDescent="0.3">
      <c r="I295">
        <v>291</v>
      </c>
      <c r="J295" s="23">
        <f>$B$5*Data!C293/Data!C292</f>
        <v>4018.5457301665956</v>
      </c>
      <c r="K295" s="23">
        <f>$B$6*Data!F293/Data!F292</f>
        <v>3007.0564823863228</v>
      </c>
      <c r="L295" s="23">
        <f>$B$7*Data!I293/Data!I292</f>
        <v>1002.9895839898386</v>
      </c>
      <c r="M295" s="23">
        <f>$B$8*Data!L293/Data!L292</f>
        <v>2006.3904985748559</v>
      </c>
      <c r="N295" s="23">
        <f t="shared" si="20"/>
        <v>10034.982295117612</v>
      </c>
      <c r="O295" s="23">
        <f t="shared" si="21"/>
        <v>34.982295117612011</v>
      </c>
      <c r="P295" s="23">
        <f t="shared" si="22"/>
        <v>-34.982295117612011</v>
      </c>
      <c r="W295" s="37"/>
    </row>
    <row r="296" spans="9:23" x14ac:dyDescent="0.3">
      <c r="I296">
        <v>292</v>
      </c>
      <c r="J296" s="23">
        <f>$B$5*Data!C294/Data!C293</f>
        <v>4004.1898407882832</v>
      </c>
      <c r="K296" s="23">
        <f>$B$6*Data!F294/Data!F293</f>
        <v>3007.039923354605</v>
      </c>
      <c r="L296" s="23">
        <f>$B$7*Data!I294/Data!I293</f>
        <v>1001.9914085953261</v>
      </c>
      <c r="M296" s="23">
        <f>$B$8*Data!L294/Data!L293</f>
        <v>2035.8376508674799</v>
      </c>
      <c r="N296" s="23">
        <f t="shared" si="20"/>
        <v>10049.058823605694</v>
      </c>
      <c r="O296" s="23">
        <f t="shared" si="21"/>
        <v>49.05882360569376</v>
      </c>
      <c r="P296" s="23">
        <f t="shared" si="22"/>
        <v>-49.05882360569376</v>
      </c>
      <c r="W296" s="37"/>
    </row>
    <row r="297" spans="9:23" x14ac:dyDescent="0.3">
      <c r="I297">
        <v>293</v>
      </c>
      <c r="J297" s="23">
        <f>$B$5*Data!C295/Data!C294</f>
        <v>3975.7300215436308</v>
      </c>
      <c r="K297" s="23">
        <f>$B$6*Data!F295/Data!F294</f>
        <v>3008.0133764624234</v>
      </c>
      <c r="L297" s="23">
        <f>$B$7*Data!I295/Data!I294</f>
        <v>997.11346191172458</v>
      </c>
      <c r="M297" s="23">
        <f>$B$8*Data!L295/Data!L294</f>
        <v>2001.7451744298835</v>
      </c>
      <c r="N297" s="23">
        <f t="shared" si="20"/>
        <v>9982.602034347663</v>
      </c>
      <c r="O297" s="23">
        <f t="shared" si="21"/>
        <v>-17.397965652337007</v>
      </c>
      <c r="P297" s="23">
        <f t="shared" si="22"/>
        <v>17.397965652337007</v>
      </c>
      <c r="W297" s="37"/>
    </row>
    <row r="298" spans="9:23" x14ac:dyDescent="0.3">
      <c r="I298">
        <v>294</v>
      </c>
      <c r="J298" s="23">
        <f>$B$5*Data!C296/Data!C295</f>
        <v>4013.9114865824695</v>
      </c>
      <c r="K298" s="23">
        <f>$B$6*Data!F296/Data!F295</f>
        <v>2996.2268391660887</v>
      </c>
      <c r="L298" s="23">
        <f>$B$7*Data!I296/Data!I295</f>
        <v>992.50154546009185</v>
      </c>
      <c r="M298" s="23">
        <f>$B$8*Data!L296/Data!L295</f>
        <v>2023.9201845743812</v>
      </c>
      <c r="N298" s="23">
        <f t="shared" si="20"/>
        <v>10026.560055783031</v>
      </c>
      <c r="O298" s="23">
        <f t="shared" si="21"/>
        <v>26.560055783031203</v>
      </c>
      <c r="P298" s="23">
        <f t="shared" si="22"/>
        <v>-26.560055783031203</v>
      </c>
      <c r="W298" s="37"/>
    </row>
    <row r="299" spans="9:23" x14ac:dyDescent="0.3">
      <c r="I299">
        <v>295</v>
      </c>
      <c r="J299" s="23">
        <f>$B$5*Data!C297/Data!C296</f>
        <v>4000.1524916837579</v>
      </c>
      <c r="K299" s="23">
        <f>$B$6*Data!F297/Data!F296</f>
        <v>2972.1000582764573</v>
      </c>
      <c r="L299" s="23">
        <f>$B$7*Data!I297/Data!I296</f>
        <v>1004.9366015261473</v>
      </c>
      <c r="M299" s="23">
        <f>$B$8*Data!L297/Data!L296</f>
        <v>2004.4073016954139</v>
      </c>
      <c r="N299" s="23">
        <f t="shared" si="20"/>
        <v>9981.5964531817772</v>
      </c>
      <c r="O299" s="23">
        <f t="shared" si="21"/>
        <v>-18.403546818222821</v>
      </c>
      <c r="P299" s="23">
        <f t="shared" si="22"/>
        <v>18.403546818222821</v>
      </c>
      <c r="W299" s="37"/>
    </row>
    <row r="300" spans="9:23" x14ac:dyDescent="0.3">
      <c r="I300">
        <v>296</v>
      </c>
      <c r="J300" s="23">
        <f>$B$5*Data!C298/Data!C297</f>
        <v>4026.4372971839216</v>
      </c>
      <c r="K300" s="23">
        <f>$B$6*Data!F298/Data!F297</f>
        <v>3007.0688852013295</v>
      </c>
      <c r="L300" s="23">
        <f>$B$7*Data!I298/Data!I297</f>
        <v>1001.1294267069256</v>
      </c>
      <c r="M300" s="23">
        <f>$B$8*Data!L298/Data!L297</f>
        <v>2026.3904073511171</v>
      </c>
      <c r="N300" s="23">
        <f t="shared" si="20"/>
        <v>10061.026016443293</v>
      </c>
      <c r="O300" s="23">
        <f t="shared" si="21"/>
        <v>61.026016443292974</v>
      </c>
      <c r="P300" s="23">
        <f t="shared" si="22"/>
        <v>-61.026016443292974</v>
      </c>
      <c r="W300" s="37"/>
    </row>
    <row r="301" spans="9:23" x14ac:dyDescent="0.3">
      <c r="I301">
        <v>297</v>
      </c>
      <c r="J301" s="23">
        <f>$B$5*Data!C299/Data!C298</f>
        <v>3997.4825235444814</v>
      </c>
      <c r="K301" s="23">
        <f>$B$6*Data!F299/Data!F298</f>
        <v>2990.0662127905903</v>
      </c>
      <c r="L301" s="23">
        <f>$B$7*Data!I299/Data!I298</f>
        <v>1006.670723794902</v>
      </c>
      <c r="M301" s="23">
        <f>$B$8*Data!L299/Data!L298</f>
        <v>2004.467813075421</v>
      </c>
      <c r="N301" s="23">
        <f t="shared" si="20"/>
        <v>9998.6872732053944</v>
      </c>
      <c r="O301" s="23">
        <f t="shared" si="21"/>
        <v>-1.3127267946056236</v>
      </c>
      <c r="P301" s="23">
        <f t="shared" si="22"/>
        <v>1.3127267946056236</v>
      </c>
      <c r="W301" s="37"/>
    </row>
    <row r="302" spans="9:23" x14ac:dyDescent="0.3">
      <c r="I302">
        <v>298</v>
      </c>
      <c r="J302" s="23">
        <f>$B$5*Data!C300/Data!C299</f>
        <v>4002.0374327470176</v>
      </c>
      <c r="K302" s="23">
        <f>$B$6*Data!F300/Data!F299</f>
        <v>3032.1174829531592</v>
      </c>
      <c r="L302" s="23">
        <f>$B$7*Data!I300/Data!I299</f>
        <v>995.40149354828031</v>
      </c>
      <c r="M302" s="23">
        <f>$B$8*Data!L300/Data!L299</f>
        <v>2041.9725540757424</v>
      </c>
      <c r="N302" s="23">
        <f t="shared" si="20"/>
        <v>10071.528963324199</v>
      </c>
      <c r="O302" s="23">
        <f t="shared" si="21"/>
        <v>71.52896332419914</v>
      </c>
      <c r="P302" s="23">
        <f t="shared" si="22"/>
        <v>-71.52896332419914</v>
      </c>
      <c r="W302" s="37"/>
    </row>
    <row r="303" spans="9:23" x14ac:dyDescent="0.3">
      <c r="I303">
        <v>299</v>
      </c>
      <c r="J303" s="23">
        <f>$B$5*Data!C301/Data!C300</f>
        <v>3990.9047520644981</v>
      </c>
      <c r="K303" s="23">
        <f>$B$6*Data!F301/Data!F300</f>
        <v>2999.4832915162315</v>
      </c>
      <c r="L303" s="23">
        <f>$B$7*Data!I301/Data!I300</f>
        <v>1008.176558864842</v>
      </c>
      <c r="M303" s="23">
        <f>$B$8*Data!L301/Data!L300</f>
        <v>2012.5482919362223</v>
      </c>
      <c r="N303" s="23">
        <f t="shared" si="20"/>
        <v>10011.112894381795</v>
      </c>
      <c r="O303" s="23">
        <f t="shared" si="21"/>
        <v>11.112894381794831</v>
      </c>
      <c r="P303" s="23">
        <f t="shared" si="22"/>
        <v>-11.112894381794831</v>
      </c>
      <c r="W303" s="37"/>
    </row>
    <row r="304" spans="9:23" x14ac:dyDescent="0.3">
      <c r="I304">
        <v>300</v>
      </c>
      <c r="J304" s="23">
        <f>$B$5*Data!C302/Data!C301</f>
        <v>4006.3163689460266</v>
      </c>
      <c r="K304" s="23">
        <f>$B$6*Data!F302/Data!F301</f>
        <v>2983.9248160971183</v>
      </c>
      <c r="L304" s="23">
        <f>$B$7*Data!I302/Data!I301</f>
        <v>1005.6161426016143</v>
      </c>
      <c r="M304" s="23">
        <f>$B$8*Data!L302/Data!L301</f>
        <v>1986.7565473002205</v>
      </c>
      <c r="N304" s="23">
        <f t="shared" si="20"/>
        <v>9982.6138749449801</v>
      </c>
      <c r="O304" s="23">
        <f t="shared" si="21"/>
        <v>-17.386125055019875</v>
      </c>
      <c r="P304" s="23">
        <f t="shared" si="22"/>
        <v>17.386125055019875</v>
      </c>
      <c r="W304" s="37"/>
    </row>
    <row r="305" spans="9:23" x14ac:dyDescent="0.3">
      <c r="I305">
        <v>301</v>
      </c>
      <c r="J305" s="23">
        <f>$B$5*Data!C303/Data!C302</f>
        <v>4004.0480710638462</v>
      </c>
      <c r="K305" s="23">
        <f>$B$6*Data!F303/Data!F302</f>
        <v>2999.9980444050334</v>
      </c>
      <c r="L305" s="23">
        <f>$B$7*Data!I303/Data!I302</f>
        <v>1001.7735783977112</v>
      </c>
      <c r="M305" s="23">
        <f>$B$8*Data!L303/Data!L302</f>
        <v>1993.5038590514564</v>
      </c>
      <c r="N305" s="23">
        <f t="shared" si="20"/>
        <v>9999.3235529180474</v>
      </c>
      <c r="O305" s="23">
        <f t="shared" si="21"/>
        <v>-0.67644708195257408</v>
      </c>
      <c r="P305" s="23">
        <f t="shared" si="22"/>
        <v>0.67644708195257408</v>
      </c>
      <c r="W305" s="37"/>
    </row>
    <row r="306" spans="9:23" x14ac:dyDescent="0.3">
      <c r="I306">
        <v>302</v>
      </c>
      <c r="J306" s="23">
        <f>$B$5*Data!C304/Data!C303</f>
        <v>4035.3648232359965</v>
      </c>
      <c r="K306" s="23">
        <f>$B$6*Data!F304/Data!F303</f>
        <v>2984.2396728687522</v>
      </c>
      <c r="L306" s="23">
        <f>$B$7*Data!I304/Data!I303</f>
        <v>994.91437076018906</v>
      </c>
      <c r="M306" s="23">
        <f>$B$8*Data!L304/Data!L303</f>
        <v>2035.8909195000745</v>
      </c>
      <c r="N306" s="23">
        <f t="shared" si="20"/>
        <v>10050.409786365011</v>
      </c>
      <c r="O306" s="23">
        <f t="shared" si="21"/>
        <v>50.409786365011314</v>
      </c>
      <c r="P306" s="23">
        <f t="shared" si="22"/>
        <v>-50.409786365011314</v>
      </c>
      <c r="W306" s="37"/>
    </row>
    <row r="307" spans="9:23" x14ac:dyDescent="0.3">
      <c r="I307">
        <v>303</v>
      </c>
      <c r="J307" s="23">
        <f>$B$5*Data!C305/Data!C304</f>
        <v>3991.2329468121407</v>
      </c>
      <c r="K307" s="23">
        <f>$B$6*Data!F305/Data!F304</f>
        <v>2974.2302801502274</v>
      </c>
      <c r="L307" s="23">
        <f>$B$7*Data!I305/Data!I304</f>
        <v>1004.9017116110778</v>
      </c>
      <c r="M307" s="23">
        <f>$B$8*Data!L305/Data!L304</f>
        <v>2010.540712358194</v>
      </c>
      <c r="N307" s="23">
        <f t="shared" si="20"/>
        <v>9980.9056509316397</v>
      </c>
      <c r="O307" s="23">
        <f t="shared" si="21"/>
        <v>-19.094349068360316</v>
      </c>
      <c r="P307" s="23">
        <f t="shared" si="22"/>
        <v>19.094349068360316</v>
      </c>
      <c r="W307" s="37"/>
    </row>
    <row r="308" spans="9:23" x14ac:dyDescent="0.3">
      <c r="I308">
        <v>304</v>
      </c>
      <c r="J308" s="23">
        <f>$B$5*Data!C306/Data!C305</f>
        <v>3998.5241055598262</v>
      </c>
      <c r="K308" s="23">
        <f>$B$6*Data!F306/Data!F305</f>
        <v>3002.8025054420414</v>
      </c>
      <c r="L308" s="23">
        <f>$B$7*Data!I306/Data!I305</f>
        <v>999.4897919981014</v>
      </c>
      <c r="M308" s="23">
        <f>$B$8*Data!L306/Data!L305</f>
        <v>2012.893265956345</v>
      </c>
      <c r="N308" s="23">
        <f t="shared" si="20"/>
        <v>10013.709668956313</v>
      </c>
      <c r="O308" s="23">
        <f t="shared" si="21"/>
        <v>13.70966895631318</v>
      </c>
      <c r="P308" s="23">
        <f t="shared" si="22"/>
        <v>-13.70966895631318</v>
      </c>
      <c r="W308" s="37"/>
    </row>
    <row r="309" spans="9:23" x14ac:dyDescent="0.3">
      <c r="I309">
        <v>305</v>
      </c>
      <c r="J309" s="23">
        <f>$B$5*Data!C307/Data!C306</f>
        <v>4018.7411686476898</v>
      </c>
      <c r="K309" s="23">
        <f>$B$6*Data!F307/Data!F306</f>
        <v>3002.7998898731726</v>
      </c>
      <c r="L309" s="23">
        <f>$B$7*Data!I307/Data!I306</f>
        <v>1005.3497753953643</v>
      </c>
      <c r="M309" s="23">
        <f>$B$8*Data!L307/Data!L306</f>
        <v>1983.4957130806602</v>
      </c>
      <c r="N309" s="23">
        <f t="shared" si="20"/>
        <v>10010.386546996888</v>
      </c>
      <c r="O309" s="23">
        <f t="shared" si="21"/>
        <v>10.386546996887773</v>
      </c>
      <c r="P309" s="23">
        <f t="shared" si="22"/>
        <v>-10.386546996887773</v>
      </c>
      <c r="W309" s="37"/>
    </row>
    <row r="310" spans="9:23" x14ac:dyDescent="0.3">
      <c r="I310">
        <v>306</v>
      </c>
      <c r="J310" s="23">
        <f>$B$5*Data!C308/Data!C307</f>
        <v>4004.2860880381077</v>
      </c>
      <c r="K310" s="23">
        <f>$B$6*Data!F308/Data!F307</f>
        <v>3029.1640620903149</v>
      </c>
      <c r="L310" s="23">
        <f>$B$7*Data!I308/Data!I307</f>
        <v>1003.1016246067552</v>
      </c>
      <c r="M310" s="23">
        <f>$B$8*Data!L308/Data!L307</f>
        <v>2042.257040626557</v>
      </c>
      <c r="N310" s="23">
        <f t="shared" si="20"/>
        <v>10078.808815361735</v>
      </c>
      <c r="O310" s="23">
        <f t="shared" si="21"/>
        <v>78.808815361735469</v>
      </c>
      <c r="P310" s="23">
        <f t="shared" si="22"/>
        <v>-78.808815361735469</v>
      </c>
      <c r="W310" s="37"/>
    </row>
    <row r="311" spans="9:23" x14ac:dyDescent="0.3">
      <c r="I311">
        <v>307</v>
      </c>
      <c r="J311" s="23">
        <f>$B$5*Data!C309/Data!C308</f>
        <v>4003.8056682703318</v>
      </c>
      <c r="K311" s="23">
        <f>$B$6*Data!F309/Data!F308</f>
        <v>2980.5604255549561</v>
      </c>
      <c r="L311" s="23">
        <f>$B$7*Data!I309/Data!I308</f>
        <v>1000.4985085582575</v>
      </c>
      <c r="M311" s="23">
        <f>$B$8*Data!L309/Data!L308</f>
        <v>2004.5202643771242</v>
      </c>
      <c r="N311" s="23">
        <f t="shared" si="20"/>
        <v>9989.384866760669</v>
      </c>
      <c r="O311" s="23">
        <f t="shared" si="21"/>
        <v>-10.615133239331044</v>
      </c>
      <c r="P311" s="23">
        <f t="shared" si="22"/>
        <v>10.615133239331044</v>
      </c>
      <c r="W311" s="37"/>
    </row>
    <row r="312" spans="9:23" x14ac:dyDescent="0.3">
      <c r="I312">
        <v>308</v>
      </c>
      <c r="J312" s="23">
        <f>$B$5*Data!C310/Data!C309</f>
        <v>3969.9913472062799</v>
      </c>
      <c r="K312" s="23">
        <f>$B$6*Data!F310/Data!F309</f>
        <v>3012.3776597088613</v>
      </c>
      <c r="L312" s="23">
        <f>$B$7*Data!I310/Data!I309</f>
        <v>998.05401333543466</v>
      </c>
      <c r="M312" s="23">
        <f>$B$8*Data!L310/Data!L309</f>
        <v>1998.0449629258364</v>
      </c>
      <c r="N312" s="23">
        <f t="shared" si="20"/>
        <v>9978.4679831764115</v>
      </c>
      <c r="O312" s="23">
        <f t="shared" si="21"/>
        <v>-21.532016823588492</v>
      </c>
      <c r="P312" s="23">
        <f t="shared" si="22"/>
        <v>21.532016823588492</v>
      </c>
      <c r="W312" s="37"/>
    </row>
    <row r="313" spans="9:23" x14ac:dyDescent="0.3">
      <c r="I313">
        <v>309</v>
      </c>
      <c r="J313" s="23">
        <f>$B$5*Data!C311/Data!C310</f>
        <v>3991.5040581141488</v>
      </c>
      <c r="K313" s="23">
        <f>$B$6*Data!F311/Data!F310</f>
        <v>3012.3268007272941</v>
      </c>
      <c r="L313" s="23">
        <f>$B$7*Data!I311/Data!I310</f>
        <v>1007.5236116771204</v>
      </c>
      <c r="M313" s="23">
        <f>$B$8*Data!L311/Data!L310</f>
        <v>1969.418371447772</v>
      </c>
      <c r="N313" s="23">
        <f t="shared" si="20"/>
        <v>9980.7728419663345</v>
      </c>
      <c r="O313" s="23">
        <f t="shared" si="21"/>
        <v>-19.227158033665546</v>
      </c>
      <c r="P313" s="23">
        <f t="shared" si="22"/>
        <v>19.227158033665546</v>
      </c>
      <c r="W313" s="37"/>
    </row>
    <row r="314" spans="9:23" x14ac:dyDescent="0.3">
      <c r="I314">
        <v>310</v>
      </c>
      <c r="J314" s="23">
        <f>$B$5*Data!C312/Data!C311</f>
        <v>4038.5531174521302</v>
      </c>
      <c r="K314" s="23">
        <f>$B$6*Data!F312/Data!F311</f>
        <v>3013.7627172724042</v>
      </c>
      <c r="L314" s="23">
        <f>$B$7*Data!I312/Data!I311</f>
        <v>990.47849400929238</v>
      </c>
      <c r="M314" s="23">
        <f>$B$8*Data!L312/Data!L311</f>
        <v>2015.0061202254428</v>
      </c>
      <c r="N314" s="23">
        <f t="shared" si="20"/>
        <v>10057.800448959269</v>
      </c>
      <c r="O314" s="23">
        <f t="shared" si="21"/>
        <v>57.800448959269488</v>
      </c>
      <c r="P314" s="23">
        <f t="shared" si="22"/>
        <v>-57.800448959269488</v>
      </c>
      <c r="W314" s="37"/>
    </row>
    <row r="315" spans="9:23" x14ac:dyDescent="0.3">
      <c r="I315">
        <v>311</v>
      </c>
      <c r="J315" s="23">
        <f>$B$5*Data!C313/Data!C312</f>
        <v>3982.1160461177933</v>
      </c>
      <c r="K315" s="23">
        <f>$B$6*Data!F313/Data!F312</f>
        <v>2913.0632784513291</v>
      </c>
      <c r="L315" s="23">
        <f>$B$7*Data!I313/Data!I312</f>
        <v>982.61810909047051</v>
      </c>
      <c r="M315" s="23">
        <f>$B$8*Data!L313/Data!L312</f>
        <v>1973.8427547373938</v>
      </c>
      <c r="N315" s="23">
        <f t="shared" si="20"/>
        <v>9851.6401883969866</v>
      </c>
      <c r="O315" s="23">
        <f t="shared" si="21"/>
        <v>-148.35981160301344</v>
      </c>
      <c r="P315" s="23">
        <f t="shared" si="22"/>
        <v>148.35981160301344</v>
      </c>
      <c r="W315" s="37"/>
    </row>
    <row r="316" spans="9:23" x14ac:dyDescent="0.3">
      <c r="I316">
        <v>312</v>
      </c>
      <c r="J316" s="23">
        <f>$B$5*Data!C314/Data!C313</f>
        <v>3933.9533942664884</v>
      </c>
      <c r="K316" s="23">
        <f>$B$6*Data!F314/Data!F313</f>
        <v>3015.7343540314573</v>
      </c>
      <c r="L316" s="23">
        <f>$B$7*Data!I314/Data!I313</f>
        <v>1007.6603162648352</v>
      </c>
      <c r="M316" s="23">
        <f>$B$8*Data!L314/Data!L313</f>
        <v>1977.2096846702802</v>
      </c>
      <c r="N316" s="23">
        <f t="shared" si="20"/>
        <v>9934.5577492330613</v>
      </c>
      <c r="O316" s="23">
        <f t="shared" si="21"/>
        <v>-65.442250766938741</v>
      </c>
      <c r="P316" s="23">
        <f t="shared" si="22"/>
        <v>65.442250766938741</v>
      </c>
      <c r="W316" s="37"/>
    </row>
    <row r="317" spans="9:23" x14ac:dyDescent="0.3">
      <c r="I317">
        <v>313</v>
      </c>
      <c r="J317" s="23">
        <f>$B$5*Data!C315/Data!C314</f>
        <v>3993.5782986822919</v>
      </c>
      <c r="K317" s="23">
        <f>$B$6*Data!F315/Data!F314</f>
        <v>2963.2374001978792</v>
      </c>
      <c r="L317" s="23">
        <f>$B$7*Data!I315/Data!I314</f>
        <v>985.98531008106113</v>
      </c>
      <c r="M317" s="23">
        <f>$B$8*Data!L315/Data!L314</f>
        <v>1985.9856732762059</v>
      </c>
      <c r="N317" s="23">
        <f t="shared" si="20"/>
        <v>9928.7866822374381</v>
      </c>
      <c r="O317" s="23">
        <f t="shared" si="21"/>
        <v>-71.213317762561928</v>
      </c>
      <c r="P317" s="23">
        <f t="shared" si="22"/>
        <v>71.213317762561928</v>
      </c>
      <c r="W317" s="37"/>
    </row>
    <row r="318" spans="9:23" x14ac:dyDescent="0.3">
      <c r="I318">
        <v>314</v>
      </c>
      <c r="J318" s="23">
        <f>$B$5*Data!C316/Data!C315</f>
        <v>3987.914300469301</v>
      </c>
      <c r="K318" s="23">
        <f>$B$6*Data!F316/Data!F315</f>
        <v>2928.4083558395946</v>
      </c>
      <c r="L318" s="23">
        <f>$B$7*Data!I316/Data!I315</f>
        <v>1007.6234830230979</v>
      </c>
      <c r="M318" s="23">
        <f>$B$8*Data!L316/Data!L315</f>
        <v>1958.0418753173874</v>
      </c>
      <c r="N318" s="23">
        <f t="shared" si="20"/>
        <v>9881.9880146493815</v>
      </c>
      <c r="O318" s="23">
        <f t="shared" si="21"/>
        <v>-118.01198535061849</v>
      </c>
      <c r="P318" s="23">
        <f t="shared" si="22"/>
        <v>118.01198535061849</v>
      </c>
      <c r="W318" s="37"/>
    </row>
    <row r="319" spans="9:23" x14ac:dyDescent="0.3">
      <c r="I319">
        <v>315</v>
      </c>
      <c r="J319" s="23">
        <f>$B$5*Data!C317/Data!C316</f>
        <v>4014.8811881449797</v>
      </c>
      <c r="K319" s="23">
        <f>$B$6*Data!F317/Data!F316</f>
        <v>3025.3437879623552</v>
      </c>
      <c r="L319" s="23">
        <f>$B$7*Data!I317/Data!I316</f>
        <v>984.72304695879507</v>
      </c>
      <c r="M319" s="23">
        <f>$B$8*Data!L317/Data!L316</f>
        <v>1986.9516585308336</v>
      </c>
      <c r="N319" s="23">
        <f t="shared" si="20"/>
        <v>10011.899681596962</v>
      </c>
      <c r="O319" s="23">
        <f t="shared" si="21"/>
        <v>11.899681596962182</v>
      </c>
      <c r="P319" s="23">
        <f t="shared" si="22"/>
        <v>-11.899681596962182</v>
      </c>
      <c r="W319" s="37"/>
    </row>
    <row r="320" spans="9:23" x14ac:dyDescent="0.3">
      <c r="I320">
        <v>316</v>
      </c>
      <c r="J320" s="23">
        <f>$B$5*Data!C318/Data!C317</f>
        <v>3903.4777714100164</v>
      </c>
      <c r="K320" s="23">
        <f>$B$6*Data!F318/Data!F317</f>
        <v>2977.50172855866</v>
      </c>
      <c r="L320" s="23">
        <f>$B$7*Data!I318/Data!I317</f>
        <v>1007.7017848162739</v>
      </c>
      <c r="M320" s="23">
        <f>$B$8*Data!L318/Data!L317</f>
        <v>1980.0919008968704</v>
      </c>
      <c r="N320" s="23">
        <f t="shared" si="20"/>
        <v>9868.7731856818209</v>
      </c>
      <c r="O320" s="23">
        <f t="shared" si="21"/>
        <v>-131.22681431817909</v>
      </c>
      <c r="P320" s="23">
        <f t="shared" si="22"/>
        <v>131.22681431817909</v>
      </c>
      <c r="W320" s="37"/>
    </row>
    <row r="321" spans="9:23" x14ac:dyDescent="0.3">
      <c r="I321">
        <v>317</v>
      </c>
      <c r="J321" s="23">
        <f>$B$5*Data!C319/Data!C318</f>
        <v>4032.0637782858162</v>
      </c>
      <c r="K321" s="23">
        <f>$B$6*Data!F319/Data!F318</f>
        <v>2977.3317295917432</v>
      </c>
      <c r="L321" s="23">
        <f>$B$7*Data!I319/Data!I318</f>
        <v>1008.5518896912586</v>
      </c>
      <c r="M321" s="23">
        <f>$B$8*Data!L319/Data!L318</f>
        <v>1987.5805165486877</v>
      </c>
      <c r="N321" s="23">
        <f t="shared" si="20"/>
        <v>10005.527914117505</v>
      </c>
      <c r="O321" s="23">
        <f t="shared" si="21"/>
        <v>5.5279141175051336</v>
      </c>
      <c r="P321" s="23">
        <f t="shared" si="22"/>
        <v>-5.5279141175051336</v>
      </c>
      <c r="W321" s="37"/>
    </row>
    <row r="322" spans="9:23" x14ac:dyDescent="0.3">
      <c r="I322">
        <v>318</v>
      </c>
      <c r="J322" s="23">
        <f>$B$5*Data!C320/Data!C319</f>
        <v>4023.3559005420243</v>
      </c>
      <c r="K322" s="23">
        <f>$B$6*Data!F320/Data!F319</f>
        <v>3015.64874174541</v>
      </c>
      <c r="L322" s="23">
        <f>$B$7*Data!I320/Data!I319</f>
        <v>1014.5151698290254</v>
      </c>
      <c r="M322" s="23">
        <f>$B$8*Data!L320/Data!L319</f>
        <v>2013.3206443489853</v>
      </c>
      <c r="N322" s="23">
        <f t="shared" si="20"/>
        <v>10066.840456465445</v>
      </c>
      <c r="O322" s="23">
        <f t="shared" si="21"/>
        <v>66.840456465444731</v>
      </c>
      <c r="P322" s="23">
        <f t="shared" si="22"/>
        <v>-66.840456465444731</v>
      </c>
      <c r="W322" s="37"/>
    </row>
    <row r="323" spans="9:23" x14ac:dyDescent="0.3">
      <c r="I323">
        <v>319</v>
      </c>
      <c r="J323" s="23">
        <f>$B$5*Data!C321/Data!C320</f>
        <v>4035.5811478897158</v>
      </c>
      <c r="K323" s="23">
        <f>$B$6*Data!F321/Data!F320</f>
        <v>3000.6748848591592</v>
      </c>
      <c r="L323" s="23">
        <f>$B$7*Data!I321/Data!I320</f>
        <v>993.48542443948065</v>
      </c>
      <c r="M323" s="23">
        <f>$B$8*Data!L321/Data!L320</f>
        <v>1976.9870160521873</v>
      </c>
      <c r="N323" s="23">
        <f t="shared" si="20"/>
        <v>10006.728473240544</v>
      </c>
      <c r="O323" s="23">
        <f t="shared" si="21"/>
        <v>6.72847324054419</v>
      </c>
      <c r="P323" s="23">
        <f t="shared" si="22"/>
        <v>-6.72847324054419</v>
      </c>
      <c r="W323" s="37"/>
    </row>
    <row r="324" spans="9:23" x14ac:dyDescent="0.3">
      <c r="I324">
        <v>320</v>
      </c>
      <c r="J324" s="23">
        <f>$B$5*Data!C322/Data!C321</f>
        <v>3976.6506666809519</v>
      </c>
      <c r="K324" s="23">
        <f>$B$6*Data!F322/Data!F321</f>
        <v>2965.1343705219101</v>
      </c>
      <c r="L324" s="23">
        <f>$B$7*Data!I322/Data!I321</f>
        <v>984.5559635697889</v>
      </c>
      <c r="M324" s="23">
        <f>$B$8*Data!L322/Data!L321</f>
        <v>2019.5659852410229</v>
      </c>
      <c r="N324" s="23">
        <f t="shared" si="20"/>
        <v>9945.9069860136751</v>
      </c>
      <c r="O324" s="23">
        <f t="shared" si="21"/>
        <v>-54.093013986324877</v>
      </c>
      <c r="P324" s="23">
        <f t="shared" si="22"/>
        <v>54.093013986324877</v>
      </c>
      <c r="W324" s="37"/>
    </row>
    <row r="325" spans="9:23" x14ac:dyDescent="0.3">
      <c r="I325">
        <v>321</v>
      </c>
      <c r="J325" s="23">
        <f>$B$5*Data!C323/Data!C322</f>
        <v>3973.002488095221</v>
      </c>
      <c r="K325" s="23">
        <f>$B$6*Data!F323/Data!F322</f>
        <v>2982.9475835935991</v>
      </c>
      <c r="L325" s="23">
        <f>$B$7*Data!I323/Data!I322</f>
        <v>1007.4924606875453</v>
      </c>
      <c r="M325" s="23">
        <f>$B$8*Data!L323/Data!L322</f>
        <v>1983.2836192482991</v>
      </c>
      <c r="N325" s="23">
        <f t="shared" si="20"/>
        <v>9946.7261516246654</v>
      </c>
      <c r="O325" s="23">
        <f t="shared" si="21"/>
        <v>-53.273848375334637</v>
      </c>
      <c r="P325" s="23">
        <f t="shared" si="22"/>
        <v>53.273848375334637</v>
      </c>
      <c r="W325" s="37"/>
    </row>
    <row r="326" spans="9:23" x14ac:dyDescent="0.3">
      <c r="I326">
        <v>322</v>
      </c>
      <c r="J326" s="23">
        <f>$B$5*Data!C324/Data!C323</f>
        <v>4033.9833424334179</v>
      </c>
      <c r="K326" s="23">
        <f>$B$6*Data!F324/Data!F323</f>
        <v>2985.9251144018212</v>
      </c>
      <c r="L326" s="23">
        <f>$B$7*Data!I324/Data!I323</f>
        <v>1001.9013628980128</v>
      </c>
      <c r="M326" s="23">
        <f>$B$8*Data!L324/Data!L323</f>
        <v>1999.3672893407954</v>
      </c>
      <c r="N326" s="23">
        <f t="shared" ref="N326:N389" si="23">SUM(J326:M326)</f>
        <v>10021.177109074048</v>
      </c>
      <c r="O326" s="23">
        <f t="shared" ref="O326:O389" si="24">N326-$B$9</f>
        <v>21.177109074047621</v>
      </c>
      <c r="P326" s="23">
        <f t="shared" ref="P326:P389" si="25">-O326</f>
        <v>-21.177109074047621</v>
      </c>
      <c r="W326" s="37"/>
    </row>
    <row r="327" spans="9:23" x14ac:dyDescent="0.3">
      <c r="I327">
        <v>323</v>
      </c>
      <c r="J327" s="23">
        <f>$B$5*Data!C325/Data!C324</f>
        <v>3988.7024163194715</v>
      </c>
      <c r="K327" s="23">
        <f>$B$6*Data!F325/Data!F324</f>
        <v>3005.2824380076936</v>
      </c>
      <c r="L327" s="23">
        <f>$B$7*Data!I325/Data!I324</f>
        <v>984.42378088417672</v>
      </c>
      <c r="M327" s="23">
        <f>$B$8*Data!L325/Data!L324</f>
        <v>2001.5569333321723</v>
      </c>
      <c r="N327" s="23">
        <f t="shared" si="23"/>
        <v>9979.9655685435155</v>
      </c>
      <c r="O327" s="23">
        <f t="shared" si="24"/>
        <v>-20.034431456484526</v>
      </c>
      <c r="P327" s="23">
        <f t="shared" si="25"/>
        <v>20.034431456484526</v>
      </c>
      <c r="W327" s="37"/>
    </row>
    <row r="328" spans="9:23" x14ac:dyDescent="0.3">
      <c r="I328">
        <v>324</v>
      </c>
      <c r="J328" s="23">
        <f>$B$5*Data!C326/Data!C325</f>
        <v>3952.3433992420651</v>
      </c>
      <c r="K328" s="23">
        <f>$B$6*Data!F326/Data!F325</f>
        <v>2952.4857915670696</v>
      </c>
      <c r="L328" s="23">
        <f>$B$7*Data!I326/Data!I325</f>
        <v>1007.1523818541363</v>
      </c>
      <c r="M328" s="23">
        <f>$B$8*Data!L326/Data!L325</f>
        <v>1984.7693951887316</v>
      </c>
      <c r="N328" s="23">
        <f t="shared" si="23"/>
        <v>9896.7509678520018</v>
      </c>
      <c r="O328" s="23">
        <f t="shared" si="24"/>
        <v>-103.24903214799815</v>
      </c>
      <c r="P328" s="23">
        <f t="shared" si="25"/>
        <v>103.24903214799815</v>
      </c>
      <c r="W328" s="37"/>
    </row>
    <row r="329" spans="9:23" x14ac:dyDescent="0.3">
      <c r="I329">
        <v>325</v>
      </c>
      <c r="J329" s="23">
        <f>$B$5*Data!C327/Data!C326</f>
        <v>4005.4142369373767</v>
      </c>
      <c r="K329" s="23">
        <f>$B$6*Data!F327/Data!F326</f>
        <v>3009.549830832827</v>
      </c>
      <c r="L329" s="23">
        <f>$B$7*Data!I327/Data!I326</f>
        <v>1004.1997963689389</v>
      </c>
      <c r="M329" s="23">
        <f>$B$8*Data!L327/Data!L326</f>
        <v>2004.9276308652909</v>
      </c>
      <c r="N329" s="23">
        <f t="shared" si="23"/>
        <v>10024.091495004433</v>
      </c>
      <c r="O329" s="23">
        <f t="shared" si="24"/>
        <v>24.091495004433455</v>
      </c>
      <c r="P329" s="23">
        <f t="shared" si="25"/>
        <v>-24.091495004433455</v>
      </c>
      <c r="W329" s="37"/>
    </row>
    <row r="330" spans="9:23" x14ac:dyDescent="0.3">
      <c r="I330">
        <v>326</v>
      </c>
      <c r="J330" s="23">
        <f>$B$5*Data!C328/Data!C327</f>
        <v>3966.4972923351452</v>
      </c>
      <c r="K330" s="23">
        <f>$B$6*Data!F328/Data!F327</f>
        <v>2992.7791167758005</v>
      </c>
      <c r="L330" s="23">
        <f>$B$7*Data!I328/Data!I327</f>
        <v>993.40748884787172</v>
      </c>
      <c r="M330" s="23">
        <f>$B$8*Data!L328/Data!L327</f>
        <v>1988.403526712282</v>
      </c>
      <c r="N330" s="23">
        <f t="shared" si="23"/>
        <v>9941.0874246710991</v>
      </c>
      <c r="O330" s="23">
        <f t="shared" si="24"/>
        <v>-58.912575328900857</v>
      </c>
      <c r="P330" s="23">
        <f t="shared" si="25"/>
        <v>58.912575328900857</v>
      </c>
      <c r="W330" s="37"/>
    </row>
    <row r="331" spans="9:23" x14ac:dyDescent="0.3">
      <c r="I331">
        <v>327</v>
      </c>
      <c r="J331" s="23">
        <f>$B$5*Data!C329/Data!C328</f>
        <v>3972.352351043824</v>
      </c>
      <c r="K331" s="23">
        <f>$B$6*Data!F329/Data!F328</f>
        <v>3011.2929160949598</v>
      </c>
      <c r="L331" s="23">
        <f>$B$7*Data!I329/Data!I328</f>
        <v>981.70845679317927</v>
      </c>
      <c r="M331" s="23">
        <f>$B$8*Data!L329/Data!L328</f>
        <v>2003.1030296177455</v>
      </c>
      <c r="N331" s="23">
        <f t="shared" si="23"/>
        <v>9968.4567535497081</v>
      </c>
      <c r="O331" s="23">
        <f t="shared" si="24"/>
        <v>-31.543246450291917</v>
      </c>
      <c r="P331" s="23">
        <f t="shared" si="25"/>
        <v>31.543246450291917</v>
      </c>
      <c r="W331" s="37"/>
    </row>
    <row r="332" spans="9:23" x14ac:dyDescent="0.3">
      <c r="I332">
        <v>328</v>
      </c>
      <c r="J332" s="23">
        <f>$B$5*Data!C330/Data!C329</f>
        <v>4008.3938842811485</v>
      </c>
      <c r="K332" s="23">
        <f>$B$6*Data!F330/Data!F329</f>
        <v>2983.0125937236658</v>
      </c>
      <c r="L332" s="23">
        <f>$B$7*Data!I330/Data!I329</f>
        <v>1005.5195594008632</v>
      </c>
      <c r="M332" s="23">
        <f>$B$8*Data!L330/Data!L329</f>
        <v>1993.834016308994</v>
      </c>
      <c r="N332" s="23">
        <f t="shared" si="23"/>
        <v>9990.76005371467</v>
      </c>
      <c r="O332" s="23">
        <f t="shared" si="24"/>
        <v>-9.2399462853300065</v>
      </c>
      <c r="P332" s="23">
        <f t="shared" si="25"/>
        <v>9.2399462853300065</v>
      </c>
      <c r="W332" s="37"/>
    </row>
    <row r="333" spans="9:23" x14ac:dyDescent="0.3">
      <c r="I333">
        <v>329</v>
      </c>
      <c r="J333" s="23">
        <f>$B$5*Data!C331/Data!C330</f>
        <v>3947.2185099458629</v>
      </c>
      <c r="K333" s="23">
        <f>$B$6*Data!F331/Data!F330</f>
        <v>2986.6906269557203</v>
      </c>
      <c r="L333" s="23">
        <f>$B$7*Data!I331/Data!I330</f>
        <v>988.55043533456546</v>
      </c>
      <c r="M333" s="23">
        <f>$B$8*Data!L331/Data!L330</f>
        <v>2084.4922783639659</v>
      </c>
      <c r="N333" s="23">
        <f t="shared" si="23"/>
        <v>10006.951850600115</v>
      </c>
      <c r="O333" s="23">
        <f t="shared" si="24"/>
        <v>6.9518506001149944</v>
      </c>
      <c r="P333" s="23">
        <f t="shared" si="25"/>
        <v>-6.9518506001149944</v>
      </c>
      <c r="W333" s="37"/>
    </row>
    <row r="334" spans="9:23" x14ac:dyDescent="0.3">
      <c r="I334">
        <v>330</v>
      </c>
      <c r="J334" s="23">
        <f>$B$5*Data!C332/Data!C331</f>
        <v>3988.9390379034603</v>
      </c>
      <c r="K334" s="23">
        <f>$B$6*Data!F332/Data!F331</f>
        <v>2976.3460865516904</v>
      </c>
      <c r="L334" s="23">
        <f>$B$7*Data!I332/Data!I331</f>
        <v>1013.0966143329431</v>
      </c>
      <c r="M334" s="23">
        <f>$B$8*Data!L332/Data!L331</f>
        <v>1959.0757538878177</v>
      </c>
      <c r="N334" s="23">
        <f t="shared" si="23"/>
        <v>9937.4574926759124</v>
      </c>
      <c r="O334" s="23">
        <f t="shared" si="24"/>
        <v>-62.542507324087637</v>
      </c>
      <c r="P334" s="23">
        <f t="shared" si="25"/>
        <v>62.542507324087637</v>
      </c>
      <c r="W334" s="37"/>
    </row>
    <row r="335" spans="9:23" x14ac:dyDescent="0.3">
      <c r="I335">
        <v>331</v>
      </c>
      <c r="J335" s="23">
        <f>$B$5*Data!C333/Data!C332</f>
        <v>4085.7294832118437</v>
      </c>
      <c r="K335" s="23">
        <f>$B$6*Data!F333/Data!F332</f>
        <v>2999.1936606611184</v>
      </c>
      <c r="L335" s="23">
        <f>$B$7*Data!I333/Data!I332</f>
        <v>1015.2146935132827</v>
      </c>
      <c r="M335" s="23">
        <f>$B$8*Data!L333/Data!L332</f>
        <v>1963.1017989964676</v>
      </c>
      <c r="N335" s="23">
        <f t="shared" si="23"/>
        <v>10063.239636382712</v>
      </c>
      <c r="O335" s="23">
        <f t="shared" si="24"/>
        <v>63.239636382711979</v>
      </c>
      <c r="P335" s="23">
        <f t="shared" si="25"/>
        <v>-63.239636382711979</v>
      </c>
      <c r="W335" s="37"/>
    </row>
    <row r="336" spans="9:23" x14ac:dyDescent="0.3">
      <c r="I336">
        <v>332</v>
      </c>
      <c r="J336" s="23">
        <f>$B$5*Data!C334/Data!C333</f>
        <v>4032.647417960829</v>
      </c>
      <c r="K336" s="23">
        <f>$B$6*Data!F334/Data!F333</f>
        <v>2985.2375396753559</v>
      </c>
      <c r="L336" s="23">
        <f>$B$7*Data!I334/Data!I333</f>
        <v>997.9600211393755</v>
      </c>
      <c r="M336" s="23">
        <f>$B$8*Data!L334/Data!L333</f>
        <v>2002.8740674207775</v>
      </c>
      <c r="N336" s="23">
        <f t="shared" si="23"/>
        <v>10018.719046196336</v>
      </c>
      <c r="O336" s="23">
        <f t="shared" si="24"/>
        <v>18.719046196336421</v>
      </c>
      <c r="P336" s="23">
        <f t="shared" si="25"/>
        <v>-18.719046196336421</v>
      </c>
      <c r="W336" s="37"/>
    </row>
    <row r="337" spans="9:23" x14ac:dyDescent="0.3">
      <c r="I337">
        <v>333</v>
      </c>
      <c r="J337" s="23">
        <f>$B$5*Data!C335/Data!C334</f>
        <v>4024.5423471525401</v>
      </c>
      <c r="K337" s="23">
        <f>$B$6*Data!F335/Data!F334</f>
        <v>3015.0125917003556</v>
      </c>
      <c r="L337" s="23">
        <f>$B$7*Data!I335/Data!I334</f>
        <v>1001.8682642156982</v>
      </c>
      <c r="M337" s="23">
        <f>$B$8*Data!L335/Data!L334</f>
        <v>2037.1361015777532</v>
      </c>
      <c r="N337" s="23">
        <f t="shared" si="23"/>
        <v>10078.559304646347</v>
      </c>
      <c r="O337" s="23">
        <f t="shared" si="24"/>
        <v>78.5593046463473</v>
      </c>
      <c r="P337" s="23">
        <f t="shared" si="25"/>
        <v>-78.5593046463473</v>
      </c>
      <c r="W337" s="37"/>
    </row>
    <row r="338" spans="9:23" x14ac:dyDescent="0.3">
      <c r="I338">
        <v>334</v>
      </c>
      <c r="J338" s="23">
        <f>$B$5*Data!C336/Data!C335</f>
        <v>4041.9907903386006</v>
      </c>
      <c r="K338" s="23">
        <f>$B$6*Data!F336/Data!F335</f>
        <v>3007.7901509051803</v>
      </c>
      <c r="L338" s="23">
        <f>$B$7*Data!I336/Data!I335</f>
        <v>1013.3495204837408</v>
      </c>
      <c r="M338" s="23">
        <f>$B$8*Data!L336/Data!L335</f>
        <v>2008.2396242675434</v>
      </c>
      <c r="N338" s="23">
        <f t="shared" si="23"/>
        <v>10071.370085995066</v>
      </c>
      <c r="O338" s="23">
        <f t="shared" si="24"/>
        <v>71.370085995065892</v>
      </c>
      <c r="P338" s="23">
        <f t="shared" si="25"/>
        <v>-71.370085995065892</v>
      </c>
      <c r="W338" s="37"/>
    </row>
    <row r="339" spans="9:23" x14ac:dyDescent="0.3">
      <c r="I339">
        <v>335</v>
      </c>
      <c r="J339" s="23">
        <f>$B$5*Data!C337/Data!C336</f>
        <v>4018.6401770621173</v>
      </c>
      <c r="K339" s="23">
        <f>$B$6*Data!F337/Data!F336</f>
        <v>3068.2390107564993</v>
      </c>
      <c r="L339" s="23">
        <f>$B$7*Data!I337/Data!I336</f>
        <v>1007.2089468557393</v>
      </c>
      <c r="M339" s="23">
        <f>$B$8*Data!L337/Data!L336</f>
        <v>2052.0650535247573</v>
      </c>
      <c r="N339" s="23">
        <f t="shared" si="23"/>
        <v>10146.153188199114</v>
      </c>
      <c r="O339" s="23">
        <f t="shared" si="24"/>
        <v>146.15318819911408</v>
      </c>
      <c r="P339" s="23">
        <f t="shared" si="25"/>
        <v>-146.15318819911408</v>
      </c>
      <c r="W339" s="37"/>
    </row>
    <row r="340" spans="9:23" x14ac:dyDescent="0.3">
      <c r="I340">
        <v>336</v>
      </c>
      <c r="J340" s="23">
        <f>$B$5*Data!C338/Data!C337</f>
        <v>3998.6004801183376</v>
      </c>
      <c r="K340" s="23">
        <f>$B$6*Data!F338/Data!F337</f>
        <v>3022.9198264553697</v>
      </c>
      <c r="L340" s="23">
        <f>$B$7*Data!I338/Data!I337</f>
        <v>997.93224558380518</v>
      </c>
      <c r="M340" s="23">
        <f>$B$8*Data!L338/Data!L337</f>
        <v>2023.5342217510904</v>
      </c>
      <c r="N340" s="23">
        <f t="shared" si="23"/>
        <v>10042.986773908604</v>
      </c>
      <c r="O340" s="23">
        <f t="shared" si="24"/>
        <v>42.986773908603936</v>
      </c>
      <c r="P340" s="23">
        <f t="shared" si="25"/>
        <v>-42.986773908603936</v>
      </c>
      <c r="W340" s="37"/>
    </row>
    <row r="341" spans="9:23" x14ac:dyDescent="0.3">
      <c r="I341">
        <v>337</v>
      </c>
      <c r="J341" s="23">
        <f>$B$5*Data!C339/Data!C338</f>
        <v>3991.8496831860475</v>
      </c>
      <c r="K341" s="23">
        <f>$B$6*Data!F339/Data!F338</f>
        <v>2948.086686258167</v>
      </c>
      <c r="L341" s="23">
        <f>$B$7*Data!I339/Data!I338</f>
        <v>1000.9464723198303</v>
      </c>
      <c r="M341" s="23">
        <f>$B$8*Data!L339/Data!L338</f>
        <v>2001.1790785936525</v>
      </c>
      <c r="N341" s="23">
        <f t="shared" si="23"/>
        <v>9942.0619203576971</v>
      </c>
      <c r="O341" s="23">
        <f t="shared" si="24"/>
        <v>-57.93807964230291</v>
      </c>
      <c r="P341" s="23">
        <f t="shared" si="25"/>
        <v>57.93807964230291</v>
      </c>
      <c r="W341" s="37"/>
    </row>
    <row r="342" spans="9:23" x14ac:dyDescent="0.3">
      <c r="I342">
        <v>338</v>
      </c>
      <c r="J342" s="23">
        <f>$B$5*Data!C340/Data!C339</f>
        <v>4016.3895280841029</v>
      </c>
      <c r="K342" s="23">
        <f>$B$6*Data!F340/Data!F339</f>
        <v>2998.4894791363877</v>
      </c>
      <c r="L342" s="23">
        <f>$B$7*Data!I340/Data!I339</f>
        <v>993.23736750278078</v>
      </c>
      <c r="M342" s="23">
        <f>$B$8*Data!L340/Data!L339</f>
        <v>1994.084411183698</v>
      </c>
      <c r="N342" s="23">
        <f t="shared" si="23"/>
        <v>10002.200785906969</v>
      </c>
      <c r="O342" s="23">
        <f t="shared" si="24"/>
        <v>2.2007859069690312</v>
      </c>
      <c r="P342" s="23">
        <f t="shared" si="25"/>
        <v>-2.2007859069690312</v>
      </c>
      <c r="W342" s="37"/>
    </row>
    <row r="343" spans="9:23" x14ac:dyDescent="0.3">
      <c r="I343">
        <v>339</v>
      </c>
      <c r="J343" s="23">
        <f>$B$5*Data!C341/Data!C340</f>
        <v>3993.5539511523816</v>
      </c>
      <c r="K343" s="23">
        <f>$B$6*Data!F341/Data!F340</f>
        <v>2980.6158787245699</v>
      </c>
      <c r="L343" s="23">
        <f>$B$7*Data!I341/Data!I340</f>
        <v>992.92400767573429</v>
      </c>
      <c r="M343" s="23">
        <f>$B$8*Data!L341/Data!L340</f>
        <v>1995.4095265401177</v>
      </c>
      <c r="N343" s="23">
        <f t="shared" si="23"/>
        <v>9962.5033640928032</v>
      </c>
      <c r="O343" s="23">
        <f t="shared" si="24"/>
        <v>-37.496635907196833</v>
      </c>
      <c r="P343" s="23">
        <f t="shared" si="25"/>
        <v>37.496635907196833</v>
      </c>
      <c r="W343" s="37"/>
    </row>
    <row r="344" spans="9:23" x14ac:dyDescent="0.3">
      <c r="I344">
        <v>340</v>
      </c>
      <c r="J344" s="23">
        <f>$B$5*Data!C342/Data!C341</f>
        <v>4003.7269977881874</v>
      </c>
      <c r="K344" s="23">
        <f>$B$6*Data!F342/Data!F341</f>
        <v>3012.0372974648749</v>
      </c>
      <c r="L344" s="23">
        <f>$B$7*Data!I342/Data!I341</f>
        <v>1021.1679513031065</v>
      </c>
      <c r="M344" s="23">
        <f>$B$8*Data!L342/Data!L341</f>
        <v>2028.7742990063248</v>
      </c>
      <c r="N344" s="23">
        <f t="shared" si="23"/>
        <v>10065.706545562494</v>
      </c>
      <c r="O344" s="23">
        <f t="shared" si="24"/>
        <v>65.706545562494284</v>
      </c>
      <c r="P344" s="23">
        <f t="shared" si="25"/>
        <v>-65.706545562494284</v>
      </c>
      <c r="W344" s="37"/>
    </row>
    <row r="345" spans="9:23" x14ac:dyDescent="0.3">
      <c r="I345">
        <v>341</v>
      </c>
      <c r="J345" s="23">
        <f>$B$5*Data!C343/Data!C342</f>
        <v>4038.86959930782</v>
      </c>
      <c r="K345" s="23">
        <f>$B$6*Data!F343/Data!F342</f>
        <v>3029.9270331658308</v>
      </c>
      <c r="L345" s="23">
        <f>$B$7*Data!I343/Data!I342</f>
        <v>995.98149690312755</v>
      </c>
      <c r="M345" s="23">
        <f>$B$8*Data!L343/Data!L342</f>
        <v>1983.0429525814504</v>
      </c>
      <c r="N345" s="23">
        <f t="shared" si="23"/>
        <v>10047.821081958229</v>
      </c>
      <c r="O345" s="23">
        <f t="shared" si="24"/>
        <v>47.821081958229115</v>
      </c>
      <c r="P345" s="23">
        <f t="shared" si="25"/>
        <v>-47.821081958229115</v>
      </c>
      <c r="W345" s="37"/>
    </row>
    <row r="346" spans="9:23" x14ac:dyDescent="0.3">
      <c r="I346">
        <v>342</v>
      </c>
      <c r="J346" s="23">
        <f>$B$5*Data!C344/Data!C343</f>
        <v>4011.9406542712709</v>
      </c>
      <c r="K346" s="23">
        <f>$B$6*Data!F344/Data!F343</f>
        <v>3076.7348255208735</v>
      </c>
      <c r="L346" s="23">
        <f>$B$7*Data!I344/Data!I343</f>
        <v>1007.2149689264759</v>
      </c>
      <c r="M346" s="23">
        <f>$B$8*Data!L344/Data!L343</f>
        <v>1974.0174210810601</v>
      </c>
      <c r="N346" s="23">
        <f t="shared" si="23"/>
        <v>10069.907869799681</v>
      </c>
      <c r="O346" s="23">
        <f t="shared" si="24"/>
        <v>69.907869799681066</v>
      </c>
      <c r="P346" s="23">
        <f t="shared" si="25"/>
        <v>-69.907869799681066</v>
      </c>
      <c r="W346" s="37"/>
    </row>
    <row r="347" spans="9:23" x14ac:dyDescent="0.3">
      <c r="I347">
        <v>343</v>
      </c>
      <c r="J347" s="23">
        <f>$B$5*Data!C345/Data!C344</f>
        <v>4037.8887411677115</v>
      </c>
      <c r="K347" s="23">
        <f>$B$6*Data!F345/Data!F344</f>
        <v>3037.0492156213763</v>
      </c>
      <c r="L347" s="23">
        <f>$B$7*Data!I345/Data!I344</f>
        <v>1004.3503873819949</v>
      </c>
      <c r="M347" s="23">
        <f>$B$8*Data!L345/Data!L344</f>
        <v>2044.1567103030516</v>
      </c>
      <c r="N347" s="23">
        <f t="shared" si="23"/>
        <v>10123.445054474134</v>
      </c>
      <c r="O347" s="23">
        <f t="shared" si="24"/>
        <v>123.44505447413394</v>
      </c>
      <c r="P347" s="23">
        <f t="shared" si="25"/>
        <v>-123.44505447413394</v>
      </c>
      <c r="W347" s="37"/>
    </row>
    <row r="348" spans="9:23" x14ac:dyDescent="0.3">
      <c r="I348">
        <v>344</v>
      </c>
      <c r="J348" s="23">
        <f>$B$5*Data!C346/Data!C345</f>
        <v>3994.9631084285629</v>
      </c>
      <c r="K348" s="23">
        <f>$B$6*Data!F346/Data!F345</f>
        <v>2991.9386064407731</v>
      </c>
      <c r="L348" s="23">
        <f>$B$7*Data!I346/Data!I345</f>
        <v>1001.1335903461827</v>
      </c>
      <c r="M348" s="23">
        <f>$B$8*Data!L346/Data!L345</f>
        <v>2009.6461032151981</v>
      </c>
      <c r="N348" s="23">
        <f t="shared" si="23"/>
        <v>9997.6814084307171</v>
      </c>
      <c r="O348" s="23">
        <f t="shared" si="24"/>
        <v>-2.318591569282944</v>
      </c>
      <c r="P348" s="23">
        <f t="shared" si="25"/>
        <v>2.318591569282944</v>
      </c>
      <c r="W348" s="37"/>
    </row>
    <row r="349" spans="9:23" x14ac:dyDescent="0.3">
      <c r="I349">
        <v>345</v>
      </c>
      <c r="J349" s="23">
        <f>$B$5*Data!C347/Data!C346</f>
        <v>3993.0724523395756</v>
      </c>
      <c r="K349" s="23">
        <f>$B$6*Data!F347/Data!F346</f>
        <v>3004.1395091162035</v>
      </c>
      <c r="L349" s="23">
        <f>$B$7*Data!I347/Data!I346</f>
        <v>998.78348999805905</v>
      </c>
      <c r="M349" s="23">
        <f>$B$8*Data!L347/Data!L346</f>
        <v>1973.0350811030837</v>
      </c>
      <c r="N349" s="23">
        <f t="shared" si="23"/>
        <v>9969.0305325569225</v>
      </c>
      <c r="O349" s="23">
        <f t="shared" si="24"/>
        <v>-30.969467443077519</v>
      </c>
      <c r="P349" s="23">
        <f t="shared" si="25"/>
        <v>30.969467443077519</v>
      </c>
      <c r="W349" s="37"/>
    </row>
    <row r="350" spans="9:23" x14ac:dyDescent="0.3">
      <c r="I350">
        <v>346</v>
      </c>
      <c r="J350" s="23">
        <f>$B$5*Data!C348/Data!C347</f>
        <v>3962.0144104172978</v>
      </c>
      <c r="K350" s="23">
        <f>$B$6*Data!F348/Data!F347</f>
        <v>2965.5925860835405</v>
      </c>
      <c r="L350" s="23">
        <f>$B$7*Data!I348/Data!I347</f>
        <v>999.271469864138</v>
      </c>
      <c r="M350" s="23">
        <f>$B$8*Data!L348/Data!L347</f>
        <v>2021.9734317619514</v>
      </c>
      <c r="N350" s="23">
        <f t="shared" si="23"/>
        <v>9948.8518981269281</v>
      </c>
      <c r="O350" s="23">
        <f t="shared" si="24"/>
        <v>-51.148101873071937</v>
      </c>
      <c r="P350" s="23">
        <f t="shared" si="25"/>
        <v>51.148101873071937</v>
      </c>
      <c r="W350" s="37"/>
    </row>
    <row r="351" spans="9:23" x14ac:dyDescent="0.3">
      <c r="I351">
        <v>347</v>
      </c>
      <c r="J351" s="23">
        <f>$B$5*Data!C349/Data!C348</f>
        <v>3995.0642643133629</v>
      </c>
      <c r="K351" s="23">
        <f>$B$6*Data!F349/Data!F348</f>
        <v>3003.8316921463411</v>
      </c>
      <c r="L351" s="23">
        <f>$B$7*Data!I349/Data!I348</f>
        <v>1001.6589747828936</v>
      </c>
      <c r="M351" s="23">
        <f>$B$8*Data!L349/Data!L348</f>
        <v>1992.6508745823994</v>
      </c>
      <c r="N351" s="23">
        <f t="shared" si="23"/>
        <v>9993.2058058249968</v>
      </c>
      <c r="O351" s="23">
        <f t="shared" si="24"/>
        <v>-6.7941941750032129</v>
      </c>
      <c r="P351" s="23">
        <f t="shared" si="25"/>
        <v>6.7941941750032129</v>
      </c>
      <c r="W351" s="37"/>
    </row>
    <row r="352" spans="9:23" x14ac:dyDescent="0.3">
      <c r="I352">
        <v>348</v>
      </c>
      <c r="J352" s="23">
        <f>$B$5*Data!C350/Data!C349</f>
        <v>4015.29270279723</v>
      </c>
      <c r="K352" s="23">
        <f>$B$6*Data!F350/Data!F349</f>
        <v>3042.46046305348</v>
      </c>
      <c r="L352" s="23">
        <f>$B$7*Data!I350/Data!I349</f>
        <v>1010.2345105648862</v>
      </c>
      <c r="M352" s="23">
        <f>$B$8*Data!L350/Data!L349</f>
        <v>1980.0051537118247</v>
      </c>
      <c r="N352" s="23">
        <f t="shared" si="23"/>
        <v>10047.992830127421</v>
      </c>
      <c r="O352" s="23">
        <f t="shared" si="24"/>
        <v>47.992830127421257</v>
      </c>
      <c r="P352" s="23">
        <f t="shared" si="25"/>
        <v>-47.992830127421257</v>
      </c>
      <c r="W352" s="37"/>
    </row>
    <row r="353" spans="9:23" x14ac:dyDescent="0.3">
      <c r="I353">
        <v>349</v>
      </c>
      <c r="J353" s="23">
        <f>$B$5*Data!C351/Data!C350</f>
        <v>4023.0298106602313</v>
      </c>
      <c r="K353" s="23">
        <f>$B$6*Data!F351/Data!F350</f>
        <v>2991.740369847329</v>
      </c>
      <c r="L353" s="23">
        <f>$B$7*Data!I351/Data!I350</f>
        <v>1010.5084624792506</v>
      </c>
      <c r="M353" s="23">
        <f>$B$8*Data!L351/Data!L350</f>
        <v>2021.2115936345731</v>
      </c>
      <c r="N353" s="23">
        <f t="shared" si="23"/>
        <v>10046.490236621385</v>
      </c>
      <c r="O353" s="23">
        <f t="shared" si="24"/>
        <v>46.490236621384611</v>
      </c>
      <c r="P353" s="23">
        <f t="shared" si="25"/>
        <v>-46.490236621384611</v>
      </c>
      <c r="W353" s="37"/>
    </row>
    <row r="354" spans="9:23" x14ac:dyDescent="0.3">
      <c r="I354">
        <v>350</v>
      </c>
      <c r="J354" s="23">
        <f>$B$5*Data!C352/Data!C351</f>
        <v>4030.6892036376548</v>
      </c>
      <c r="K354" s="23">
        <f>$B$6*Data!F352/Data!F351</f>
        <v>3034.9941332666713</v>
      </c>
      <c r="L354" s="23">
        <f>$B$7*Data!I352/Data!I351</f>
        <v>992.86079900016841</v>
      </c>
      <c r="M354" s="23">
        <f>$B$8*Data!L352/Data!L351</f>
        <v>1997.5282274289386</v>
      </c>
      <c r="N354" s="23">
        <f t="shared" si="23"/>
        <v>10056.072363333433</v>
      </c>
      <c r="O354" s="23">
        <f t="shared" si="24"/>
        <v>56.072363333432804</v>
      </c>
      <c r="P354" s="23">
        <f t="shared" si="25"/>
        <v>-56.072363333432804</v>
      </c>
      <c r="W354" s="37"/>
    </row>
    <row r="355" spans="9:23" x14ac:dyDescent="0.3">
      <c r="I355">
        <v>351</v>
      </c>
      <c r="J355" s="23">
        <f>$B$5*Data!C353/Data!C352</f>
        <v>4011.7125040351189</v>
      </c>
      <c r="K355" s="23">
        <f>$B$6*Data!F353/Data!F352</f>
        <v>2997.878490846947</v>
      </c>
      <c r="L355" s="23">
        <f>$B$7*Data!I353/Data!I352</f>
        <v>1007.4140803207571</v>
      </c>
      <c r="M355" s="23">
        <f>$B$8*Data!L353/Data!L352</f>
        <v>2044.9811523728515</v>
      </c>
      <c r="N355" s="23">
        <f t="shared" si="23"/>
        <v>10061.986227575675</v>
      </c>
      <c r="O355" s="23">
        <f t="shared" si="24"/>
        <v>61.986227575675002</v>
      </c>
      <c r="P355" s="23">
        <f t="shared" si="25"/>
        <v>-61.986227575675002</v>
      </c>
      <c r="W355" s="37"/>
    </row>
    <row r="356" spans="9:23" x14ac:dyDescent="0.3">
      <c r="I356">
        <v>352</v>
      </c>
      <c r="J356" s="23">
        <f>$B$5*Data!C354/Data!C353</f>
        <v>4030.6895138910077</v>
      </c>
      <c r="K356" s="23">
        <f>$B$6*Data!F354/Data!F353</f>
        <v>2993.8273292681279</v>
      </c>
      <c r="L356" s="23">
        <f>$B$7*Data!I354/Data!I353</f>
        <v>1000.4619998708318</v>
      </c>
      <c r="M356" s="23">
        <f>$B$8*Data!L354/Data!L353</f>
        <v>1986.7701130347557</v>
      </c>
      <c r="N356" s="23">
        <f t="shared" si="23"/>
        <v>10011.748956064723</v>
      </c>
      <c r="O356" s="23">
        <f t="shared" si="24"/>
        <v>11.748956064722734</v>
      </c>
      <c r="P356" s="23">
        <f t="shared" si="25"/>
        <v>-11.748956064722734</v>
      </c>
      <c r="W356" s="37"/>
    </row>
    <row r="357" spans="9:23" x14ac:dyDescent="0.3">
      <c r="I357">
        <v>353</v>
      </c>
      <c r="J357" s="23">
        <f>$B$5*Data!C355/Data!C354</f>
        <v>3992.7763939392903</v>
      </c>
      <c r="K357" s="23">
        <f>$B$6*Data!F355/Data!F354</f>
        <v>2997.8184865338503</v>
      </c>
      <c r="L357" s="23">
        <f>$B$7*Data!I355/Data!I354</f>
        <v>995.22909268868864</v>
      </c>
      <c r="M357" s="23">
        <f>$B$8*Data!L355/Data!L354</f>
        <v>1989.6957194974198</v>
      </c>
      <c r="N357" s="23">
        <f t="shared" si="23"/>
        <v>9975.5196926592489</v>
      </c>
      <c r="O357" s="23">
        <f t="shared" si="24"/>
        <v>-24.480307340751096</v>
      </c>
      <c r="P357" s="23">
        <f t="shared" si="25"/>
        <v>24.480307340751096</v>
      </c>
      <c r="W357" s="37"/>
    </row>
    <row r="358" spans="9:23" x14ac:dyDescent="0.3">
      <c r="I358">
        <v>354</v>
      </c>
      <c r="J358" s="23">
        <f>$B$5*Data!C356/Data!C355</f>
        <v>3980.6582222163256</v>
      </c>
      <c r="K358" s="23">
        <f>$B$6*Data!F356/Data!F355</f>
        <v>2953.7991407283266</v>
      </c>
      <c r="L358" s="23">
        <f>$B$7*Data!I356/Data!I355</f>
        <v>992.25986257917418</v>
      </c>
      <c r="M358" s="23">
        <f>$B$8*Data!L356/Data!L355</f>
        <v>1990.9309848933269</v>
      </c>
      <c r="N358" s="23">
        <f t="shared" si="23"/>
        <v>9917.6482104171537</v>
      </c>
      <c r="O358" s="23">
        <f t="shared" si="24"/>
        <v>-82.351789582846322</v>
      </c>
      <c r="P358" s="23">
        <f t="shared" si="25"/>
        <v>82.351789582846322</v>
      </c>
      <c r="W358" s="37"/>
    </row>
    <row r="359" spans="9:23" x14ac:dyDescent="0.3">
      <c r="I359">
        <v>355</v>
      </c>
      <c r="J359" s="23">
        <f>$B$5*Data!C357/Data!C356</f>
        <v>4004.9462283446846</v>
      </c>
      <c r="K359" s="23">
        <f>$B$6*Data!F357/Data!F356</f>
        <v>2977.1905424463994</v>
      </c>
      <c r="L359" s="23">
        <f>$B$7*Data!I357/Data!I356</f>
        <v>991.03097253704527</v>
      </c>
      <c r="M359" s="23">
        <f>$B$8*Data!L357/Data!L356</f>
        <v>2005.3454210984055</v>
      </c>
      <c r="N359" s="23">
        <f t="shared" si="23"/>
        <v>9978.5131644265348</v>
      </c>
      <c r="O359" s="23">
        <f t="shared" si="24"/>
        <v>-21.486835573465214</v>
      </c>
      <c r="P359" s="23">
        <f t="shared" si="25"/>
        <v>21.486835573465214</v>
      </c>
      <c r="W359" s="37"/>
    </row>
    <row r="360" spans="9:23" x14ac:dyDescent="0.3">
      <c r="I360">
        <v>356</v>
      </c>
      <c r="J360" s="23">
        <f>$B$5*Data!C358/Data!C357</f>
        <v>4018.0427576950838</v>
      </c>
      <c r="K360" s="23">
        <f>$B$6*Data!F358/Data!F357</f>
        <v>3009.4333416309569</v>
      </c>
      <c r="L360" s="23">
        <f>$B$7*Data!I358/Data!I357</f>
        <v>994.56813973504632</v>
      </c>
      <c r="M360" s="23">
        <f>$B$8*Data!L358/Data!L357</f>
        <v>1990.621119144741</v>
      </c>
      <c r="N360" s="23">
        <f t="shared" si="23"/>
        <v>10012.665358205828</v>
      </c>
      <c r="O360" s="23">
        <f t="shared" si="24"/>
        <v>12.665358205827943</v>
      </c>
      <c r="P360" s="23">
        <f t="shared" si="25"/>
        <v>-12.665358205827943</v>
      </c>
      <c r="W360" s="37"/>
    </row>
    <row r="361" spans="9:23" x14ac:dyDescent="0.3">
      <c r="I361">
        <v>357</v>
      </c>
      <c r="J361" s="23">
        <f>$B$5*Data!C359/Data!C358</f>
        <v>4009.1409072886427</v>
      </c>
      <c r="K361" s="23">
        <f>$B$6*Data!F359/Data!F358</f>
        <v>3024.1567624821882</v>
      </c>
      <c r="L361" s="23">
        <f>$B$7*Data!I359/Data!I358</f>
        <v>1000.486404131418</v>
      </c>
      <c r="M361" s="23">
        <f>$B$8*Data!L359/Data!L358</f>
        <v>2004.3505652647646</v>
      </c>
      <c r="N361" s="23">
        <f t="shared" si="23"/>
        <v>10038.134639167012</v>
      </c>
      <c r="O361" s="23">
        <f t="shared" si="24"/>
        <v>38.13463916701221</v>
      </c>
      <c r="P361" s="23">
        <f t="shared" si="25"/>
        <v>-38.13463916701221</v>
      </c>
      <c r="W361" s="37"/>
    </row>
    <row r="362" spans="9:23" x14ac:dyDescent="0.3">
      <c r="I362">
        <v>358</v>
      </c>
      <c r="J362" s="23">
        <f>$B$5*Data!C360/Data!C359</f>
        <v>4018.4806989630692</v>
      </c>
      <c r="K362" s="23">
        <f>$B$6*Data!F360/Data!F359</f>
        <v>3004.2014602212539</v>
      </c>
      <c r="L362" s="23">
        <f>$B$7*Data!I360/Data!I359</f>
        <v>999.55286120226071</v>
      </c>
      <c r="M362" s="23">
        <f>$B$8*Data!L360/Data!L359</f>
        <v>1988.0046290216419</v>
      </c>
      <c r="N362" s="23">
        <f t="shared" si="23"/>
        <v>10010.239649408226</v>
      </c>
      <c r="O362" s="23">
        <f t="shared" si="24"/>
        <v>10.239649408225887</v>
      </c>
      <c r="P362" s="23">
        <f t="shared" si="25"/>
        <v>-10.239649408225887</v>
      </c>
      <c r="W362" s="37"/>
    </row>
    <row r="363" spans="9:23" x14ac:dyDescent="0.3">
      <c r="I363">
        <v>359</v>
      </c>
      <c r="J363" s="23">
        <f>$B$5*Data!C361/Data!C360</f>
        <v>4000.7034763720958</v>
      </c>
      <c r="K363" s="23">
        <f>$B$6*Data!F361/Data!F360</f>
        <v>3008.7731278211822</v>
      </c>
      <c r="L363" s="23">
        <f>$B$7*Data!I361/Data!I360</f>
        <v>1006.6239659753455</v>
      </c>
      <c r="M363" s="23">
        <f>$B$8*Data!L361/Data!L360</f>
        <v>2019.9441396817112</v>
      </c>
      <c r="N363" s="23">
        <f t="shared" si="23"/>
        <v>10036.044709850335</v>
      </c>
      <c r="O363" s="23">
        <f t="shared" si="24"/>
        <v>36.044709850335494</v>
      </c>
      <c r="P363" s="23">
        <f t="shared" si="25"/>
        <v>-36.044709850335494</v>
      </c>
      <c r="W363" s="37"/>
    </row>
    <row r="364" spans="9:23" x14ac:dyDescent="0.3">
      <c r="I364">
        <v>360</v>
      </c>
      <c r="J364" s="23">
        <f>$B$5*Data!C362/Data!C361</f>
        <v>3986.3848856010154</v>
      </c>
      <c r="K364" s="23">
        <f>$B$6*Data!F362/Data!F361</f>
        <v>3006.801458810457</v>
      </c>
      <c r="L364" s="23">
        <f>$B$7*Data!I362/Data!I361</f>
        <v>1002.3646700052117</v>
      </c>
      <c r="M364" s="23">
        <f>$B$8*Data!L362/Data!L361</f>
        <v>2014.2197106389381</v>
      </c>
      <c r="N364" s="23">
        <f t="shared" si="23"/>
        <v>10009.770725055621</v>
      </c>
      <c r="O364" s="23">
        <f t="shared" si="24"/>
        <v>9.7707250556213694</v>
      </c>
      <c r="P364" s="23">
        <f t="shared" si="25"/>
        <v>-9.7707250556213694</v>
      </c>
      <c r="W364" s="37"/>
    </row>
    <row r="365" spans="9:23" x14ac:dyDescent="0.3">
      <c r="I365">
        <v>361</v>
      </c>
      <c r="J365" s="23">
        <f>$B$5*Data!C363/Data!C362</f>
        <v>3973.875025971317</v>
      </c>
      <c r="K365" s="23">
        <f>$B$6*Data!F363/Data!F362</f>
        <v>2997.2275082834235</v>
      </c>
      <c r="L365" s="23">
        <f>$B$7*Data!I363/Data!I362</f>
        <v>987.91482004692455</v>
      </c>
      <c r="M365" s="23">
        <f>$B$8*Data!L363/Data!L362</f>
        <v>1965.3428914689191</v>
      </c>
      <c r="N365" s="23">
        <f t="shared" si="23"/>
        <v>9924.3602457705838</v>
      </c>
      <c r="O365" s="23">
        <f t="shared" si="24"/>
        <v>-75.639754229416212</v>
      </c>
      <c r="P365" s="23">
        <f t="shared" si="25"/>
        <v>75.639754229416212</v>
      </c>
      <c r="W365" s="37"/>
    </row>
    <row r="366" spans="9:23" x14ac:dyDescent="0.3">
      <c r="I366">
        <v>362</v>
      </c>
      <c r="J366" s="23">
        <f>$B$5*Data!C364/Data!C363</f>
        <v>4014.3279904026854</v>
      </c>
      <c r="K366" s="23">
        <f>$B$6*Data!F364/Data!F363</f>
        <v>2986.20197414011</v>
      </c>
      <c r="L366" s="23">
        <f>$B$7*Data!I364/Data!I363</f>
        <v>992.3324468729304</v>
      </c>
      <c r="M366" s="23">
        <f>$B$8*Data!L364/Data!L363</f>
        <v>2002.0135448551771</v>
      </c>
      <c r="N366" s="23">
        <f t="shared" si="23"/>
        <v>9994.875956270902</v>
      </c>
      <c r="O366" s="23">
        <f t="shared" si="24"/>
        <v>-5.1240437290980481</v>
      </c>
      <c r="P366" s="23">
        <f t="shared" si="25"/>
        <v>5.1240437290980481</v>
      </c>
      <c r="W366" s="37"/>
    </row>
    <row r="367" spans="9:23" x14ac:dyDescent="0.3">
      <c r="I367">
        <v>363</v>
      </c>
      <c r="J367" s="23">
        <f>$B$5*Data!C365/Data!C364</f>
        <v>3975.2930619054532</v>
      </c>
      <c r="K367" s="23">
        <f>$B$6*Data!F365/Data!F364</f>
        <v>3032.0157257168253</v>
      </c>
      <c r="L367" s="23">
        <f>$B$7*Data!I365/Data!I364</f>
        <v>1007.3711809509985</v>
      </c>
      <c r="M367" s="23">
        <f>$B$8*Data!L365/Data!L364</f>
        <v>1981.3990232299502</v>
      </c>
      <c r="N367" s="23">
        <f t="shared" si="23"/>
        <v>9996.0789918032278</v>
      </c>
      <c r="O367" s="23">
        <f t="shared" si="24"/>
        <v>-3.9210081967721635</v>
      </c>
      <c r="P367" s="23">
        <f t="shared" si="25"/>
        <v>3.9210081967721635</v>
      </c>
      <c r="W367" s="37"/>
    </row>
    <row r="368" spans="9:23" x14ac:dyDescent="0.3">
      <c r="I368">
        <v>364</v>
      </c>
      <c r="J368" s="23">
        <f>$B$5*Data!C366/Data!C365</f>
        <v>4011.3147798298464</v>
      </c>
      <c r="K368" s="23">
        <f>$B$6*Data!F366/Data!F365</f>
        <v>2958.8943015244818</v>
      </c>
      <c r="L368" s="23">
        <f>$B$7*Data!I366/Data!I365</f>
        <v>997.3238997638681</v>
      </c>
      <c r="M368" s="23">
        <f>$B$8*Data!L366/Data!L365</f>
        <v>2054.4486200655583</v>
      </c>
      <c r="N368" s="23">
        <f t="shared" si="23"/>
        <v>10021.981601183754</v>
      </c>
      <c r="O368" s="23">
        <f t="shared" si="24"/>
        <v>21.98160118375381</v>
      </c>
      <c r="P368" s="23">
        <f t="shared" si="25"/>
        <v>-21.98160118375381</v>
      </c>
      <c r="W368" s="37"/>
    </row>
    <row r="369" spans="9:23" x14ac:dyDescent="0.3">
      <c r="I369">
        <v>365</v>
      </c>
      <c r="J369" s="23">
        <f>$B$5*Data!C367/Data!C366</f>
        <v>4027.3899314933824</v>
      </c>
      <c r="K369" s="23">
        <f>$B$6*Data!F367/Data!F366</f>
        <v>3010.0687143029982</v>
      </c>
      <c r="L369" s="23">
        <f>$B$7*Data!I367/Data!I366</f>
        <v>1015.9301160448905</v>
      </c>
      <c r="M369" s="23">
        <f>$B$8*Data!L367/Data!L366</f>
        <v>2027.3324462650626</v>
      </c>
      <c r="N369" s="23">
        <f t="shared" si="23"/>
        <v>10080.721208106334</v>
      </c>
      <c r="O369" s="23">
        <f t="shared" si="24"/>
        <v>80.721208106333506</v>
      </c>
      <c r="P369" s="23">
        <f t="shared" si="25"/>
        <v>-80.721208106333506</v>
      </c>
      <c r="W369" s="37"/>
    </row>
    <row r="370" spans="9:23" x14ac:dyDescent="0.3">
      <c r="I370">
        <v>366</v>
      </c>
      <c r="J370" s="23">
        <f>$B$5*Data!C368/Data!C367</f>
        <v>4018.7525919552763</v>
      </c>
      <c r="K370" s="23">
        <f>$B$6*Data!F368/Data!F367</f>
        <v>3006.0659336579401</v>
      </c>
      <c r="L370" s="23">
        <f>$B$7*Data!I368/Data!I367</f>
        <v>996.93991516431379</v>
      </c>
      <c r="M370" s="23">
        <f>$B$8*Data!L368/Data!L367</f>
        <v>2032.9243331620607</v>
      </c>
      <c r="N370" s="23">
        <f t="shared" si="23"/>
        <v>10054.68277393959</v>
      </c>
      <c r="O370" s="23">
        <f t="shared" si="24"/>
        <v>54.682773939590334</v>
      </c>
      <c r="P370" s="23">
        <f t="shared" si="25"/>
        <v>-54.682773939590334</v>
      </c>
      <c r="W370" s="37"/>
    </row>
    <row r="371" spans="9:23" x14ac:dyDescent="0.3">
      <c r="I371">
        <v>367</v>
      </c>
      <c r="J371" s="23">
        <f>$B$5*Data!C369/Data!C368</f>
        <v>3978.9503945084475</v>
      </c>
      <c r="K371" s="23">
        <f>$B$6*Data!F369/Data!F368</f>
        <v>3007.3897372505508</v>
      </c>
      <c r="L371" s="23">
        <f>$B$7*Data!I369/Data!I368</f>
        <v>986.09770327769218</v>
      </c>
      <c r="M371" s="23">
        <f>$B$8*Data!L369/Data!L368</f>
        <v>2019.9262312014102</v>
      </c>
      <c r="N371" s="23">
        <f t="shared" si="23"/>
        <v>9992.3640662381003</v>
      </c>
      <c r="O371" s="23">
        <f t="shared" si="24"/>
        <v>-7.6359337618996506</v>
      </c>
      <c r="P371" s="23">
        <f t="shared" si="25"/>
        <v>7.6359337618996506</v>
      </c>
      <c r="W371" s="37"/>
    </row>
    <row r="372" spans="9:23" x14ac:dyDescent="0.3">
      <c r="I372">
        <v>368</v>
      </c>
      <c r="J372" s="23">
        <f>$B$5*Data!C370/Data!C369</f>
        <v>4029.5507636674329</v>
      </c>
      <c r="K372" s="23">
        <f>$B$6*Data!F370/Data!F369</f>
        <v>2979.3776513188309</v>
      </c>
      <c r="L372" s="23">
        <f>$B$7*Data!I370/Data!I369</f>
        <v>1005.7582690322722</v>
      </c>
      <c r="M372" s="23">
        <f>$B$8*Data!L370/Data!L369</f>
        <v>1981.7707213384492</v>
      </c>
      <c r="N372" s="23">
        <f t="shared" si="23"/>
        <v>9996.457405356985</v>
      </c>
      <c r="O372" s="23">
        <f t="shared" si="24"/>
        <v>-3.5425946430150361</v>
      </c>
      <c r="P372" s="23">
        <f t="shared" si="25"/>
        <v>3.5425946430150361</v>
      </c>
      <c r="W372" s="37"/>
    </row>
    <row r="373" spans="9:23" x14ac:dyDescent="0.3">
      <c r="I373">
        <v>369</v>
      </c>
      <c r="J373" s="23">
        <f>$B$5*Data!C371/Data!C370</f>
        <v>3993.535542520704</v>
      </c>
      <c r="K373" s="23">
        <f>$B$6*Data!F371/Data!F370</f>
        <v>2969.2232471035286</v>
      </c>
      <c r="L373" s="23">
        <f>$B$7*Data!I371/Data!I370</f>
        <v>997.65186159349901</v>
      </c>
      <c r="M373" s="23">
        <f>$B$8*Data!L371/Data!L370</f>
        <v>2007.7565306198371</v>
      </c>
      <c r="N373" s="23">
        <f t="shared" si="23"/>
        <v>9968.1671818375689</v>
      </c>
      <c r="O373" s="23">
        <f t="shared" si="24"/>
        <v>-31.832818162431067</v>
      </c>
      <c r="P373" s="23">
        <f t="shared" si="25"/>
        <v>31.832818162431067</v>
      </c>
      <c r="W373" s="37"/>
    </row>
    <row r="374" spans="9:23" x14ac:dyDescent="0.3">
      <c r="I374">
        <v>370</v>
      </c>
      <c r="J374" s="23">
        <f>$B$5*Data!C372/Data!C371</f>
        <v>3989.6853804244583</v>
      </c>
      <c r="K374" s="23">
        <f>$B$6*Data!F372/Data!F371</f>
        <v>3004.2790783786495</v>
      </c>
      <c r="L374" s="23">
        <f>$B$7*Data!I372/Data!I371</f>
        <v>980.08468591852966</v>
      </c>
      <c r="M374" s="23">
        <f>$B$8*Data!L372/Data!L371</f>
        <v>1998.3138705426541</v>
      </c>
      <c r="N374" s="23">
        <f t="shared" si="23"/>
        <v>9972.3630152642909</v>
      </c>
      <c r="O374" s="23">
        <f t="shared" si="24"/>
        <v>-27.63698473570912</v>
      </c>
      <c r="P374" s="23">
        <f t="shared" si="25"/>
        <v>27.63698473570912</v>
      </c>
      <c r="W374" s="37"/>
    </row>
    <row r="375" spans="9:23" x14ac:dyDescent="0.3">
      <c r="I375">
        <v>371</v>
      </c>
      <c r="J375" s="23">
        <f>$B$5*Data!C373/Data!C372</f>
        <v>3956.4578953262453</v>
      </c>
      <c r="K375" s="23">
        <f>$B$6*Data!F373/Data!F372</f>
        <v>2960.6967118469433</v>
      </c>
      <c r="L375" s="23">
        <f>$B$7*Data!I373/Data!I372</f>
        <v>1004.5215158812583</v>
      </c>
      <c r="M375" s="23">
        <f>$B$8*Data!L373/Data!L372</f>
        <v>2031.4418795479801</v>
      </c>
      <c r="N375" s="23">
        <f t="shared" si="23"/>
        <v>9953.1180026024267</v>
      </c>
      <c r="O375" s="23">
        <f t="shared" si="24"/>
        <v>-46.881997397573286</v>
      </c>
      <c r="P375" s="23">
        <f t="shared" si="25"/>
        <v>46.881997397573286</v>
      </c>
      <c r="W375" s="37"/>
    </row>
    <row r="376" spans="9:23" x14ac:dyDescent="0.3">
      <c r="I376">
        <v>372</v>
      </c>
      <c r="J376" s="23">
        <f>$B$5*Data!C374/Data!C373</f>
        <v>3964.0048248171588</v>
      </c>
      <c r="K376" s="23">
        <f>$B$6*Data!F374/Data!F373</f>
        <v>2977.0984927504924</v>
      </c>
      <c r="L376" s="23">
        <f>$B$7*Data!I374/Data!I373</f>
        <v>999.13278679413315</v>
      </c>
      <c r="M376" s="23">
        <f>$B$8*Data!L374/Data!L373</f>
        <v>1962.27210542543</v>
      </c>
      <c r="N376" s="23">
        <f t="shared" si="23"/>
        <v>9902.5082097872146</v>
      </c>
      <c r="O376" s="23">
        <f t="shared" si="24"/>
        <v>-97.491790212785418</v>
      </c>
      <c r="P376" s="23">
        <f t="shared" si="25"/>
        <v>97.491790212785418</v>
      </c>
      <c r="W376" s="37"/>
    </row>
    <row r="377" spans="9:23" x14ac:dyDescent="0.3">
      <c r="I377">
        <v>373</v>
      </c>
      <c r="J377" s="23">
        <f>$B$5*Data!C375/Data!C374</f>
        <v>3970.8690399784423</v>
      </c>
      <c r="K377" s="23">
        <f>$B$6*Data!F375/Data!F374</f>
        <v>2929.5734380769168</v>
      </c>
      <c r="L377" s="23">
        <f>$B$7*Data!I375/Data!I374</f>
        <v>968.23060597156893</v>
      </c>
      <c r="M377" s="23">
        <f>$B$8*Data!L375/Data!L374</f>
        <v>2011.1919861325712</v>
      </c>
      <c r="N377" s="23">
        <f t="shared" si="23"/>
        <v>9879.8650701594997</v>
      </c>
      <c r="O377" s="23">
        <f t="shared" si="24"/>
        <v>-120.13492984050026</v>
      </c>
      <c r="P377" s="23">
        <f t="shared" si="25"/>
        <v>120.13492984050026</v>
      </c>
      <c r="W377" s="37"/>
    </row>
    <row r="378" spans="9:23" x14ac:dyDescent="0.3">
      <c r="I378">
        <v>374</v>
      </c>
      <c r="J378" s="23">
        <f>$B$5*Data!C376/Data!C375</f>
        <v>3880.8887194408194</v>
      </c>
      <c r="K378" s="23">
        <f>$B$6*Data!F376/Data!F375</f>
        <v>2914.4910582827811</v>
      </c>
      <c r="L378" s="23">
        <f>$B$7*Data!I376/Data!I375</f>
        <v>984.55083698183091</v>
      </c>
      <c r="M378" s="23">
        <f>$B$8*Data!L376/Data!L375</f>
        <v>1993.0930595174211</v>
      </c>
      <c r="N378" s="23">
        <f t="shared" si="23"/>
        <v>9773.0236742228517</v>
      </c>
      <c r="O378" s="23">
        <f t="shared" si="24"/>
        <v>-226.9763257771483</v>
      </c>
      <c r="P378" s="23">
        <f t="shared" si="25"/>
        <v>226.9763257771483</v>
      </c>
      <c r="W378" s="37"/>
    </row>
    <row r="379" spans="9:23" x14ac:dyDescent="0.3">
      <c r="I379">
        <v>375</v>
      </c>
      <c r="J379" s="23">
        <f>$B$5*Data!C377/Data!C376</f>
        <v>4052.0680696726872</v>
      </c>
      <c r="K379" s="23">
        <f>$B$6*Data!F377/Data!F376</f>
        <v>2979.9153453548997</v>
      </c>
      <c r="L379" s="23">
        <f>$B$7*Data!I377/Data!I376</f>
        <v>1000.181740307531</v>
      </c>
      <c r="M379" s="23">
        <f>$B$8*Data!L377/Data!L376</f>
        <v>1972.6564417558761</v>
      </c>
      <c r="N379" s="23">
        <f t="shared" si="23"/>
        <v>10004.821597090995</v>
      </c>
      <c r="O379" s="23">
        <f t="shared" si="24"/>
        <v>4.8215970909950556</v>
      </c>
      <c r="P379" s="23">
        <f t="shared" si="25"/>
        <v>-4.8215970909950556</v>
      </c>
      <c r="W379" s="37"/>
    </row>
    <row r="380" spans="9:23" x14ac:dyDescent="0.3">
      <c r="I380">
        <v>376</v>
      </c>
      <c r="J380" s="23">
        <f>$B$5*Data!C378/Data!C377</f>
        <v>4003.0675036309804</v>
      </c>
      <c r="K380" s="23">
        <f>$B$6*Data!F378/Data!F377</f>
        <v>3002.4009320994182</v>
      </c>
      <c r="L380" s="23">
        <f>$B$7*Data!I378/Data!I377</f>
        <v>1006.7452939615944</v>
      </c>
      <c r="M380" s="23">
        <f>$B$8*Data!L378/Data!L377</f>
        <v>2054.6321404884484</v>
      </c>
      <c r="N380" s="23">
        <f t="shared" si="23"/>
        <v>10066.845870180441</v>
      </c>
      <c r="O380" s="23">
        <f t="shared" si="24"/>
        <v>66.845870180441125</v>
      </c>
      <c r="P380" s="23">
        <f t="shared" si="25"/>
        <v>-66.845870180441125</v>
      </c>
      <c r="W380" s="37"/>
    </row>
    <row r="381" spans="9:23" x14ac:dyDescent="0.3">
      <c r="I381">
        <v>377</v>
      </c>
      <c r="J381" s="23">
        <f>$B$5*Data!C379/Data!C378</f>
        <v>4075.049214453978</v>
      </c>
      <c r="K381" s="23">
        <f>$B$6*Data!F379/Data!F378</f>
        <v>3014.2793508350142</v>
      </c>
      <c r="L381" s="23">
        <f>$B$7*Data!I379/Data!I378</f>
        <v>1018.1226191933447</v>
      </c>
      <c r="M381" s="23">
        <f>$B$8*Data!L379/Data!L378</f>
        <v>1966.3343616268614</v>
      </c>
      <c r="N381" s="23">
        <f t="shared" si="23"/>
        <v>10073.785546109199</v>
      </c>
      <c r="O381" s="23">
        <f t="shared" si="24"/>
        <v>73.785546109198549</v>
      </c>
      <c r="P381" s="23">
        <f t="shared" si="25"/>
        <v>-73.785546109198549</v>
      </c>
      <c r="W381" s="37"/>
    </row>
    <row r="382" spans="9:23" x14ac:dyDescent="0.3">
      <c r="I382">
        <v>378</v>
      </c>
      <c r="J382" s="23">
        <f>$B$5*Data!C380/Data!C379</f>
        <v>3973.5335739643942</v>
      </c>
      <c r="K382" s="23">
        <f>$B$6*Data!F380/Data!F379</f>
        <v>2979.1581082879698</v>
      </c>
      <c r="L382" s="23">
        <f>$B$7*Data!I380/Data!I379</f>
        <v>984.91124803134403</v>
      </c>
      <c r="M382" s="23">
        <f>$B$8*Data!L380/Data!L379</f>
        <v>1985.0566912094894</v>
      </c>
      <c r="N382" s="23">
        <f t="shared" si="23"/>
        <v>9922.6596214931978</v>
      </c>
      <c r="O382" s="23">
        <f t="shared" si="24"/>
        <v>-77.340378506802153</v>
      </c>
      <c r="P382" s="23">
        <f t="shared" si="25"/>
        <v>77.340378506802153</v>
      </c>
      <c r="W382" s="37"/>
    </row>
    <row r="383" spans="9:23" x14ac:dyDescent="0.3">
      <c r="I383">
        <v>379</v>
      </c>
      <c r="J383" s="23">
        <f>$B$5*Data!C381/Data!C380</f>
        <v>3950.7307115178623</v>
      </c>
      <c r="K383" s="23">
        <f>$B$6*Data!F381/Data!F380</f>
        <v>2986.7482845084319</v>
      </c>
      <c r="L383" s="23">
        <f>$B$7*Data!I381/Data!I380</f>
        <v>1000.5786221511252</v>
      </c>
      <c r="M383" s="23">
        <f>$B$8*Data!L381/Data!L380</f>
        <v>1994.2303915949117</v>
      </c>
      <c r="N383" s="23">
        <f t="shared" si="23"/>
        <v>9932.2880097723319</v>
      </c>
      <c r="O383" s="23">
        <f t="shared" si="24"/>
        <v>-67.711990227668139</v>
      </c>
      <c r="P383" s="23">
        <f t="shared" si="25"/>
        <v>67.711990227668139</v>
      </c>
      <c r="W383" s="37"/>
    </row>
    <row r="384" spans="9:23" x14ac:dyDescent="0.3">
      <c r="I384">
        <v>380</v>
      </c>
      <c r="J384" s="23">
        <f>$B$5*Data!C382/Data!C381</f>
        <v>4060.5267530321612</v>
      </c>
      <c r="K384" s="23">
        <f>$B$6*Data!F382/Data!F381</f>
        <v>2936.8721240105956</v>
      </c>
      <c r="L384" s="23">
        <f>$B$7*Data!I382/Data!I381</f>
        <v>1006.7501978316635</v>
      </c>
      <c r="M384" s="23">
        <f>$B$8*Data!L382/Data!L381</f>
        <v>1996.7755382983944</v>
      </c>
      <c r="N384" s="23">
        <f t="shared" si="23"/>
        <v>10000.924613172814</v>
      </c>
      <c r="O384" s="23">
        <f t="shared" si="24"/>
        <v>0.92461317281413358</v>
      </c>
      <c r="P384" s="23">
        <f t="shared" si="25"/>
        <v>-0.92461317281413358</v>
      </c>
      <c r="W384" s="37"/>
    </row>
    <row r="385" spans="9:23" x14ac:dyDescent="0.3">
      <c r="I385">
        <v>381</v>
      </c>
      <c r="J385" s="23">
        <f>$B$5*Data!C383/Data!C382</f>
        <v>3882.8289892997445</v>
      </c>
      <c r="K385" s="23">
        <f>$B$6*Data!F383/Data!F382</f>
        <v>3002.4894109897737</v>
      </c>
      <c r="L385" s="23">
        <f>$B$7*Data!I383/Data!I382</f>
        <v>974.59849253865855</v>
      </c>
      <c r="M385" s="23">
        <f>$B$8*Data!L383/Data!L382</f>
        <v>2004.3598970473161</v>
      </c>
      <c r="N385" s="23">
        <f t="shared" si="23"/>
        <v>9864.2767898754919</v>
      </c>
      <c r="O385" s="23">
        <f t="shared" si="24"/>
        <v>-135.72321012450811</v>
      </c>
      <c r="P385" s="23">
        <f t="shared" si="25"/>
        <v>135.72321012450811</v>
      </c>
      <c r="W385" s="37"/>
    </row>
    <row r="386" spans="9:23" x14ac:dyDescent="0.3">
      <c r="I386">
        <v>382</v>
      </c>
      <c r="J386" s="23">
        <f>$B$5*Data!C384/Data!C383</f>
        <v>4009.8570721094156</v>
      </c>
      <c r="K386" s="23">
        <f>$B$6*Data!F384/Data!F383</f>
        <v>3022.9048504364869</v>
      </c>
      <c r="L386" s="23">
        <f>$B$7*Data!I384/Data!I383</f>
        <v>989.7510850110815</v>
      </c>
      <c r="M386" s="23">
        <f>$B$8*Data!L384/Data!L383</f>
        <v>1979.01347080752</v>
      </c>
      <c r="N386" s="23">
        <f t="shared" si="23"/>
        <v>10001.526478364503</v>
      </c>
      <c r="O386" s="23">
        <f t="shared" si="24"/>
        <v>1.5264783645034186</v>
      </c>
      <c r="P386" s="23">
        <f t="shared" si="25"/>
        <v>-1.5264783645034186</v>
      </c>
      <c r="W386" s="37"/>
    </row>
    <row r="387" spans="9:23" x14ac:dyDescent="0.3">
      <c r="I387">
        <v>383</v>
      </c>
      <c r="J387" s="23">
        <f>$B$5*Data!C385/Data!C384</f>
        <v>4057.7044986462142</v>
      </c>
      <c r="K387" s="23">
        <f>$B$6*Data!F385/Data!F384</f>
        <v>3028.0943849864825</v>
      </c>
      <c r="L387" s="23">
        <f>$B$7*Data!I385/Data!I384</f>
        <v>1010.0558621018552</v>
      </c>
      <c r="M387" s="23">
        <f>$B$8*Data!L385/Data!L384</f>
        <v>2005.3117388638634</v>
      </c>
      <c r="N387" s="23">
        <f t="shared" si="23"/>
        <v>10101.166484598416</v>
      </c>
      <c r="O387" s="23">
        <f t="shared" si="24"/>
        <v>101.16648459841599</v>
      </c>
      <c r="P387" s="23">
        <f t="shared" si="25"/>
        <v>-101.16648459841599</v>
      </c>
      <c r="W387" s="37"/>
    </row>
    <row r="388" spans="9:23" x14ac:dyDescent="0.3">
      <c r="I388">
        <v>384</v>
      </c>
      <c r="J388" s="23">
        <f>$B$5*Data!C386/Data!C385</f>
        <v>4048.4234609900705</v>
      </c>
      <c r="K388" s="23">
        <f>$B$6*Data!F386/Data!F385</f>
        <v>3065.0051712195423</v>
      </c>
      <c r="L388" s="23">
        <f>$B$7*Data!I386/Data!I385</f>
        <v>1013.0176059141115</v>
      </c>
      <c r="M388" s="23">
        <f>$B$8*Data!L386/Data!L385</f>
        <v>1967.8686614364021</v>
      </c>
      <c r="N388" s="23">
        <f t="shared" si="23"/>
        <v>10094.314899560126</v>
      </c>
      <c r="O388" s="23">
        <f t="shared" si="24"/>
        <v>94.314899560125923</v>
      </c>
      <c r="P388" s="23">
        <f t="shared" si="25"/>
        <v>-94.314899560125923</v>
      </c>
      <c r="W388" s="37"/>
    </row>
    <row r="389" spans="9:23" x14ac:dyDescent="0.3">
      <c r="I389">
        <v>385</v>
      </c>
      <c r="J389" s="23">
        <f>$B$5*Data!C387/Data!C386</f>
        <v>3968.3410903827153</v>
      </c>
      <c r="K389" s="23">
        <f>$B$6*Data!F387/Data!F386</f>
        <v>2993.1194490734247</v>
      </c>
      <c r="L389" s="23">
        <f>$B$7*Data!I387/Data!I386</f>
        <v>992.81835010272766</v>
      </c>
      <c r="M389" s="23">
        <f>$B$8*Data!L387/Data!L386</f>
        <v>1994.8388560049125</v>
      </c>
      <c r="N389" s="23">
        <f t="shared" si="23"/>
        <v>9949.1177455637808</v>
      </c>
      <c r="O389" s="23">
        <f t="shared" si="24"/>
        <v>-50.882254436219228</v>
      </c>
      <c r="P389" s="23">
        <f t="shared" si="25"/>
        <v>50.882254436219228</v>
      </c>
      <c r="W389" s="37"/>
    </row>
    <row r="390" spans="9:23" x14ac:dyDescent="0.3">
      <c r="I390">
        <v>386</v>
      </c>
      <c r="J390" s="23">
        <f>$B$5*Data!C388/Data!C387</f>
        <v>4032.9871945520367</v>
      </c>
      <c r="K390" s="23">
        <f>$B$6*Data!F388/Data!F387</f>
        <v>3004.4030965824231</v>
      </c>
      <c r="L390" s="23">
        <f>$B$7*Data!I388/Data!I387</f>
        <v>1014.3889728340952</v>
      </c>
      <c r="M390" s="23">
        <f>$B$8*Data!L388/Data!L387</f>
        <v>2002.5173076996468</v>
      </c>
      <c r="N390" s="23">
        <f t="shared" ref="N390:N453" si="26">SUM(J390:M390)</f>
        <v>10054.296571668201</v>
      </c>
      <c r="O390" s="23">
        <f t="shared" ref="O390:O453" si="27">N390-$B$9</f>
        <v>54.296571668201068</v>
      </c>
      <c r="P390" s="23">
        <f t="shared" ref="P390:P453" si="28">-O390</f>
        <v>-54.296571668201068</v>
      </c>
      <c r="W390" s="37"/>
    </row>
    <row r="391" spans="9:23" x14ac:dyDescent="0.3">
      <c r="I391">
        <v>387</v>
      </c>
      <c r="J391" s="23">
        <f>$B$5*Data!C389/Data!C388</f>
        <v>3997.9756998329067</v>
      </c>
      <c r="K391" s="23">
        <f>$B$6*Data!F389/Data!F388</f>
        <v>2974.7257673120421</v>
      </c>
      <c r="L391" s="23">
        <f>$B$7*Data!I389/Data!I388</f>
        <v>994.46417674297527</v>
      </c>
      <c r="M391" s="23">
        <f>$B$8*Data!L389/Data!L388</f>
        <v>2014.705534167924</v>
      </c>
      <c r="N391" s="23">
        <f t="shared" si="26"/>
        <v>9981.8711780558478</v>
      </c>
      <c r="O391" s="23">
        <f t="shared" si="27"/>
        <v>-18.128821944152151</v>
      </c>
      <c r="P391" s="23">
        <f t="shared" si="28"/>
        <v>18.128821944152151</v>
      </c>
      <c r="W391" s="37"/>
    </row>
    <row r="392" spans="9:23" x14ac:dyDescent="0.3">
      <c r="I392">
        <v>388</v>
      </c>
      <c r="J392" s="23">
        <f>$B$5*Data!C390/Data!C389</f>
        <v>3896.2146526333045</v>
      </c>
      <c r="K392" s="23">
        <f>$B$6*Data!F390/Data!F389</f>
        <v>3015.042125464337</v>
      </c>
      <c r="L392" s="23">
        <f>$B$7*Data!I390/Data!I389</f>
        <v>987.83846027647019</v>
      </c>
      <c r="M392" s="23">
        <f>$B$8*Data!L390/Data!L389</f>
        <v>1989.2361688545791</v>
      </c>
      <c r="N392" s="23">
        <f t="shared" si="26"/>
        <v>9888.3314072286903</v>
      </c>
      <c r="O392" s="23">
        <f t="shared" si="27"/>
        <v>-111.6685927713097</v>
      </c>
      <c r="P392" s="23">
        <f t="shared" si="28"/>
        <v>111.6685927713097</v>
      </c>
      <c r="W392" s="37"/>
    </row>
    <row r="393" spans="9:23" x14ac:dyDescent="0.3">
      <c r="I393">
        <v>389</v>
      </c>
      <c r="J393" s="23">
        <f>$B$5*Data!C391/Data!C390</f>
        <v>4043.9319518035063</v>
      </c>
      <c r="K393" s="23">
        <f>$B$6*Data!F391/Data!F390</f>
        <v>2942.8174825123574</v>
      </c>
      <c r="L393" s="23">
        <f>$B$7*Data!I391/Data!I390</f>
        <v>1009.9883427846987</v>
      </c>
      <c r="M393" s="23">
        <f>$B$8*Data!L391/Data!L390</f>
        <v>1955.6034171996519</v>
      </c>
      <c r="N393" s="23">
        <f t="shared" si="26"/>
        <v>9952.3411943002138</v>
      </c>
      <c r="O393" s="23">
        <f t="shared" si="27"/>
        <v>-47.658805699786171</v>
      </c>
      <c r="P393" s="23">
        <f t="shared" si="28"/>
        <v>47.658805699786171</v>
      </c>
      <c r="W393" s="37"/>
    </row>
    <row r="394" spans="9:23" x14ac:dyDescent="0.3">
      <c r="I394">
        <v>390</v>
      </c>
      <c r="J394" s="23">
        <f>$B$5*Data!C392/Data!C391</f>
        <v>3987.1872770450432</v>
      </c>
      <c r="K394" s="23">
        <f>$B$6*Data!F392/Data!F391</f>
        <v>2998.1005191579766</v>
      </c>
      <c r="L394" s="23">
        <f>$B$7*Data!I392/Data!I391</f>
        <v>1001.9310607947618</v>
      </c>
      <c r="M394" s="23">
        <f>$B$8*Data!L392/Data!L391</f>
        <v>2024.977551357262</v>
      </c>
      <c r="N394" s="23">
        <f t="shared" si="26"/>
        <v>10012.196408355043</v>
      </c>
      <c r="O394" s="23">
        <f t="shared" si="27"/>
        <v>12.196408355042877</v>
      </c>
      <c r="P394" s="23">
        <f t="shared" si="28"/>
        <v>-12.196408355042877</v>
      </c>
      <c r="W394" s="37"/>
    </row>
    <row r="395" spans="9:23" x14ac:dyDescent="0.3">
      <c r="I395">
        <v>391</v>
      </c>
      <c r="J395" s="23">
        <f>$B$5*Data!C393/Data!C392</f>
        <v>4026.1819202498323</v>
      </c>
      <c r="K395" s="23">
        <f>$B$6*Data!F393/Data!F392</f>
        <v>2994.320093024131</v>
      </c>
      <c r="L395" s="23">
        <f>$B$7*Data!I393/Data!I392</f>
        <v>996.89852595533171</v>
      </c>
      <c r="M395" s="23">
        <f>$B$8*Data!L393/Data!L392</f>
        <v>2028.0564446559074</v>
      </c>
      <c r="N395" s="23">
        <f t="shared" si="26"/>
        <v>10045.456983885202</v>
      </c>
      <c r="O395" s="23">
        <f t="shared" si="27"/>
        <v>45.456983885202135</v>
      </c>
      <c r="P395" s="23">
        <f t="shared" si="28"/>
        <v>-45.456983885202135</v>
      </c>
      <c r="W395" s="37"/>
    </row>
    <row r="396" spans="9:23" x14ac:dyDescent="0.3">
      <c r="I396">
        <v>392</v>
      </c>
      <c r="J396" s="23">
        <f>$B$5*Data!C394/Data!C393</f>
        <v>4050.7491675707251</v>
      </c>
      <c r="K396" s="23">
        <f>$B$6*Data!F394/Data!F393</f>
        <v>3010.3085551457671</v>
      </c>
      <c r="L396" s="23">
        <f>$B$7*Data!I394/Data!I393</f>
        <v>1010.5959780300627</v>
      </c>
      <c r="M396" s="23">
        <f>$B$8*Data!L394/Data!L393</f>
        <v>1996.0201633364982</v>
      </c>
      <c r="N396" s="23">
        <f t="shared" si="26"/>
        <v>10067.673864083054</v>
      </c>
      <c r="O396" s="23">
        <f t="shared" si="27"/>
        <v>67.673864083053559</v>
      </c>
      <c r="P396" s="23">
        <f t="shared" si="28"/>
        <v>-67.673864083053559</v>
      </c>
      <c r="W396" s="37"/>
    </row>
    <row r="397" spans="9:23" x14ac:dyDescent="0.3">
      <c r="I397">
        <v>393</v>
      </c>
      <c r="J397" s="23">
        <f>$B$5*Data!C395/Data!C394</f>
        <v>4002.5711492930441</v>
      </c>
      <c r="K397" s="23">
        <f>$B$6*Data!F395/Data!F394</f>
        <v>3002.4779274028824</v>
      </c>
      <c r="L397" s="23">
        <f>$B$7*Data!I395/Data!I394</f>
        <v>1006.0226325568678</v>
      </c>
      <c r="M397" s="23">
        <f>$B$8*Data!L395/Data!L394</f>
        <v>2031.4309895531103</v>
      </c>
      <c r="N397" s="23">
        <f t="shared" si="26"/>
        <v>10042.502698805903</v>
      </c>
      <c r="O397" s="23">
        <f t="shared" si="27"/>
        <v>42.502698805903492</v>
      </c>
      <c r="P397" s="23">
        <f t="shared" si="28"/>
        <v>-42.502698805903492</v>
      </c>
      <c r="W397" s="37"/>
    </row>
    <row r="398" spans="9:23" x14ac:dyDescent="0.3">
      <c r="I398">
        <v>394</v>
      </c>
      <c r="J398" s="23">
        <f>$B$5*Data!C396/Data!C395</f>
        <v>3972.4035985196247</v>
      </c>
      <c r="K398" s="23">
        <f>$B$6*Data!F396/Data!F395</f>
        <v>2988.5503537401514</v>
      </c>
      <c r="L398" s="23">
        <f>$B$7*Data!I396/Data!I395</f>
        <v>994.32892066560612</v>
      </c>
      <c r="M398" s="23">
        <f>$B$8*Data!L396/Data!L395</f>
        <v>1979.4867939981409</v>
      </c>
      <c r="N398" s="23">
        <f t="shared" si="26"/>
        <v>9934.7696669235229</v>
      </c>
      <c r="O398" s="23">
        <f t="shared" si="27"/>
        <v>-65.230333076477109</v>
      </c>
      <c r="P398" s="23">
        <f t="shared" si="28"/>
        <v>65.230333076477109</v>
      </c>
      <c r="W398" s="37"/>
    </row>
    <row r="399" spans="9:23" x14ac:dyDescent="0.3">
      <c r="I399">
        <v>395</v>
      </c>
      <c r="J399" s="23">
        <f>$B$5*Data!C397/Data!C396</f>
        <v>4043.3683157905612</v>
      </c>
      <c r="K399" s="23">
        <f>$B$6*Data!F397/Data!F396</f>
        <v>2988.4454401011494</v>
      </c>
      <c r="L399" s="23">
        <f>$B$7*Data!I397/Data!I396</f>
        <v>995.9555655227789</v>
      </c>
      <c r="M399" s="23">
        <f>$B$8*Data!L397/Data!L396</f>
        <v>2001.2719658797992</v>
      </c>
      <c r="N399" s="23">
        <f t="shared" si="26"/>
        <v>10029.041287294289</v>
      </c>
      <c r="O399" s="23">
        <f t="shared" si="27"/>
        <v>29.04128729428885</v>
      </c>
      <c r="P399" s="23">
        <f t="shared" si="28"/>
        <v>-29.04128729428885</v>
      </c>
      <c r="W399" s="37"/>
    </row>
    <row r="400" spans="9:23" x14ac:dyDescent="0.3">
      <c r="I400">
        <v>396</v>
      </c>
      <c r="J400" s="23">
        <f>$B$5*Data!C398/Data!C397</f>
        <v>4052.039254978542</v>
      </c>
      <c r="K400" s="23">
        <f>$B$6*Data!F398/Data!F397</f>
        <v>3116.9758763757059</v>
      </c>
      <c r="L400" s="23">
        <f>$B$7*Data!I398/Data!I397</f>
        <v>1009.2180567691893</v>
      </c>
      <c r="M400" s="23">
        <f>$B$8*Data!L398/Data!L397</f>
        <v>1981.5920904378881</v>
      </c>
      <c r="N400" s="23">
        <f t="shared" si="26"/>
        <v>10159.825278561326</v>
      </c>
      <c r="O400" s="23">
        <f t="shared" si="27"/>
        <v>159.82527856132583</v>
      </c>
      <c r="P400" s="23">
        <f t="shared" si="28"/>
        <v>-159.82527856132583</v>
      </c>
      <c r="W400" s="37"/>
    </row>
    <row r="401" spans="9:23" x14ac:dyDescent="0.3">
      <c r="I401">
        <v>397</v>
      </c>
      <c r="J401" s="23">
        <f>$B$5*Data!C399/Data!C398</f>
        <v>4003.642420698925</v>
      </c>
      <c r="K401" s="23">
        <f>$B$6*Data!F399/Data!F398</f>
        <v>2999.1289328037551</v>
      </c>
      <c r="L401" s="23">
        <f>$B$7*Data!I399/Data!I398</f>
        <v>1014.3462977005125</v>
      </c>
      <c r="M401" s="23">
        <f>$B$8*Data!L399/Data!L398</f>
        <v>2001.4449563726118</v>
      </c>
      <c r="N401" s="23">
        <f t="shared" si="26"/>
        <v>10018.562607575805</v>
      </c>
      <c r="O401" s="23">
        <f t="shared" si="27"/>
        <v>18.562607575804577</v>
      </c>
      <c r="P401" s="23">
        <f t="shared" si="28"/>
        <v>-18.562607575804577</v>
      </c>
      <c r="W401" s="37"/>
    </row>
    <row r="402" spans="9:23" x14ac:dyDescent="0.3">
      <c r="I402">
        <v>398</v>
      </c>
      <c r="J402" s="23">
        <f>$B$5*Data!C400/Data!C399</f>
        <v>3999.6239593600367</v>
      </c>
      <c r="K402" s="23">
        <f>$B$6*Data!F400/Data!F399</f>
        <v>3019.8257934477469</v>
      </c>
      <c r="L402" s="23">
        <f>$B$7*Data!I400/Data!I399</f>
        <v>1005.5382256222853</v>
      </c>
      <c r="M402" s="23">
        <f>$B$8*Data!L400/Data!L399</f>
        <v>2036.7095638463743</v>
      </c>
      <c r="N402" s="23">
        <f t="shared" si="26"/>
        <v>10061.697542276444</v>
      </c>
      <c r="O402" s="23">
        <f t="shared" si="27"/>
        <v>61.697542276444437</v>
      </c>
      <c r="P402" s="23">
        <f t="shared" si="28"/>
        <v>-61.697542276444437</v>
      </c>
      <c r="W402" s="37"/>
    </row>
    <row r="403" spans="9:23" x14ac:dyDescent="0.3">
      <c r="I403">
        <v>399</v>
      </c>
      <c r="J403" s="23">
        <f>$B$5*Data!C401/Data!C400</f>
        <v>4001.2892175030697</v>
      </c>
      <c r="K403" s="23">
        <f>$B$6*Data!F401/Data!F400</f>
        <v>2998.948020766506</v>
      </c>
      <c r="L403" s="23">
        <f>$B$7*Data!I401/Data!I400</f>
        <v>1002.6372516042568</v>
      </c>
      <c r="M403" s="23">
        <f>$B$8*Data!L401/Data!L400</f>
        <v>2010.0430316382824</v>
      </c>
      <c r="N403" s="23">
        <f t="shared" si="26"/>
        <v>10012.917521512114</v>
      </c>
      <c r="O403" s="23">
        <f t="shared" si="27"/>
        <v>12.917521512114035</v>
      </c>
      <c r="P403" s="23">
        <f t="shared" si="28"/>
        <v>-12.917521512114035</v>
      </c>
      <c r="W403" s="37"/>
    </row>
    <row r="404" spans="9:23" x14ac:dyDescent="0.3">
      <c r="I404">
        <v>400</v>
      </c>
      <c r="J404" s="23">
        <f>$B$5*Data!C402/Data!C401</f>
        <v>4028.9187246699166</v>
      </c>
      <c r="K404" s="23">
        <f>$B$6*Data!F402/Data!F401</f>
        <v>3000.2562793144211</v>
      </c>
      <c r="L404" s="23">
        <f>$B$7*Data!I402/Data!I401</f>
        <v>1005.2137741877599</v>
      </c>
      <c r="M404" s="23">
        <f>$B$8*Data!L402/Data!L401</f>
        <v>1998.5840622205651</v>
      </c>
      <c r="N404" s="23">
        <f t="shared" si="26"/>
        <v>10032.972840392662</v>
      </c>
      <c r="O404" s="23">
        <f t="shared" si="27"/>
        <v>32.972840392661965</v>
      </c>
      <c r="P404" s="23">
        <f t="shared" si="28"/>
        <v>-32.972840392661965</v>
      </c>
      <c r="W404" s="37"/>
    </row>
    <row r="405" spans="9:23" x14ac:dyDescent="0.3">
      <c r="I405">
        <v>401</v>
      </c>
      <c r="J405" s="23">
        <f>$B$5*Data!C403/Data!C402</f>
        <v>4011.5166114448284</v>
      </c>
      <c r="K405" s="23">
        <f>$B$6*Data!F403/Data!F402</f>
        <v>3053.4462485562422</v>
      </c>
      <c r="L405" s="23">
        <f>$B$7*Data!I403/Data!I402</f>
        <v>1006.3622085632862</v>
      </c>
      <c r="M405" s="23">
        <f>$B$8*Data!L403/Data!L402</f>
        <v>2011.4629067788212</v>
      </c>
      <c r="N405" s="23">
        <f t="shared" si="26"/>
        <v>10082.787975343179</v>
      </c>
      <c r="O405" s="23">
        <f t="shared" si="27"/>
        <v>82.787975343178914</v>
      </c>
      <c r="P405" s="23">
        <f t="shared" si="28"/>
        <v>-82.787975343178914</v>
      </c>
      <c r="W405" s="37"/>
    </row>
    <row r="406" spans="9:23" x14ac:dyDescent="0.3">
      <c r="I406">
        <v>402</v>
      </c>
      <c r="J406" s="23">
        <f>$B$5*Data!C404/Data!C403</f>
        <v>3997.1023435896295</v>
      </c>
      <c r="K406" s="23">
        <f>$B$6*Data!F404/Data!F403</f>
        <v>2992.1098499107079</v>
      </c>
      <c r="L406" s="23">
        <f>$B$7*Data!I404/Data!I403</f>
        <v>1001.3209529669321</v>
      </c>
      <c r="M406" s="23">
        <f>$B$8*Data!L404/Data!L403</f>
        <v>2012.8590531470397</v>
      </c>
      <c r="N406" s="23">
        <f t="shared" si="26"/>
        <v>10003.392199614309</v>
      </c>
      <c r="O406" s="23">
        <f t="shared" si="27"/>
        <v>3.3921996143089928</v>
      </c>
      <c r="P406" s="23">
        <f t="shared" si="28"/>
        <v>-3.3921996143089928</v>
      </c>
      <c r="W406" s="37"/>
    </row>
    <row r="407" spans="9:23" x14ac:dyDescent="0.3">
      <c r="I407">
        <v>403</v>
      </c>
      <c r="J407" s="23">
        <f>$B$5*Data!C405/Data!C404</f>
        <v>3987.457652867759</v>
      </c>
      <c r="K407" s="23">
        <f>$B$6*Data!F405/Data!F404</f>
        <v>3029.3556784695993</v>
      </c>
      <c r="L407" s="23">
        <f>$B$7*Data!I405/Data!I404</f>
        <v>1009.8989819528691</v>
      </c>
      <c r="M407" s="23">
        <f>$B$8*Data!L405/Data!L404</f>
        <v>2014.0557034976009</v>
      </c>
      <c r="N407" s="23">
        <f t="shared" si="26"/>
        <v>10040.768016787828</v>
      </c>
      <c r="O407" s="23">
        <f t="shared" si="27"/>
        <v>40.768016787827946</v>
      </c>
      <c r="P407" s="23">
        <f t="shared" si="28"/>
        <v>-40.768016787827946</v>
      </c>
      <c r="W407" s="37"/>
    </row>
    <row r="408" spans="9:23" x14ac:dyDescent="0.3">
      <c r="I408">
        <v>404</v>
      </c>
      <c r="J408" s="23">
        <f>$B$5*Data!C406/Data!C405</f>
        <v>4010.3270091671511</v>
      </c>
      <c r="K408" s="23">
        <f>$B$6*Data!F406/Data!F405</f>
        <v>2974.9781089287026</v>
      </c>
      <c r="L408" s="23">
        <f>$B$7*Data!I406/Data!I405</f>
        <v>993.73222420332763</v>
      </c>
      <c r="M408" s="23">
        <f>$B$8*Data!L406/Data!L405</f>
        <v>2000.8023247169667</v>
      </c>
      <c r="N408" s="23">
        <f t="shared" si="26"/>
        <v>9979.8396670161492</v>
      </c>
      <c r="O408" s="23">
        <f t="shared" si="27"/>
        <v>-20.160332983850822</v>
      </c>
      <c r="P408" s="23">
        <f t="shared" si="28"/>
        <v>20.160332983850822</v>
      </c>
      <c r="W408" s="37"/>
    </row>
    <row r="409" spans="9:23" x14ac:dyDescent="0.3">
      <c r="I409">
        <v>405</v>
      </c>
      <c r="J409" s="23">
        <f>$B$5*Data!C407/Data!C406</f>
        <v>4001.3707675640176</v>
      </c>
      <c r="K409" s="23">
        <f>$B$6*Data!F407/Data!F406</f>
        <v>2963.0249492757489</v>
      </c>
      <c r="L409" s="23">
        <f>$B$7*Data!I407/Data!I406</f>
        <v>992.60908783026957</v>
      </c>
      <c r="M409" s="23">
        <f>$B$8*Data!L407/Data!L406</f>
        <v>1980.9551573637002</v>
      </c>
      <c r="N409" s="23">
        <f t="shared" si="26"/>
        <v>9937.9599620337358</v>
      </c>
      <c r="O409" s="23">
        <f t="shared" si="27"/>
        <v>-62.040037966264208</v>
      </c>
      <c r="P409" s="23">
        <f t="shared" si="28"/>
        <v>62.040037966264208</v>
      </c>
      <c r="W409" s="37"/>
    </row>
    <row r="410" spans="9:23" x14ac:dyDescent="0.3">
      <c r="I410">
        <v>406</v>
      </c>
      <c r="J410" s="23">
        <f>$B$5*Data!C408/Data!C407</f>
        <v>4000.0798994261531</v>
      </c>
      <c r="K410" s="23">
        <f>$B$6*Data!F408/Data!F407</f>
        <v>2995.9551210420841</v>
      </c>
      <c r="L410" s="23">
        <f>$B$7*Data!I408/Data!I407</f>
        <v>1007.7483358066955</v>
      </c>
      <c r="M410" s="23">
        <f>$B$8*Data!L408/Data!L407</f>
        <v>2007.2450196359941</v>
      </c>
      <c r="N410" s="23">
        <f t="shared" si="26"/>
        <v>10011.028375910926</v>
      </c>
      <c r="O410" s="23">
        <f t="shared" si="27"/>
        <v>11.028375910926115</v>
      </c>
      <c r="P410" s="23">
        <f t="shared" si="28"/>
        <v>-11.028375910926115</v>
      </c>
      <c r="W410" s="37"/>
    </row>
    <row r="411" spans="9:23" x14ac:dyDescent="0.3">
      <c r="I411">
        <v>407</v>
      </c>
      <c r="J411" s="23">
        <f>$B$5*Data!C409/Data!C408</f>
        <v>3980.4176935415212</v>
      </c>
      <c r="K411" s="23">
        <f>$B$6*Data!F409/Data!F408</f>
        <v>2968.0232504949508</v>
      </c>
      <c r="L411" s="23">
        <f>$B$7*Data!I409/Data!I408</f>
        <v>1001.0434241336246</v>
      </c>
      <c r="M411" s="23">
        <f>$B$8*Data!L409/Data!L408</f>
        <v>2036.3931898951948</v>
      </c>
      <c r="N411" s="23">
        <f t="shared" si="26"/>
        <v>9985.8775580652909</v>
      </c>
      <c r="O411" s="23">
        <f t="shared" si="27"/>
        <v>-14.122441934709059</v>
      </c>
      <c r="P411" s="23">
        <f t="shared" si="28"/>
        <v>14.122441934709059</v>
      </c>
      <c r="W411" s="37"/>
    </row>
    <row r="412" spans="9:23" x14ac:dyDescent="0.3">
      <c r="I412">
        <v>408</v>
      </c>
      <c r="J412" s="23">
        <f>$B$5*Data!C410/Data!C409</f>
        <v>3999.6122564065572</v>
      </c>
      <c r="K412" s="23">
        <f>$B$6*Data!F410/Data!F409</f>
        <v>2996.2281127908045</v>
      </c>
      <c r="L412" s="23">
        <f>$B$7*Data!I410/Data!I409</f>
        <v>1002.82576984051</v>
      </c>
      <c r="M412" s="23">
        <f>$B$8*Data!L410/Data!L409</f>
        <v>2009.3517249382155</v>
      </c>
      <c r="N412" s="23">
        <f t="shared" si="26"/>
        <v>10008.017863976087</v>
      </c>
      <c r="O412" s="23">
        <f t="shared" si="27"/>
        <v>8.0178639760870283</v>
      </c>
      <c r="P412" s="23">
        <f t="shared" si="28"/>
        <v>-8.0178639760870283</v>
      </c>
      <c r="W412" s="37"/>
    </row>
    <row r="413" spans="9:23" x14ac:dyDescent="0.3">
      <c r="I413">
        <v>409</v>
      </c>
      <c r="J413" s="23">
        <f>$B$5*Data!C411/Data!C410</f>
        <v>3966.3345155647467</v>
      </c>
      <c r="K413" s="23">
        <f>$B$6*Data!F411/Data!F410</f>
        <v>2975.79752679286</v>
      </c>
      <c r="L413" s="23">
        <f>$B$7*Data!I411/Data!I410</f>
        <v>987.49904728930119</v>
      </c>
      <c r="M413" s="23">
        <f>$B$8*Data!L411/Data!L410</f>
        <v>1984.4201613591877</v>
      </c>
      <c r="N413" s="23">
        <f t="shared" si="26"/>
        <v>9914.0512510060962</v>
      </c>
      <c r="O413" s="23">
        <f t="shared" si="27"/>
        <v>-85.948748993903791</v>
      </c>
      <c r="P413" s="23">
        <f t="shared" si="28"/>
        <v>85.948748993903791</v>
      </c>
      <c r="W413" s="37"/>
    </row>
    <row r="414" spans="9:23" x14ac:dyDescent="0.3">
      <c r="I414">
        <v>410</v>
      </c>
      <c r="J414" s="23">
        <f>$B$5*Data!C412/Data!C411</f>
        <v>4024.6342862488509</v>
      </c>
      <c r="K414" s="23">
        <f>$B$6*Data!F412/Data!F411</f>
        <v>3006.7041470032755</v>
      </c>
      <c r="L414" s="23">
        <f>$B$7*Data!I412/Data!I411</f>
        <v>995.5200467677214</v>
      </c>
      <c r="M414" s="23">
        <f>$B$8*Data!L412/Data!L411</f>
        <v>1987.5968573199445</v>
      </c>
      <c r="N414" s="23">
        <f t="shared" si="26"/>
        <v>10014.455337339792</v>
      </c>
      <c r="O414" s="23">
        <f t="shared" si="27"/>
        <v>14.455337339792095</v>
      </c>
      <c r="P414" s="23">
        <f t="shared" si="28"/>
        <v>-14.455337339792095</v>
      </c>
      <c r="W414" s="37"/>
    </row>
    <row r="415" spans="9:23" x14ac:dyDescent="0.3">
      <c r="I415">
        <v>411</v>
      </c>
      <c r="J415" s="23">
        <f>$B$5*Data!C413/Data!C412</f>
        <v>3990.2843343719269</v>
      </c>
      <c r="K415" s="23">
        <f>$B$6*Data!F413/Data!F412</f>
        <v>2961.6852032647157</v>
      </c>
      <c r="L415" s="23">
        <f>$B$7*Data!I413/Data!I412</f>
        <v>995.8789283738879</v>
      </c>
      <c r="M415" s="23">
        <f>$B$8*Data!L413/Data!L412</f>
        <v>1969.3668946981386</v>
      </c>
      <c r="N415" s="23">
        <f t="shared" si="26"/>
        <v>9917.2153607086693</v>
      </c>
      <c r="O415" s="23">
        <f t="shared" si="27"/>
        <v>-82.784639291330677</v>
      </c>
      <c r="P415" s="23">
        <f t="shared" si="28"/>
        <v>82.784639291330677</v>
      </c>
      <c r="W415" s="37"/>
    </row>
    <row r="416" spans="9:23" x14ac:dyDescent="0.3">
      <c r="I416">
        <v>412</v>
      </c>
      <c r="J416" s="23">
        <f>$B$5*Data!C414/Data!C413</f>
        <v>3978.7345902056181</v>
      </c>
      <c r="K416" s="23">
        <f>$B$6*Data!F414/Data!F413</f>
        <v>3011.167328302236</v>
      </c>
      <c r="L416" s="23">
        <f>$B$7*Data!I414/Data!I413</f>
        <v>997.96950941071316</v>
      </c>
      <c r="M416" s="23">
        <f>$B$8*Data!L414/Data!L413</f>
        <v>1997.2894242177708</v>
      </c>
      <c r="N416" s="23">
        <f t="shared" si="26"/>
        <v>9985.1608521363378</v>
      </c>
      <c r="O416" s="23">
        <f t="shared" si="27"/>
        <v>-14.83914786366222</v>
      </c>
      <c r="P416" s="23">
        <f t="shared" si="28"/>
        <v>14.83914786366222</v>
      </c>
      <c r="W416" s="37"/>
    </row>
    <row r="417" spans="9:23" x14ac:dyDescent="0.3">
      <c r="I417">
        <v>413</v>
      </c>
      <c r="J417" s="23">
        <f>$B$5*Data!C415/Data!C414</f>
        <v>4020.1904264693226</v>
      </c>
      <c r="K417" s="23">
        <f>$B$6*Data!F415/Data!F414</f>
        <v>2989.963976320832</v>
      </c>
      <c r="L417" s="23">
        <f>$B$7*Data!I415/Data!I414</f>
        <v>1005.8622800125978</v>
      </c>
      <c r="M417" s="23">
        <f>$B$8*Data!L415/Data!L414</f>
        <v>2026.0067979128094</v>
      </c>
      <c r="N417" s="23">
        <f t="shared" si="26"/>
        <v>10042.023480715561</v>
      </c>
      <c r="O417" s="23">
        <f t="shared" si="27"/>
        <v>42.023480715561163</v>
      </c>
      <c r="P417" s="23">
        <f t="shared" si="28"/>
        <v>-42.023480715561163</v>
      </c>
      <c r="W417" s="37"/>
    </row>
    <row r="418" spans="9:23" x14ac:dyDescent="0.3">
      <c r="I418">
        <v>414</v>
      </c>
      <c r="J418" s="23">
        <f>$B$5*Data!C416/Data!C415</f>
        <v>3950.9665068194281</v>
      </c>
      <c r="K418" s="23">
        <f>$B$6*Data!F416/Data!F415</f>
        <v>3015.8882666954264</v>
      </c>
      <c r="L418" s="23">
        <f>$B$7*Data!I416/Data!I415</f>
        <v>1005.0935449658316</v>
      </c>
      <c r="M418" s="23">
        <f>$B$8*Data!L416/Data!L415</f>
        <v>1982.6357935514034</v>
      </c>
      <c r="N418" s="23">
        <f t="shared" si="26"/>
        <v>9954.5841120320911</v>
      </c>
      <c r="O418" s="23">
        <f t="shared" si="27"/>
        <v>-45.41588796790893</v>
      </c>
      <c r="P418" s="23">
        <f t="shared" si="28"/>
        <v>45.41588796790893</v>
      </c>
      <c r="W418" s="37"/>
    </row>
    <row r="419" spans="9:23" x14ac:dyDescent="0.3">
      <c r="I419">
        <v>415</v>
      </c>
      <c r="J419" s="23">
        <f>$B$5*Data!C417/Data!C416</f>
        <v>3928.3871874840574</v>
      </c>
      <c r="K419" s="23">
        <f>$B$6*Data!F417/Data!F416</f>
        <v>2994.2994520341249</v>
      </c>
      <c r="L419" s="23">
        <f>$B$7*Data!I417/Data!I416</f>
        <v>983.17630481419405</v>
      </c>
      <c r="M419" s="23">
        <f>$B$8*Data!L417/Data!L416</f>
        <v>1971.9602857666018</v>
      </c>
      <c r="N419" s="23">
        <f t="shared" si="26"/>
        <v>9877.8232300989785</v>
      </c>
      <c r="O419" s="23">
        <f t="shared" si="27"/>
        <v>-122.17676990102154</v>
      </c>
      <c r="P419" s="23">
        <f t="shared" si="28"/>
        <v>122.17676990102154</v>
      </c>
      <c r="W419" s="37"/>
    </row>
    <row r="420" spans="9:23" x14ac:dyDescent="0.3">
      <c r="I420">
        <v>416</v>
      </c>
      <c r="J420" s="23">
        <f>$B$5*Data!C418/Data!C417</f>
        <v>4031.8876512368433</v>
      </c>
      <c r="K420" s="23">
        <f>$B$6*Data!F418/Data!F417</f>
        <v>3007.7896440905665</v>
      </c>
      <c r="L420" s="23">
        <f>$B$7*Data!I418/Data!I417</f>
        <v>975.06804171604176</v>
      </c>
      <c r="M420" s="23">
        <f>$B$8*Data!L418/Data!L417</f>
        <v>2017.4899360208015</v>
      </c>
      <c r="N420" s="23">
        <f t="shared" si="26"/>
        <v>10032.235273064254</v>
      </c>
      <c r="O420" s="23">
        <f t="shared" si="27"/>
        <v>32.235273064254216</v>
      </c>
      <c r="P420" s="23">
        <f t="shared" si="28"/>
        <v>-32.235273064254216</v>
      </c>
      <c r="W420" s="37"/>
    </row>
    <row r="421" spans="9:23" x14ac:dyDescent="0.3">
      <c r="I421">
        <v>417</v>
      </c>
      <c r="J421" s="23">
        <f>$B$5*Data!C419/Data!C418</f>
        <v>4056.8675904025959</v>
      </c>
      <c r="K421" s="23">
        <f>$B$6*Data!F419/Data!F418</f>
        <v>2966.7624117898622</v>
      </c>
      <c r="L421" s="23">
        <f>$B$7*Data!I419/Data!I418</f>
        <v>1009.9226975796774</v>
      </c>
      <c r="M421" s="23">
        <f>$B$8*Data!L419/Data!L418</f>
        <v>1983.6734172867134</v>
      </c>
      <c r="N421" s="23">
        <f t="shared" si="26"/>
        <v>10017.226117058848</v>
      </c>
      <c r="O421" s="23">
        <f t="shared" si="27"/>
        <v>17.226117058848104</v>
      </c>
      <c r="P421" s="23">
        <f t="shared" si="28"/>
        <v>-17.226117058848104</v>
      </c>
      <c r="W421" s="37"/>
    </row>
    <row r="422" spans="9:23" x14ac:dyDescent="0.3">
      <c r="I422">
        <v>418</v>
      </c>
      <c r="J422" s="23">
        <f>$B$5*Data!C420/Data!C419</f>
        <v>3982.086820904784</v>
      </c>
      <c r="K422" s="23">
        <f>$B$6*Data!F420/Data!F419</f>
        <v>3008.4083899019947</v>
      </c>
      <c r="L422" s="23">
        <f>$B$7*Data!I420/Data!I419</f>
        <v>1007.7792929169511</v>
      </c>
      <c r="M422" s="23">
        <f>$B$8*Data!L420/Data!L419</f>
        <v>2031.218950183757</v>
      </c>
      <c r="N422" s="23">
        <f t="shared" si="26"/>
        <v>10029.493453907487</v>
      </c>
      <c r="O422" s="23">
        <f t="shared" si="27"/>
        <v>29.493453907487492</v>
      </c>
      <c r="P422" s="23">
        <f t="shared" si="28"/>
        <v>-29.493453907487492</v>
      </c>
      <c r="W422" s="37"/>
    </row>
    <row r="423" spans="9:23" x14ac:dyDescent="0.3">
      <c r="I423">
        <v>419</v>
      </c>
      <c r="J423" s="23">
        <f>$B$5*Data!C421/Data!C420</f>
        <v>3937.7567238310621</v>
      </c>
      <c r="K423" s="23">
        <f>$B$6*Data!F421/Data!F420</f>
        <v>2975.6011368742597</v>
      </c>
      <c r="L423" s="23">
        <f>$B$7*Data!I421/Data!I420</f>
        <v>990.47539211881178</v>
      </c>
      <c r="M423" s="23">
        <f>$B$8*Data!L421/Data!L420</f>
        <v>1973.8869804758988</v>
      </c>
      <c r="N423" s="23">
        <f t="shared" si="26"/>
        <v>9877.7202333000332</v>
      </c>
      <c r="O423" s="23">
        <f t="shared" si="27"/>
        <v>-122.27976669996679</v>
      </c>
      <c r="P423" s="23">
        <f t="shared" si="28"/>
        <v>122.27976669996679</v>
      </c>
      <c r="W423" s="37"/>
    </row>
    <row r="424" spans="9:23" x14ac:dyDescent="0.3">
      <c r="I424">
        <v>420</v>
      </c>
      <c r="J424" s="23">
        <f>$B$5*Data!C422/Data!C421</f>
        <v>4036.4179691576883</v>
      </c>
      <c r="K424" s="23">
        <f>$B$6*Data!F422/Data!F421</f>
        <v>3002.9341579599354</v>
      </c>
      <c r="L424" s="23">
        <f>$B$7*Data!I422/Data!I421</f>
        <v>1009.6277519952753</v>
      </c>
      <c r="M424" s="23">
        <f>$B$8*Data!L422/Data!L421</f>
        <v>1996.4452691332192</v>
      </c>
      <c r="N424" s="23">
        <f t="shared" si="26"/>
        <v>10045.425148246119</v>
      </c>
      <c r="O424" s="23">
        <f t="shared" si="27"/>
        <v>45.425148246118624</v>
      </c>
      <c r="P424" s="23">
        <f t="shared" si="28"/>
        <v>-45.425148246118624</v>
      </c>
      <c r="W424" s="37"/>
    </row>
    <row r="425" spans="9:23" x14ac:dyDescent="0.3">
      <c r="I425">
        <v>421</v>
      </c>
      <c r="J425" s="23">
        <f>$B$5*Data!C423/Data!C422</f>
        <v>4025.662782254899</v>
      </c>
      <c r="K425" s="23">
        <f>$B$6*Data!F423/Data!F422</f>
        <v>3070.076794081202</v>
      </c>
      <c r="L425" s="23">
        <f>$B$7*Data!I423/Data!I422</f>
        <v>1004.4076712286687</v>
      </c>
      <c r="M425" s="23">
        <f>$B$8*Data!L423/Data!L422</f>
        <v>2010.2450133632453</v>
      </c>
      <c r="N425" s="23">
        <f t="shared" si="26"/>
        <v>10110.392260928014</v>
      </c>
      <c r="O425" s="23">
        <f t="shared" si="27"/>
        <v>110.39226092801437</v>
      </c>
      <c r="P425" s="23">
        <f t="shared" si="28"/>
        <v>-110.39226092801437</v>
      </c>
      <c r="W425" s="37"/>
    </row>
    <row r="426" spans="9:23" x14ac:dyDescent="0.3">
      <c r="I426">
        <v>422</v>
      </c>
      <c r="J426" s="23">
        <f>$B$5*Data!C424/Data!C423</f>
        <v>4043.755910432636</v>
      </c>
      <c r="K426" s="23">
        <f>$B$6*Data!F424/Data!F423</f>
        <v>3024.3355547235619</v>
      </c>
      <c r="L426" s="23">
        <f>$B$7*Data!I424/Data!I423</f>
        <v>1030.2533581782448</v>
      </c>
      <c r="M426" s="23">
        <f>$B$8*Data!L424/Data!L423</f>
        <v>2034.3765489550017</v>
      </c>
      <c r="N426" s="23">
        <f t="shared" si="26"/>
        <v>10132.721372289445</v>
      </c>
      <c r="O426" s="23">
        <f t="shared" si="27"/>
        <v>132.72137228944484</v>
      </c>
      <c r="P426" s="23">
        <f t="shared" si="28"/>
        <v>-132.72137228944484</v>
      </c>
      <c r="W426" s="37"/>
    </row>
    <row r="427" spans="9:23" x14ac:dyDescent="0.3">
      <c r="I427">
        <v>423</v>
      </c>
      <c r="J427" s="23">
        <f>$B$5*Data!C425/Data!C424</f>
        <v>3994.4515239728948</v>
      </c>
      <c r="K427" s="23">
        <f>$B$6*Data!F425/Data!F424</f>
        <v>2997.9730009862601</v>
      </c>
      <c r="L427" s="23">
        <f>$B$7*Data!I425/Data!I424</f>
        <v>1000.9050041513622</v>
      </c>
      <c r="M427" s="23">
        <f>$B$8*Data!L425/Data!L424</f>
        <v>2043.6756317209727</v>
      </c>
      <c r="N427" s="23">
        <f t="shared" si="26"/>
        <v>10037.00516083149</v>
      </c>
      <c r="O427" s="23">
        <f t="shared" si="27"/>
        <v>37.005160831489775</v>
      </c>
      <c r="P427" s="23">
        <f t="shared" si="28"/>
        <v>-37.005160831489775</v>
      </c>
      <c r="W427" s="37"/>
    </row>
    <row r="428" spans="9:23" x14ac:dyDescent="0.3">
      <c r="I428">
        <v>424</v>
      </c>
      <c r="J428" s="23">
        <f>$B$5*Data!C426/Data!C425</f>
        <v>4039.8227075173627</v>
      </c>
      <c r="K428" s="23">
        <f>$B$6*Data!F426/Data!F425</f>
        <v>3018.1500944449685</v>
      </c>
      <c r="L428" s="23">
        <f>$B$7*Data!I426/Data!I425</f>
        <v>1014.6876251720339</v>
      </c>
      <c r="M428" s="23">
        <f>$B$8*Data!L426/Data!L425</f>
        <v>1984.6479333924431</v>
      </c>
      <c r="N428" s="23">
        <f t="shared" si="26"/>
        <v>10057.308360526808</v>
      </c>
      <c r="O428" s="23">
        <f t="shared" si="27"/>
        <v>57.308360526807519</v>
      </c>
      <c r="P428" s="23">
        <f t="shared" si="28"/>
        <v>-57.308360526807519</v>
      </c>
      <c r="W428" s="37"/>
    </row>
    <row r="429" spans="9:23" x14ac:dyDescent="0.3">
      <c r="I429">
        <v>425</v>
      </c>
      <c r="J429" s="23">
        <f>$B$5*Data!C427/Data!C426</f>
        <v>3992.0018277840504</v>
      </c>
      <c r="K429" s="23">
        <f>$B$6*Data!F427/Data!F426</f>
        <v>3020.7255858988165</v>
      </c>
      <c r="L429" s="23">
        <f>$B$7*Data!I427/Data!I426</f>
        <v>1001.8294436471884</v>
      </c>
      <c r="M429" s="23">
        <f>$B$8*Data!L427/Data!L426</f>
        <v>2008.023916218405</v>
      </c>
      <c r="N429" s="23">
        <f t="shared" si="26"/>
        <v>10022.580773548461</v>
      </c>
      <c r="O429" s="23">
        <f t="shared" si="27"/>
        <v>22.580773548461366</v>
      </c>
      <c r="P429" s="23">
        <f t="shared" si="28"/>
        <v>-22.580773548461366</v>
      </c>
      <c r="W429" s="37"/>
    </row>
    <row r="430" spans="9:23" x14ac:dyDescent="0.3">
      <c r="I430">
        <v>426</v>
      </c>
      <c r="J430" s="23">
        <f>$B$5*Data!C428/Data!C427</f>
        <v>4011.0513266097914</v>
      </c>
      <c r="K430" s="23">
        <f>$B$6*Data!F428/Data!F427</f>
        <v>2985.5958206726177</v>
      </c>
      <c r="L430" s="23">
        <f>$B$7*Data!I428/Data!I427</f>
        <v>999.25644289586853</v>
      </c>
      <c r="M430" s="23">
        <f>$B$8*Data!L428/Data!L427</f>
        <v>1984.5919075099314</v>
      </c>
      <c r="N430" s="23">
        <f t="shared" si="26"/>
        <v>9980.4954976882091</v>
      </c>
      <c r="O430" s="23">
        <f t="shared" si="27"/>
        <v>-19.50450231179093</v>
      </c>
      <c r="P430" s="23">
        <f t="shared" si="28"/>
        <v>19.50450231179093</v>
      </c>
      <c r="W430" s="37"/>
    </row>
    <row r="431" spans="9:23" x14ac:dyDescent="0.3">
      <c r="I431">
        <v>427</v>
      </c>
      <c r="J431" s="23">
        <f>$B$5*Data!C429/Data!C428</f>
        <v>3984.3226202010733</v>
      </c>
      <c r="K431" s="23">
        <f>$B$6*Data!F429/Data!F428</f>
        <v>3008.3789109257186</v>
      </c>
      <c r="L431" s="23">
        <f>$B$7*Data!I429/Data!I428</f>
        <v>1002.2047483787341</v>
      </c>
      <c r="M431" s="23">
        <f>$B$8*Data!L429/Data!L428</f>
        <v>2021.8363026741672</v>
      </c>
      <c r="N431" s="23">
        <f t="shared" si="26"/>
        <v>10016.742582179693</v>
      </c>
      <c r="O431" s="23">
        <f t="shared" si="27"/>
        <v>16.742582179693272</v>
      </c>
      <c r="P431" s="23">
        <f t="shared" si="28"/>
        <v>-16.742582179693272</v>
      </c>
      <c r="W431" s="37"/>
    </row>
    <row r="432" spans="9:23" x14ac:dyDescent="0.3">
      <c r="I432">
        <v>428</v>
      </c>
      <c r="J432" s="23">
        <f>$B$5*Data!C430/Data!C429</f>
        <v>4027.4864648539401</v>
      </c>
      <c r="K432" s="23">
        <f>$B$6*Data!F430/Data!F429</f>
        <v>3006.7934134929228</v>
      </c>
      <c r="L432" s="23">
        <f>$B$7*Data!I430/Data!I429</f>
        <v>1013.7906970045892</v>
      </c>
      <c r="M432" s="23">
        <f>$B$8*Data!L430/Data!L429</f>
        <v>1996.849004021439</v>
      </c>
      <c r="N432" s="23">
        <f t="shared" si="26"/>
        <v>10044.91957937289</v>
      </c>
      <c r="O432" s="23">
        <f t="shared" si="27"/>
        <v>44.919579372890439</v>
      </c>
      <c r="P432" s="23">
        <f t="shared" si="28"/>
        <v>-44.919579372890439</v>
      </c>
      <c r="W432" s="37"/>
    </row>
    <row r="433" spans="9:23" x14ac:dyDescent="0.3">
      <c r="I433">
        <v>429</v>
      </c>
      <c r="J433" s="23">
        <f>$B$5*Data!C431/Data!C430</f>
        <v>3985.7253337810089</v>
      </c>
      <c r="K433" s="23">
        <f>$B$6*Data!F431/Data!F430</f>
        <v>2975.4199450016417</v>
      </c>
      <c r="L433" s="23">
        <f>$B$7*Data!I431/Data!I430</f>
        <v>1003.855563020652</v>
      </c>
      <c r="M433" s="23">
        <f>$B$8*Data!L431/Data!L430</f>
        <v>1983.3834479982302</v>
      </c>
      <c r="N433" s="23">
        <f t="shared" si="26"/>
        <v>9948.3842898015337</v>
      </c>
      <c r="O433" s="23">
        <f t="shared" si="27"/>
        <v>-51.615710198466331</v>
      </c>
      <c r="P433" s="23">
        <f t="shared" si="28"/>
        <v>51.615710198466331</v>
      </c>
      <c r="W433" s="37"/>
    </row>
    <row r="434" spans="9:23" x14ac:dyDescent="0.3">
      <c r="I434">
        <v>430</v>
      </c>
      <c r="J434" s="23">
        <f>$B$5*Data!C432/Data!C431</f>
        <v>4011.3885961281198</v>
      </c>
      <c r="K434" s="23">
        <f>$B$6*Data!F432/Data!F431</f>
        <v>3026.1099592518317</v>
      </c>
      <c r="L434" s="23">
        <f>$B$7*Data!I432/Data!I431</f>
        <v>1001.8822912200312</v>
      </c>
      <c r="M434" s="23">
        <f>$B$8*Data!L432/Data!L431</f>
        <v>2013.8081600059463</v>
      </c>
      <c r="N434" s="23">
        <f t="shared" si="26"/>
        <v>10053.18900660593</v>
      </c>
      <c r="O434" s="23">
        <f t="shared" si="27"/>
        <v>53.189006605929535</v>
      </c>
      <c r="P434" s="23">
        <f t="shared" si="28"/>
        <v>-53.189006605929535</v>
      </c>
      <c r="W434" s="37"/>
    </row>
    <row r="435" spans="9:23" x14ac:dyDescent="0.3">
      <c r="I435">
        <v>431</v>
      </c>
      <c r="J435" s="23">
        <f>$B$5*Data!C433/Data!C432</f>
        <v>4007.681784726467</v>
      </c>
      <c r="K435" s="23">
        <f>$B$6*Data!F433/Data!F432</f>
        <v>2985.3841135827552</v>
      </c>
      <c r="L435" s="23">
        <f>$B$7*Data!I433/Data!I432</f>
        <v>1003.4286139891358</v>
      </c>
      <c r="M435" s="23">
        <f>$B$8*Data!L433/Data!L432</f>
        <v>1985.9103627616064</v>
      </c>
      <c r="N435" s="23">
        <f t="shared" si="26"/>
        <v>9982.4048750599632</v>
      </c>
      <c r="O435" s="23">
        <f t="shared" si="27"/>
        <v>-17.59512494003684</v>
      </c>
      <c r="P435" s="23">
        <f t="shared" si="28"/>
        <v>17.59512494003684</v>
      </c>
      <c r="W435" s="37"/>
    </row>
    <row r="436" spans="9:23" x14ac:dyDescent="0.3">
      <c r="I436">
        <v>432</v>
      </c>
      <c r="J436" s="23">
        <f>$B$5*Data!C434/Data!C433</f>
        <v>4016.2908023362065</v>
      </c>
      <c r="K436" s="23">
        <f>$B$6*Data!F434/Data!F433</f>
        <v>3025.1845946401063</v>
      </c>
      <c r="L436" s="23">
        <f>$B$7*Data!I434/Data!I433</f>
        <v>1003.0022850377917</v>
      </c>
      <c r="M436" s="23">
        <f>$B$8*Data!L434/Data!L433</f>
        <v>1988.778943866886</v>
      </c>
      <c r="N436" s="23">
        <f t="shared" si="26"/>
        <v>10033.256625880991</v>
      </c>
      <c r="O436" s="23">
        <f t="shared" si="27"/>
        <v>33.256625880991123</v>
      </c>
      <c r="P436" s="23">
        <f t="shared" si="28"/>
        <v>-33.256625880991123</v>
      </c>
      <c r="W436" s="37"/>
    </row>
    <row r="437" spans="9:23" x14ac:dyDescent="0.3">
      <c r="I437">
        <v>433</v>
      </c>
      <c r="J437" s="23">
        <f>$B$5*Data!C435/Data!C434</f>
        <v>4022.3253514105836</v>
      </c>
      <c r="K437" s="23">
        <f>$B$6*Data!F435/Data!F434</f>
        <v>2988.3419370186452</v>
      </c>
      <c r="L437" s="23">
        <f>$B$7*Data!I435/Data!I434</f>
        <v>1001.1362360934788</v>
      </c>
      <c r="M437" s="23">
        <f>$B$8*Data!L435/Data!L434</f>
        <v>2002.5274942138481</v>
      </c>
      <c r="N437" s="23">
        <f t="shared" si="26"/>
        <v>10014.331018736557</v>
      </c>
      <c r="O437" s="23">
        <f t="shared" si="27"/>
        <v>14.331018736556871</v>
      </c>
      <c r="P437" s="23">
        <f t="shared" si="28"/>
        <v>-14.331018736556871</v>
      </c>
      <c r="W437" s="37"/>
    </row>
    <row r="438" spans="9:23" x14ac:dyDescent="0.3">
      <c r="I438">
        <v>434</v>
      </c>
      <c r="J438" s="23">
        <f>$B$5*Data!C436/Data!C435</f>
        <v>3996.6703791316404</v>
      </c>
      <c r="K438" s="23">
        <f>$B$6*Data!F436/Data!F435</f>
        <v>2986.667051665826</v>
      </c>
      <c r="L438" s="23">
        <f>$B$7*Data!I436/Data!I435</f>
        <v>997.40757409148193</v>
      </c>
      <c r="M438" s="23">
        <f>$B$8*Data!L436/Data!L435</f>
        <v>1995.9273840534022</v>
      </c>
      <c r="N438" s="23">
        <f t="shared" si="26"/>
        <v>9976.6723889423502</v>
      </c>
      <c r="O438" s="23">
        <f t="shared" si="27"/>
        <v>-23.327611057649847</v>
      </c>
      <c r="P438" s="23">
        <f t="shared" si="28"/>
        <v>23.327611057649847</v>
      </c>
      <c r="W438" s="37"/>
    </row>
    <row r="439" spans="9:23" x14ac:dyDescent="0.3">
      <c r="I439">
        <v>435</v>
      </c>
      <c r="J439" s="23">
        <f>$B$5*Data!C437/Data!C436</f>
        <v>4013.0134806965161</v>
      </c>
      <c r="K439" s="23">
        <f>$B$6*Data!F437/Data!F436</f>
        <v>3026.8875456415076</v>
      </c>
      <c r="L439" s="23">
        <f>$B$7*Data!I437/Data!I436</f>
        <v>999.52998807991708</v>
      </c>
      <c r="M439" s="23">
        <f>$B$8*Data!L437/Data!L436</f>
        <v>2039.6432758849899</v>
      </c>
      <c r="N439" s="23">
        <f t="shared" si="26"/>
        <v>10079.074290302931</v>
      </c>
      <c r="O439" s="23">
        <f t="shared" si="27"/>
        <v>79.074290302931331</v>
      </c>
      <c r="P439" s="23">
        <f t="shared" si="28"/>
        <v>-79.074290302931331</v>
      </c>
      <c r="W439" s="37"/>
    </row>
    <row r="440" spans="9:23" x14ac:dyDescent="0.3">
      <c r="I440">
        <v>436</v>
      </c>
      <c r="J440" s="23">
        <f>$B$5*Data!C438/Data!C437</f>
        <v>3987.9085576665875</v>
      </c>
      <c r="K440" s="23">
        <f>$B$6*Data!F438/Data!F437</f>
        <v>3021.6346389969062</v>
      </c>
      <c r="L440" s="23">
        <f>$B$7*Data!I438/Data!I437</f>
        <v>997.6230277845591</v>
      </c>
      <c r="M440" s="23">
        <f>$B$8*Data!L438/Data!L437</f>
        <v>2002.9730609944486</v>
      </c>
      <c r="N440" s="23">
        <f t="shared" si="26"/>
        <v>10010.139285442501</v>
      </c>
      <c r="O440" s="23">
        <f t="shared" si="27"/>
        <v>10.139285442501205</v>
      </c>
      <c r="P440" s="23">
        <f t="shared" si="28"/>
        <v>-10.139285442501205</v>
      </c>
      <c r="W440" s="37"/>
    </row>
    <row r="441" spans="9:23" x14ac:dyDescent="0.3">
      <c r="I441">
        <v>437</v>
      </c>
      <c r="J441" s="23">
        <f>$B$5*Data!C439/Data!C438</f>
        <v>4038.6492479884164</v>
      </c>
      <c r="K441" s="23">
        <f>$B$6*Data!F439/Data!F438</f>
        <v>3049.4311988507666</v>
      </c>
      <c r="L441" s="23">
        <f>$B$7*Data!I439/Data!I438</f>
        <v>1010.3181445277928</v>
      </c>
      <c r="M441" s="23">
        <f>$B$8*Data!L439/Data!L438</f>
        <v>2013.2747879393237</v>
      </c>
      <c r="N441" s="23">
        <f t="shared" si="26"/>
        <v>10111.673379306299</v>
      </c>
      <c r="O441" s="23">
        <f t="shared" si="27"/>
        <v>111.67337930629947</v>
      </c>
      <c r="P441" s="23">
        <f t="shared" si="28"/>
        <v>-111.67337930629947</v>
      </c>
      <c r="W441" s="37"/>
    </row>
    <row r="442" spans="9:23" x14ac:dyDescent="0.3">
      <c r="I442">
        <v>438</v>
      </c>
      <c r="J442" s="23">
        <f>$B$5*Data!C440/Data!C439</f>
        <v>4014.8163569533631</v>
      </c>
      <c r="K442" s="23">
        <f>$B$6*Data!F440/Data!F439</f>
        <v>3014.821736374317</v>
      </c>
      <c r="L442" s="23">
        <f>$B$7*Data!I440/Data!I439</f>
        <v>1013.6107381958273</v>
      </c>
      <c r="M442" s="23">
        <f>$B$8*Data!L440/Data!L439</f>
        <v>1995.4282925921775</v>
      </c>
      <c r="N442" s="23">
        <f t="shared" si="26"/>
        <v>10038.677124115684</v>
      </c>
      <c r="O442" s="23">
        <f t="shared" si="27"/>
        <v>38.67712411568391</v>
      </c>
      <c r="P442" s="23">
        <f t="shared" si="28"/>
        <v>-38.67712411568391</v>
      </c>
      <c r="W442" s="37"/>
    </row>
    <row r="443" spans="9:23" x14ac:dyDescent="0.3">
      <c r="I443">
        <v>439</v>
      </c>
      <c r="J443" s="23">
        <f>$B$5*Data!C441/Data!C440</f>
        <v>3995.2572022905256</v>
      </c>
      <c r="K443" s="23">
        <f>$B$6*Data!F441/Data!F440</f>
        <v>3000.5678746750023</v>
      </c>
      <c r="L443" s="23">
        <f>$B$7*Data!I441/Data!I440</f>
        <v>1002.8165716572107</v>
      </c>
      <c r="M443" s="23">
        <f>$B$8*Data!L441/Data!L440</f>
        <v>1998.7568601285896</v>
      </c>
      <c r="N443" s="23">
        <f t="shared" si="26"/>
        <v>9997.3985087513283</v>
      </c>
      <c r="O443" s="23">
        <f t="shared" si="27"/>
        <v>-2.6014912486716639</v>
      </c>
      <c r="P443" s="23">
        <f t="shared" si="28"/>
        <v>2.6014912486716639</v>
      </c>
      <c r="W443" s="37"/>
    </row>
    <row r="444" spans="9:23" x14ac:dyDescent="0.3">
      <c r="I444">
        <v>440</v>
      </c>
      <c r="J444" s="23">
        <f>$B$5*Data!C442/Data!C441</f>
        <v>4002.8099887697445</v>
      </c>
      <c r="K444" s="23">
        <f>$B$6*Data!F442/Data!F441</f>
        <v>3017.1828418174646</v>
      </c>
      <c r="L444" s="23">
        <f>$B$7*Data!I442/Data!I441</f>
        <v>998.97539392366991</v>
      </c>
      <c r="M444" s="23">
        <f>$B$8*Data!L442/Data!L441</f>
        <v>2007.5561586829444</v>
      </c>
      <c r="N444" s="23">
        <f t="shared" si="26"/>
        <v>10026.524383193824</v>
      </c>
      <c r="O444" s="23">
        <f t="shared" si="27"/>
        <v>26.524383193824178</v>
      </c>
      <c r="P444" s="23">
        <f t="shared" si="28"/>
        <v>-26.524383193824178</v>
      </c>
      <c r="W444" s="37"/>
    </row>
    <row r="445" spans="9:23" x14ac:dyDescent="0.3">
      <c r="I445">
        <v>441</v>
      </c>
      <c r="J445" s="23">
        <f>$B$5*Data!C443/Data!C442</f>
        <v>4010.9203815948194</v>
      </c>
      <c r="K445" s="23">
        <f>$B$6*Data!F443/Data!F442</f>
        <v>2978.8751153313124</v>
      </c>
      <c r="L445" s="23">
        <f>$B$7*Data!I443/Data!I442</f>
        <v>1003.5102280914139</v>
      </c>
      <c r="M445" s="23">
        <f>$B$8*Data!L443/Data!L442</f>
        <v>2001.1109378404894</v>
      </c>
      <c r="N445" s="23">
        <f t="shared" si="26"/>
        <v>9994.4166628580351</v>
      </c>
      <c r="O445" s="23">
        <f t="shared" si="27"/>
        <v>-5.5833371419648756</v>
      </c>
      <c r="P445" s="23">
        <f t="shared" si="28"/>
        <v>5.5833371419648756</v>
      </c>
      <c r="W445" s="37"/>
    </row>
    <row r="446" spans="9:23" x14ac:dyDescent="0.3">
      <c r="I446">
        <v>442</v>
      </c>
      <c r="J446" s="23">
        <f>$B$5*Data!C444/Data!C443</f>
        <v>4010.2427037309017</v>
      </c>
      <c r="K446" s="23">
        <f>$B$6*Data!F444/Data!F443</f>
        <v>2921.3859000798452</v>
      </c>
      <c r="L446" s="23">
        <f>$B$7*Data!I444/Data!I443</f>
        <v>995.05780795578573</v>
      </c>
      <c r="M446" s="23">
        <f>$B$8*Data!L444/Data!L443</f>
        <v>2004.3406437645085</v>
      </c>
      <c r="N446" s="23">
        <f t="shared" si="26"/>
        <v>9931.0270555310399</v>
      </c>
      <c r="O446" s="23">
        <f t="shared" si="27"/>
        <v>-68.972944468960122</v>
      </c>
      <c r="P446" s="23">
        <f t="shared" si="28"/>
        <v>68.972944468960122</v>
      </c>
      <c r="W446" s="37"/>
    </row>
    <row r="447" spans="9:23" x14ac:dyDescent="0.3">
      <c r="I447">
        <v>443</v>
      </c>
      <c r="J447" s="23">
        <f>$B$5*Data!C445/Data!C444</f>
        <v>3992.1501314587044</v>
      </c>
      <c r="K447" s="23">
        <f>$B$6*Data!F445/Data!F444</f>
        <v>3015.4563260398604</v>
      </c>
      <c r="L447" s="23">
        <f>$B$7*Data!I445/Data!I444</f>
        <v>995.91513340868858</v>
      </c>
      <c r="M447" s="23">
        <f>$B$8*Data!L445/Data!L444</f>
        <v>2016.4506157476126</v>
      </c>
      <c r="N447" s="23">
        <f t="shared" si="26"/>
        <v>10019.972206654866</v>
      </c>
      <c r="O447" s="23">
        <f t="shared" si="27"/>
        <v>19.972206654865658</v>
      </c>
      <c r="P447" s="23">
        <f t="shared" si="28"/>
        <v>-19.972206654865658</v>
      </c>
      <c r="W447" s="37"/>
    </row>
    <row r="448" spans="9:23" x14ac:dyDescent="0.3">
      <c r="I448">
        <v>444</v>
      </c>
      <c r="J448" s="23">
        <f>$B$5*Data!C446/Data!C445</f>
        <v>4006.2585841760842</v>
      </c>
      <c r="K448" s="23">
        <f>$B$6*Data!F446/Data!F445</f>
        <v>2945.2636323925094</v>
      </c>
      <c r="L448" s="23">
        <f>$B$7*Data!I446/Data!I445</f>
        <v>1003.9002566146504</v>
      </c>
      <c r="M448" s="23">
        <f>$B$8*Data!L446/Data!L445</f>
        <v>2009.7359047102584</v>
      </c>
      <c r="N448" s="23">
        <f t="shared" si="26"/>
        <v>9965.1583778935019</v>
      </c>
      <c r="O448" s="23">
        <f t="shared" si="27"/>
        <v>-34.841622106498107</v>
      </c>
      <c r="P448" s="23">
        <f t="shared" si="28"/>
        <v>34.841622106498107</v>
      </c>
      <c r="W448" s="37"/>
    </row>
    <row r="449" spans="9:23" x14ac:dyDescent="0.3">
      <c r="I449">
        <v>445</v>
      </c>
      <c r="J449" s="23">
        <f>$B$5*Data!C447/Data!C446</f>
        <v>4002.8461381408933</v>
      </c>
      <c r="K449" s="23">
        <f>$B$6*Data!F447/Data!F446</f>
        <v>2972.0258341558865</v>
      </c>
      <c r="L449" s="23">
        <f>$B$7*Data!I447/Data!I446</f>
        <v>997.15182893606641</v>
      </c>
      <c r="M449" s="23">
        <f>$B$8*Data!L447/Data!L446</f>
        <v>1987.5251063624937</v>
      </c>
      <c r="N449" s="23">
        <f t="shared" si="26"/>
        <v>9959.548907595341</v>
      </c>
      <c r="O449" s="23">
        <f t="shared" si="27"/>
        <v>-40.451092404658993</v>
      </c>
      <c r="P449" s="23">
        <f t="shared" si="28"/>
        <v>40.451092404658993</v>
      </c>
      <c r="W449" s="37"/>
    </row>
    <row r="450" spans="9:23" x14ac:dyDescent="0.3">
      <c r="I450">
        <v>446</v>
      </c>
      <c r="J450" s="23">
        <f>$B$5*Data!C448/Data!C447</f>
        <v>4003.348171280727</v>
      </c>
      <c r="K450" s="23">
        <f>$B$6*Data!F448/Data!F447</f>
        <v>3000.3385585070023</v>
      </c>
      <c r="L450" s="23">
        <f>$B$7*Data!I448/Data!I447</f>
        <v>994.15622237591663</v>
      </c>
      <c r="M450" s="23">
        <f>$B$8*Data!L448/Data!L447</f>
        <v>1977.0086456005406</v>
      </c>
      <c r="N450" s="23">
        <f t="shared" si="26"/>
        <v>9974.8515977641855</v>
      </c>
      <c r="O450" s="23">
        <f t="shared" si="27"/>
        <v>-25.148402235814501</v>
      </c>
      <c r="P450" s="23">
        <f t="shared" si="28"/>
        <v>25.148402235814501</v>
      </c>
      <c r="W450" s="37"/>
    </row>
    <row r="451" spans="9:23" x14ac:dyDescent="0.3">
      <c r="I451">
        <v>447</v>
      </c>
      <c r="J451" s="23">
        <f>$B$5*Data!C449/Data!C448</f>
        <v>4030.7819518642809</v>
      </c>
      <c r="K451" s="23">
        <f>$B$6*Data!F449/Data!F448</f>
        <v>3040.3883005933685</v>
      </c>
      <c r="L451" s="23">
        <f>$B$7*Data!I449/Data!I448</f>
        <v>1003.7551393732889</v>
      </c>
      <c r="M451" s="23">
        <f>$B$8*Data!L449/Data!L448</f>
        <v>1974.9462590614919</v>
      </c>
      <c r="N451" s="23">
        <f t="shared" si="26"/>
        <v>10049.87165089243</v>
      </c>
      <c r="O451" s="23">
        <f t="shared" si="27"/>
        <v>49.871650892429898</v>
      </c>
      <c r="P451" s="23">
        <f t="shared" si="28"/>
        <v>-49.871650892429898</v>
      </c>
      <c r="W451" s="37"/>
    </row>
    <row r="452" spans="9:23" x14ac:dyDescent="0.3">
      <c r="I452">
        <v>448</v>
      </c>
      <c r="J452" s="23">
        <f>$B$5*Data!C450/Data!C449</f>
        <v>4002.0126109863586</v>
      </c>
      <c r="K452" s="23">
        <f>$B$6*Data!F450/Data!F449</f>
        <v>3050.3155423955072</v>
      </c>
      <c r="L452" s="23">
        <f>$B$7*Data!I450/Data!I449</f>
        <v>999.37103362288019</v>
      </c>
      <c r="M452" s="23">
        <f>$B$8*Data!L450/Data!L449</f>
        <v>2012.2518113649348</v>
      </c>
      <c r="N452" s="23">
        <f t="shared" si="26"/>
        <v>10063.950998369681</v>
      </c>
      <c r="O452" s="23">
        <f t="shared" si="27"/>
        <v>63.950998369680747</v>
      </c>
      <c r="P452" s="23">
        <f t="shared" si="28"/>
        <v>-63.950998369680747</v>
      </c>
      <c r="W452" s="37"/>
    </row>
    <row r="453" spans="9:23" x14ac:dyDescent="0.3">
      <c r="I453">
        <v>449</v>
      </c>
      <c r="J453" s="23">
        <f>$B$5*Data!C451/Data!C450</f>
        <v>3997.6296230557491</v>
      </c>
      <c r="K453" s="23">
        <f>$B$6*Data!F451/Data!F450</f>
        <v>2977.3906133380306</v>
      </c>
      <c r="L453" s="23">
        <f>$B$7*Data!I451/Data!I450</f>
        <v>1003.7020721710312</v>
      </c>
      <c r="M453" s="23">
        <f>$B$8*Data!L451/Data!L450</f>
        <v>2004.7712271359187</v>
      </c>
      <c r="N453" s="23">
        <f t="shared" si="26"/>
        <v>9983.4935357007307</v>
      </c>
      <c r="O453" s="23">
        <f t="shared" si="27"/>
        <v>-16.506464299269282</v>
      </c>
      <c r="P453" s="23">
        <f t="shared" si="28"/>
        <v>16.506464299269282</v>
      </c>
      <c r="W453" s="37"/>
    </row>
    <row r="454" spans="9:23" x14ac:dyDescent="0.3">
      <c r="I454">
        <v>450</v>
      </c>
      <c r="J454" s="23">
        <f>$B$5*Data!C452/Data!C451</f>
        <v>3984.9752626381551</v>
      </c>
      <c r="K454" s="23">
        <f>$B$6*Data!F452/Data!F451</f>
        <v>2952.8373383817525</v>
      </c>
      <c r="L454" s="23">
        <f>$B$7*Data!I452/Data!I451</f>
        <v>997.39758238785737</v>
      </c>
      <c r="M454" s="23">
        <f>$B$8*Data!L452/Data!L451</f>
        <v>1994.7800585814821</v>
      </c>
      <c r="N454" s="23">
        <f t="shared" ref="N454:N504" si="29">SUM(J454:M454)</f>
        <v>9929.990241989246</v>
      </c>
      <c r="O454" s="23">
        <f t="shared" ref="O454:O504" si="30">N454-$B$9</f>
        <v>-70.009758010754013</v>
      </c>
      <c r="P454" s="23">
        <f t="shared" ref="P454:P504" si="31">-O454</f>
        <v>70.009758010754013</v>
      </c>
      <c r="W454" s="37"/>
    </row>
    <row r="455" spans="9:23" x14ac:dyDescent="0.3">
      <c r="I455">
        <v>451</v>
      </c>
      <c r="J455" s="23">
        <f>$B$5*Data!C453/Data!C452</f>
        <v>3993.6689909965353</v>
      </c>
      <c r="K455" s="23">
        <f>$B$6*Data!F453/Data!F452</f>
        <v>3014.5312800193155</v>
      </c>
      <c r="L455" s="23">
        <f>$B$7*Data!I453/Data!I452</f>
        <v>998.6269205954876</v>
      </c>
      <c r="M455" s="23">
        <f>$B$8*Data!L453/Data!L452</f>
        <v>2022.5335073749668</v>
      </c>
      <c r="N455" s="23">
        <f t="shared" si="29"/>
        <v>10029.360698986306</v>
      </c>
      <c r="O455" s="23">
        <f t="shared" si="30"/>
        <v>29.360698986305579</v>
      </c>
      <c r="P455" s="23">
        <f t="shared" si="31"/>
        <v>-29.360698986305579</v>
      </c>
      <c r="W455" s="37"/>
    </row>
    <row r="456" spans="9:23" x14ac:dyDescent="0.3">
      <c r="I456">
        <v>452</v>
      </c>
      <c r="J456" s="23">
        <f>$B$5*Data!C454/Data!C453</f>
        <v>4008.6997427649426</v>
      </c>
      <c r="K456" s="23">
        <f>$B$6*Data!F454/Data!F453</f>
        <v>3044.8908952895995</v>
      </c>
      <c r="L456" s="23">
        <f>$B$7*Data!I454/Data!I453</f>
        <v>1001.2691236210402</v>
      </c>
      <c r="M456" s="23">
        <f>$B$8*Data!L454/Data!L453</f>
        <v>2007.8065314752075</v>
      </c>
      <c r="N456" s="23">
        <f t="shared" si="29"/>
        <v>10062.666293150789</v>
      </c>
      <c r="O456" s="23">
        <f t="shared" si="30"/>
        <v>62.666293150788988</v>
      </c>
      <c r="P456" s="23">
        <f t="shared" si="31"/>
        <v>-62.666293150788988</v>
      </c>
      <c r="W456" s="37"/>
    </row>
    <row r="457" spans="9:23" x14ac:dyDescent="0.3">
      <c r="I457">
        <v>453</v>
      </c>
      <c r="J457" s="23">
        <f>$B$5*Data!C455/Data!C454</f>
        <v>4030.0291660355988</v>
      </c>
      <c r="K457" s="23">
        <f>$B$6*Data!F455/Data!F454</f>
        <v>2991.2067173153046</v>
      </c>
      <c r="L457" s="23">
        <f>$B$7*Data!I455/Data!I454</f>
        <v>1005.363481964075</v>
      </c>
      <c r="M457" s="23">
        <f>$B$8*Data!L455/Data!L454</f>
        <v>2046.9088060754493</v>
      </c>
      <c r="N457" s="23">
        <f t="shared" si="29"/>
        <v>10073.508171390427</v>
      </c>
      <c r="O457" s="23">
        <f t="shared" si="30"/>
        <v>73.508171390427378</v>
      </c>
      <c r="P457" s="23">
        <f t="shared" si="31"/>
        <v>-73.508171390427378</v>
      </c>
      <c r="W457" s="37"/>
    </row>
    <row r="458" spans="9:23" x14ac:dyDescent="0.3">
      <c r="I458">
        <v>454</v>
      </c>
      <c r="J458" s="23">
        <f>$B$5*Data!C456/Data!C455</f>
        <v>4008.782281608514</v>
      </c>
      <c r="K458" s="23">
        <f>$B$6*Data!F456/Data!F455</f>
        <v>3004.4675853368244</v>
      </c>
      <c r="L458" s="23">
        <f>$B$7*Data!I456/Data!I455</f>
        <v>995.44820250767953</v>
      </c>
      <c r="M458" s="23">
        <f>$B$8*Data!L456/Data!L455</f>
        <v>1997.0954710727945</v>
      </c>
      <c r="N458" s="23">
        <f t="shared" si="29"/>
        <v>10005.793540525812</v>
      </c>
      <c r="O458" s="23">
        <f t="shared" si="30"/>
        <v>5.7935405258122046</v>
      </c>
      <c r="P458" s="23">
        <f t="shared" si="31"/>
        <v>-5.7935405258122046</v>
      </c>
      <c r="W458" s="37"/>
    </row>
    <row r="459" spans="9:23" x14ac:dyDescent="0.3">
      <c r="I459">
        <v>455</v>
      </c>
      <c r="J459" s="23">
        <f>$B$5*Data!C457/Data!C456</f>
        <v>4016.6976970903056</v>
      </c>
      <c r="K459" s="23">
        <f>$B$6*Data!F457/Data!F456</f>
        <v>2993.2919569266155</v>
      </c>
      <c r="L459" s="23">
        <f>$B$7*Data!I457/Data!I456</f>
        <v>1002.9155141643882</v>
      </c>
      <c r="M459" s="23">
        <f>$B$8*Data!L457/Data!L456</f>
        <v>1982.4254532410173</v>
      </c>
      <c r="N459" s="23">
        <f t="shared" si="29"/>
        <v>9995.3306214223267</v>
      </c>
      <c r="O459" s="23">
        <f t="shared" si="30"/>
        <v>-4.6693785776733421</v>
      </c>
      <c r="P459" s="23">
        <f t="shared" si="31"/>
        <v>4.6693785776733421</v>
      </c>
      <c r="W459" s="37"/>
    </row>
    <row r="460" spans="9:23" x14ac:dyDescent="0.3">
      <c r="I460">
        <v>456</v>
      </c>
      <c r="J460" s="23">
        <f>$B$5*Data!C458/Data!C457</f>
        <v>3983.9551203288747</v>
      </c>
      <c r="K460" s="23">
        <f>$B$6*Data!F458/Data!F457</f>
        <v>2938.9552629415848</v>
      </c>
      <c r="L460" s="23">
        <f>$B$7*Data!I458/Data!I457</f>
        <v>998.14522879215815</v>
      </c>
      <c r="M460" s="23">
        <f>$B$8*Data!L458/Data!L457</f>
        <v>1969.2708592251588</v>
      </c>
      <c r="N460" s="23">
        <f t="shared" si="29"/>
        <v>9890.3264712877772</v>
      </c>
      <c r="O460" s="23">
        <f t="shared" si="30"/>
        <v>-109.67352871222283</v>
      </c>
      <c r="P460" s="23">
        <f t="shared" si="31"/>
        <v>109.67352871222283</v>
      </c>
      <c r="W460" s="37"/>
    </row>
    <row r="461" spans="9:23" x14ac:dyDescent="0.3">
      <c r="I461">
        <v>457</v>
      </c>
      <c r="J461" s="23">
        <f>$B$5*Data!C459/Data!C458</f>
        <v>3965.4759174873825</v>
      </c>
      <c r="K461" s="23">
        <f>$B$6*Data!F459/Data!F458</f>
        <v>3011.1852244599813</v>
      </c>
      <c r="L461" s="23">
        <f>$B$7*Data!I459/Data!I458</f>
        <v>997.58278622876151</v>
      </c>
      <c r="M461" s="23">
        <f>$B$8*Data!L459/Data!L458</f>
        <v>2017.2035811587477</v>
      </c>
      <c r="N461" s="23">
        <f t="shared" si="29"/>
        <v>9991.4475093348738</v>
      </c>
      <c r="O461" s="23">
        <f t="shared" si="30"/>
        <v>-8.5524906651262427</v>
      </c>
      <c r="P461" s="23">
        <f t="shared" si="31"/>
        <v>8.5524906651262427</v>
      </c>
      <c r="W461" s="37"/>
    </row>
    <row r="462" spans="9:23" x14ac:dyDescent="0.3">
      <c r="I462">
        <v>458</v>
      </c>
      <c r="J462" s="23">
        <f>$B$5*Data!C460/Data!C459</f>
        <v>3973.4476195559314</v>
      </c>
      <c r="K462" s="23">
        <f>$B$6*Data!F460/Data!F459</f>
        <v>2993.9398200570968</v>
      </c>
      <c r="L462" s="23">
        <f>$B$7*Data!I460/Data!I459</f>
        <v>984.19121810605577</v>
      </c>
      <c r="M462" s="23">
        <f>$B$8*Data!L460/Data!L459</f>
        <v>1969.9525097044316</v>
      </c>
      <c r="N462" s="23">
        <f t="shared" si="29"/>
        <v>9921.5311674235163</v>
      </c>
      <c r="O462" s="23">
        <f t="shared" si="30"/>
        <v>-78.468832576483692</v>
      </c>
      <c r="P462" s="23">
        <f t="shared" si="31"/>
        <v>78.468832576483692</v>
      </c>
      <c r="W462" s="37"/>
    </row>
    <row r="463" spans="9:23" x14ac:dyDescent="0.3">
      <c r="I463">
        <v>459</v>
      </c>
      <c r="J463" s="23">
        <f>$B$5*Data!C461/Data!C460</f>
        <v>4025.2942704123298</v>
      </c>
      <c r="K463" s="23">
        <f>$B$6*Data!F461/Data!F460</f>
        <v>2962.6308414964519</v>
      </c>
      <c r="L463" s="23">
        <f>$B$7*Data!I461/Data!I460</f>
        <v>1002.3513630004092</v>
      </c>
      <c r="M463" s="23">
        <f>$B$8*Data!L461/Data!L460</f>
        <v>1982.7552257858508</v>
      </c>
      <c r="N463" s="23">
        <f t="shared" si="29"/>
        <v>9973.0317006950427</v>
      </c>
      <c r="O463" s="23">
        <f t="shared" si="30"/>
        <v>-26.968299304957327</v>
      </c>
      <c r="P463" s="23">
        <f t="shared" si="31"/>
        <v>26.968299304957327</v>
      </c>
      <c r="W463" s="37"/>
    </row>
    <row r="464" spans="9:23" x14ac:dyDescent="0.3">
      <c r="I464">
        <v>460</v>
      </c>
      <c r="J464" s="23">
        <f>$B$5*Data!C462/Data!C461</f>
        <v>4006.0010048766981</v>
      </c>
      <c r="K464" s="23">
        <f>$B$6*Data!F462/Data!F461</f>
        <v>3017.7816583740596</v>
      </c>
      <c r="L464" s="23">
        <f>$B$7*Data!I462/Data!I461</f>
        <v>1014.6647413888169</v>
      </c>
      <c r="M464" s="23">
        <f>$B$8*Data!L462/Data!L461</f>
        <v>2009.2115066805281</v>
      </c>
      <c r="N464" s="23">
        <f t="shared" si="29"/>
        <v>10047.658911320103</v>
      </c>
      <c r="O464" s="23">
        <f t="shared" si="30"/>
        <v>47.658911320102561</v>
      </c>
      <c r="P464" s="23">
        <f t="shared" si="31"/>
        <v>-47.658911320102561</v>
      </c>
      <c r="W464" s="37"/>
    </row>
    <row r="465" spans="9:23" x14ac:dyDescent="0.3">
      <c r="I465">
        <v>461</v>
      </c>
      <c r="J465" s="23">
        <f>$B$5*Data!C463/Data!C462</f>
        <v>4036.5428967081593</v>
      </c>
      <c r="K465" s="23">
        <f>$B$6*Data!F463/Data!F462</f>
        <v>3032.1924314935745</v>
      </c>
      <c r="L465" s="23">
        <f>$B$7*Data!I463/Data!I462</f>
        <v>996.87576500712862</v>
      </c>
      <c r="M465" s="23">
        <f>$B$8*Data!L463/Data!L462</f>
        <v>2009.8774542321553</v>
      </c>
      <c r="N465" s="23">
        <f t="shared" si="29"/>
        <v>10075.488547441018</v>
      </c>
      <c r="O465" s="23">
        <f t="shared" si="30"/>
        <v>75.488547441018454</v>
      </c>
      <c r="P465" s="23">
        <f t="shared" si="31"/>
        <v>-75.488547441018454</v>
      </c>
      <c r="W465" s="37"/>
    </row>
    <row r="466" spans="9:23" x14ac:dyDescent="0.3">
      <c r="I466">
        <v>462</v>
      </c>
      <c r="J466" s="23">
        <f>$B$5*Data!C464/Data!C463</f>
        <v>3987.3487146443117</v>
      </c>
      <c r="K466" s="23">
        <f>$B$6*Data!F464/Data!F463</f>
        <v>3003.4435611474983</v>
      </c>
      <c r="L466" s="23">
        <f>$B$7*Data!I464/Data!I463</f>
        <v>1007.837586612736</v>
      </c>
      <c r="M466" s="23">
        <f>$B$8*Data!L464/Data!L463</f>
        <v>1995.962557516584</v>
      </c>
      <c r="N466" s="23">
        <f t="shared" si="29"/>
        <v>9994.5924199211295</v>
      </c>
      <c r="O466" s="23">
        <f t="shared" si="30"/>
        <v>-5.4075800788705237</v>
      </c>
      <c r="P466" s="23">
        <f t="shared" si="31"/>
        <v>5.4075800788705237</v>
      </c>
      <c r="W466" s="37"/>
    </row>
    <row r="467" spans="9:23" x14ac:dyDescent="0.3">
      <c r="I467">
        <v>463</v>
      </c>
      <c r="J467" s="23">
        <f>$B$5*Data!C465/Data!C464</f>
        <v>3995.6122641324755</v>
      </c>
      <c r="K467" s="23">
        <f>$B$6*Data!F465/Data!F464</f>
        <v>2993.4200506699258</v>
      </c>
      <c r="L467" s="23">
        <f>$B$7*Data!I465/Data!I464</f>
        <v>995.01143966193649</v>
      </c>
      <c r="M467" s="23">
        <f>$B$8*Data!L465/Data!L464</f>
        <v>1998.0646442302434</v>
      </c>
      <c r="N467" s="23">
        <f t="shared" si="29"/>
        <v>9982.1083986945814</v>
      </c>
      <c r="O467" s="23">
        <f t="shared" si="30"/>
        <v>-17.89160130541859</v>
      </c>
      <c r="P467" s="23">
        <f t="shared" si="31"/>
        <v>17.89160130541859</v>
      </c>
      <c r="W467" s="37"/>
    </row>
    <row r="468" spans="9:23" x14ac:dyDescent="0.3">
      <c r="I468">
        <v>464</v>
      </c>
      <c r="J468" s="23">
        <f>$B$5*Data!C466/Data!C465</f>
        <v>4011.6326318003867</v>
      </c>
      <c r="K468" s="23">
        <f>$B$6*Data!F466/Data!F465</f>
        <v>3023.6956033469683</v>
      </c>
      <c r="L468" s="23">
        <f>$B$7*Data!I466/Data!I465</f>
        <v>999.40057252094846</v>
      </c>
      <c r="M468" s="23">
        <f>$B$8*Data!L466/Data!L465</f>
        <v>2000.8379728652026</v>
      </c>
      <c r="N468" s="23">
        <f t="shared" si="29"/>
        <v>10035.566780533507</v>
      </c>
      <c r="O468" s="23">
        <f t="shared" si="30"/>
        <v>35.566780533506972</v>
      </c>
      <c r="P468" s="23">
        <f t="shared" si="31"/>
        <v>-35.566780533506972</v>
      </c>
      <c r="W468" s="37"/>
    </row>
    <row r="469" spans="9:23" x14ac:dyDescent="0.3">
      <c r="I469">
        <v>465</v>
      </c>
      <c r="J469" s="23">
        <f>$B$5*Data!C467/Data!C466</f>
        <v>4034.300902402003</v>
      </c>
      <c r="K469" s="23">
        <f>$B$6*Data!F467/Data!F466</f>
        <v>3039.2612475478727</v>
      </c>
      <c r="L469" s="23">
        <f>$B$7*Data!I467/Data!I466</f>
        <v>1006.2674138373104</v>
      </c>
      <c r="M469" s="23">
        <f>$B$8*Data!L467/Data!L466</f>
        <v>2012.8751765055792</v>
      </c>
      <c r="N469" s="23">
        <f t="shared" si="29"/>
        <v>10092.704740292766</v>
      </c>
      <c r="O469" s="23">
        <f t="shared" si="30"/>
        <v>92.704740292765564</v>
      </c>
      <c r="P469" s="23">
        <f t="shared" si="31"/>
        <v>-92.704740292765564</v>
      </c>
      <c r="W469" s="37"/>
    </row>
    <row r="470" spans="9:23" x14ac:dyDescent="0.3">
      <c r="I470">
        <v>466</v>
      </c>
      <c r="J470" s="23">
        <f>$B$5*Data!C468/Data!C467</f>
        <v>4000.2903278072627</v>
      </c>
      <c r="K470" s="23">
        <f>$B$6*Data!F468/Data!F467</f>
        <v>3077.0855220733661</v>
      </c>
      <c r="L470" s="23">
        <f>$B$7*Data!I468/Data!I467</f>
        <v>1003.0810012856433</v>
      </c>
      <c r="M470" s="23">
        <f>$B$8*Data!L468/Data!L467</f>
        <v>2042.5338999309331</v>
      </c>
      <c r="N470" s="23">
        <f t="shared" si="29"/>
        <v>10122.990751097206</v>
      </c>
      <c r="O470" s="23">
        <f t="shared" si="30"/>
        <v>122.99075109720616</v>
      </c>
      <c r="P470" s="23">
        <f t="shared" si="31"/>
        <v>-122.99075109720616</v>
      </c>
      <c r="W470" s="37"/>
    </row>
    <row r="471" spans="9:23" x14ac:dyDescent="0.3">
      <c r="I471">
        <v>467</v>
      </c>
      <c r="J471" s="23">
        <f>$B$5*Data!C469/Data!C468</f>
        <v>4028.5911406838659</v>
      </c>
      <c r="K471" s="23">
        <f>$B$6*Data!F469/Data!F468</f>
        <v>2980.5325612994557</v>
      </c>
      <c r="L471" s="23">
        <f>$B$7*Data!I469/Data!I468</f>
        <v>1005.0714634375412</v>
      </c>
      <c r="M471" s="23">
        <f>$B$8*Data!L469/Data!L468</f>
        <v>1992.8179553492107</v>
      </c>
      <c r="N471" s="23">
        <f t="shared" si="29"/>
        <v>10007.013120770072</v>
      </c>
      <c r="O471" s="23">
        <f t="shared" si="30"/>
        <v>7.013120770072419</v>
      </c>
      <c r="P471" s="23">
        <f t="shared" si="31"/>
        <v>-7.013120770072419</v>
      </c>
      <c r="W471" s="37"/>
    </row>
    <row r="472" spans="9:23" x14ac:dyDescent="0.3">
      <c r="I472">
        <v>468</v>
      </c>
      <c r="J472" s="23">
        <f>$B$5*Data!C470/Data!C469</f>
        <v>4001.3411697083511</v>
      </c>
      <c r="K472" s="23">
        <f>$B$6*Data!F470/Data!F469</f>
        <v>3036.6024426890408</v>
      </c>
      <c r="L472" s="23">
        <f>$B$7*Data!I470/Data!I469</f>
        <v>1004.9599146727654</v>
      </c>
      <c r="M472" s="23">
        <f>$B$8*Data!L470/Data!L469</f>
        <v>1989.4304356886316</v>
      </c>
      <c r="N472" s="23">
        <f t="shared" si="29"/>
        <v>10032.333962758788</v>
      </c>
      <c r="O472" s="23">
        <f t="shared" si="30"/>
        <v>32.333962758788402</v>
      </c>
      <c r="P472" s="23">
        <f t="shared" si="31"/>
        <v>-32.333962758788402</v>
      </c>
      <c r="W472" s="37"/>
    </row>
    <row r="473" spans="9:23" x14ac:dyDescent="0.3">
      <c r="I473">
        <v>469</v>
      </c>
      <c r="J473" s="23">
        <f>$B$5*Data!C471/Data!C470</f>
        <v>3998.2707992540641</v>
      </c>
      <c r="K473" s="23">
        <f>$B$6*Data!F471/Data!F470</f>
        <v>3004.3636424853908</v>
      </c>
      <c r="L473" s="23">
        <f>$B$7*Data!I471/Data!I470</f>
        <v>992.583835833482</v>
      </c>
      <c r="M473" s="23">
        <f>$B$8*Data!L471/Data!L470</f>
        <v>1980.8885393103942</v>
      </c>
      <c r="N473" s="23">
        <f t="shared" si="29"/>
        <v>9976.1068168833317</v>
      </c>
      <c r="O473" s="23">
        <f t="shared" si="30"/>
        <v>-23.893183116668297</v>
      </c>
      <c r="P473" s="23">
        <f t="shared" si="31"/>
        <v>23.893183116668297</v>
      </c>
      <c r="W473" s="37"/>
    </row>
    <row r="474" spans="9:23" x14ac:dyDescent="0.3">
      <c r="I474">
        <v>470</v>
      </c>
      <c r="J474" s="23">
        <f>$B$5*Data!C472/Data!C471</f>
        <v>4017.837167253263</v>
      </c>
      <c r="K474" s="23">
        <f>$B$6*Data!F472/Data!F471</f>
        <v>2990.9926763730755</v>
      </c>
      <c r="L474" s="23">
        <f>$B$7*Data!I472/Data!I471</f>
        <v>994.16079458765546</v>
      </c>
      <c r="M474" s="23">
        <f>$B$8*Data!L472/Data!L471</f>
        <v>1983.5071618161337</v>
      </c>
      <c r="N474" s="23">
        <f t="shared" si="29"/>
        <v>9986.4978000301271</v>
      </c>
      <c r="O474" s="23">
        <f t="shared" si="30"/>
        <v>-13.502199969872891</v>
      </c>
      <c r="P474" s="23">
        <f t="shared" si="31"/>
        <v>13.502199969872891</v>
      </c>
      <c r="W474" s="37"/>
    </row>
    <row r="475" spans="9:23" x14ac:dyDescent="0.3">
      <c r="I475">
        <v>471</v>
      </c>
      <c r="J475" s="23">
        <f>$B$5*Data!C473/Data!C472</f>
        <v>4019.7791249327979</v>
      </c>
      <c r="K475" s="23">
        <f>$B$6*Data!F473/Data!F472</f>
        <v>3007.6465603020201</v>
      </c>
      <c r="L475" s="23">
        <f>$B$7*Data!I473/Data!I472</f>
        <v>999.22855305943551</v>
      </c>
      <c r="M475" s="23">
        <f>$B$8*Data!L473/Data!L472</f>
        <v>2001.044260868566</v>
      </c>
      <c r="N475" s="23">
        <f t="shared" si="29"/>
        <v>10027.69849916282</v>
      </c>
      <c r="O475" s="23">
        <f t="shared" si="30"/>
        <v>27.698499162819644</v>
      </c>
      <c r="P475" s="23">
        <f t="shared" si="31"/>
        <v>-27.698499162819644</v>
      </c>
      <c r="W475" s="37"/>
    </row>
    <row r="476" spans="9:23" x14ac:dyDescent="0.3">
      <c r="I476">
        <v>472</v>
      </c>
      <c r="J476" s="23">
        <f>$B$5*Data!C474/Data!C473</f>
        <v>4003.4645743229185</v>
      </c>
      <c r="K476" s="23">
        <f>$B$6*Data!F474/Data!F473</f>
        <v>3003.7738266167794</v>
      </c>
      <c r="L476" s="23">
        <f>$B$7*Data!I474/Data!I473</f>
        <v>1009.9135501488227</v>
      </c>
      <c r="M476" s="23">
        <f>$B$8*Data!L474/Data!L473</f>
        <v>2003.4751802698049</v>
      </c>
      <c r="N476" s="23">
        <f t="shared" si="29"/>
        <v>10020.627131358326</v>
      </c>
      <c r="O476" s="23">
        <f t="shared" si="30"/>
        <v>20.627131358325641</v>
      </c>
      <c r="P476" s="23">
        <f t="shared" si="31"/>
        <v>-20.627131358325641</v>
      </c>
      <c r="W476" s="37"/>
    </row>
    <row r="477" spans="9:23" x14ac:dyDescent="0.3">
      <c r="I477">
        <v>473</v>
      </c>
      <c r="J477" s="23">
        <f>$B$5*Data!C475/Data!C474</f>
        <v>3999.2182071419807</v>
      </c>
      <c r="K477" s="23">
        <f>$B$6*Data!F475/Data!F474</f>
        <v>2995.4634919614414</v>
      </c>
      <c r="L477" s="23">
        <f>$B$7*Data!I475/Data!I474</f>
        <v>1005.9407157610192</v>
      </c>
      <c r="M477" s="23">
        <f>$B$8*Data!L475/Data!L474</f>
        <v>2020.8694039384825</v>
      </c>
      <c r="N477" s="23">
        <f t="shared" si="29"/>
        <v>10021.491818802924</v>
      </c>
      <c r="O477" s="23">
        <f t="shared" si="30"/>
        <v>21.491818802924172</v>
      </c>
      <c r="P477" s="23">
        <f t="shared" si="31"/>
        <v>-21.491818802924172</v>
      </c>
      <c r="W477" s="37"/>
    </row>
    <row r="478" spans="9:23" x14ac:dyDescent="0.3">
      <c r="I478">
        <v>474</v>
      </c>
      <c r="J478" s="23">
        <f>$B$5*Data!C476/Data!C475</f>
        <v>4020.5126663316091</v>
      </c>
      <c r="K478" s="23">
        <f>$B$6*Data!F476/Data!F475</f>
        <v>3038.8895617540061</v>
      </c>
      <c r="L478" s="23">
        <f>$B$7*Data!I476/Data!I475</f>
        <v>1004.0612974340668</v>
      </c>
      <c r="M478" s="23">
        <f>$B$8*Data!L476/Data!L475</f>
        <v>1978.8737557021038</v>
      </c>
      <c r="N478" s="23">
        <f t="shared" si="29"/>
        <v>10042.337281221786</v>
      </c>
      <c r="O478" s="23">
        <f t="shared" si="30"/>
        <v>42.337281221785815</v>
      </c>
      <c r="P478" s="23">
        <f t="shared" si="31"/>
        <v>-42.337281221785815</v>
      </c>
      <c r="W478" s="37"/>
    </row>
    <row r="479" spans="9:23" x14ac:dyDescent="0.3">
      <c r="I479">
        <v>475</v>
      </c>
      <c r="J479" s="23">
        <f>$B$5*Data!C477/Data!C476</f>
        <v>4000.1359395822606</v>
      </c>
      <c r="K479" s="23">
        <f>$B$6*Data!F477/Data!F476</f>
        <v>3009.9878800662327</v>
      </c>
      <c r="L479" s="23">
        <f>$B$7*Data!I477/Data!I476</f>
        <v>995.61212136781273</v>
      </c>
      <c r="M479" s="23">
        <f>$B$8*Data!L477/Data!L476</f>
        <v>1996.0978097665027</v>
      </c>
      <c r="N479" s="23">
        <f t="shared" si="29"/>
        <v>10001.833750782809</v>
      </c>
      <c r="O479" s="23">
        <f t="shared" si="30"/>
        <v>1.8337507828091475</v>
      </c>
      <c r="P479" s="23">
        <f t="shared" si="31"/>
        <v>-1.8337507828091475</v>
      </c>
      <c r="W479" s="37"/>
    </row>
    <row r="480" spans="9:23" x14ac:dyDescent="0.3">
      <c r="I480">
        <v>476</v>
      </c>
      <c r="J480" s="23">
        <f>$B$5*Data!C478/Data!C477</f>
        <v>3976.8767095457638</v>
      </c>
      <c r="K480" s="23">
        <f>$B$6*Data!F478/Data!F477</f>
        <v>2986.2665874365011</v>
      </c>
      <c r="L480" s="23">
        <f>$B$7*Data!I478/Data!I477</f>
        <v>1005.112985196049</v>
      </c>
      <c r="M480" s="23">
        <f>$B$8*Data!L478/Data!L477</f>
        <v>1995.9634096761697</v>
      </c>
      <c r="N480" s="23">
        <f t="shared" si="29"/>
        <v>9964.2196918544832</v>
      </c>
      <c r="O480" s="23">
        <f t="shared" si="30"/>
        <v>-35.780308145516756</v>
      </c>
      <c r="P480" s="23">
        <f t="shared" si="31"/>
        <v>35.780308145516756</v>
      </c>
      <c r="W480" s="37"/>
    </row>
    <row r="481" spans="9:23" x14ac:dyDescent="0.3">
      <c r="I481">
        <v>477</v>
      </c>
      <c r="J481" s="23">
        <f>$B$5*Data!C479/Data!C478</f>
        <v>4011.7840863568385</v>
      </c>
      <c r="K481" s="23">
        <f>$B$6*Data!F479/Data!F478</f>
        <v>3018.8243704360625</v>
      </c>
      <c r="L481" s="23">
        <f>$B$7*Data!I479/Data!I478</f>
        <v>987.53989869306417</v>
      </c>
      <c r="M481" s="23">
        <f>$B$8*Data!L479/Data!L478</f>
        <v>1994.3912741857571</v>
      </c>
      <c r="N481" s="23">
        <f t="shared" si="29"/>
        <v>10012.539629671723</v>
      </c>
      <c r="O481" s="23">
        <f t="shared" si="30"/>
        <v>12.539629671722651</v>
      </c>
      <c r="P481" s="23">
        <f t="shared" si="31"/>
        <v>-12.539629671722651</v>
      </c>
      <c r="W481" s="37"/>
    </row>
    <row r="482" spans="9:23" x14ac:dyDescent="0.3">
      <c r="I482">
        <v>478</v>
      </c>
      <c r="J482" s="23">
        <f>$B$5*Data!C480/Data!C479</f>
        <v>4033.5152115055985</v>
      </c>
      <c r="K482" s="23">
        <f>$B$6*Data!F480/Data!F479</f>
        <v>3018.7069880120357</v>
      </c>
      <c r="L482" s="23">
        <f>$B$7*Data!I480/Data!I479</f>
        <v>995.25262274817896</v>
      </c>
      <c r="M482" s="23">
        <f>$B$8*Data!L480/Data!L479</f>
        <v>1958.9507699418161</v>
      </c>
      <c r="N482" s="23">
        <f t="shared" si="29"/>
        <v>10006.425592207628</v>
      </c>
      <c r="O482" s="23">
        <f t="shared" si="30"/>
        <v>6.4255922076281422</v>
      </c>
      <c r="P482" s="23">
        <f t="shared" si="31"/>
        <v>-6.4255922076281422</v>
      </c>
      <c r="W482" s="37"/>
    </row>
    <row r="483" spans="9:23" x14ac:dyDescent="0.3">
      <c r="I483">
        <v>479</v>
      </c>
      <c r="J483" s="23">
        <f>$B$5*Data!C481/Data!C480</f>
        <v>3971.760517754798</v>
      </c>
      <c r="K483" s="23">
        <f>$B$6*Data!F481/Data!F480</f>
        <v>2990.3285019669634</v>
      </c>
      <c r="L483" s="23">
        <f>$B$7*Data!I481/Data!I480</f>
        <v>1003.1934775743516</v>
      </c>
      <c r="M483" s="23">
        <f>$B$8*Data!L481/Data!L480</f>
        <v>2062.7457563893845</v>
      </c>
      <c r="N483" s="23">
        <f t="shared" si="29"/>
        <v>10028.028253685497</v>
      </c>
      <c r="O483" s="23">
        <f t="shared" si="30"/>
        <v>28.028253685497475</v>
      </c>
      <c r="P483" s="23">
        <f t="shared" si="31"/>
        <v>-28.028253685497475</v>
      </c>
      <c r="W483" s="37"/>
    </row>
    <row r="484" spans="9:23" x14ac:dyDescent="0.3">
      <c r="I484">
        <v>480</v>
      </c>
      <c r="J484" s="23">
        <f>$B$5*Data!C482/Data!C481</f>
        <v>4014.1334907692531</v>
      </c>
      <c r="K484" s="23">
        <f>$B$6*Data!F482/Data!F481</f>
        <v>2976.2426711772664</v>
      </c>
      <c r="L484" s="23">
        <f>$B$7*Data!I482/Data!I481</f>
        <v>1004.255442114491</v>
      </c>
      <c r="M484" s="23">
        <f>$B$8*Data!L482/Data!L481</f>
        <v>1938.6253580608582</v>
      </c>
      <c r="N484" s="23">
        <f t="shared" si="29"/>
        <v>9933.2569621218681</v>
      </c>
      <c r="O484" s="23">
        <f t="shared" si="30"/>
        <v>-66.743037878131872</v>
      </c>
      <c r="P484" s="23">
        <f t="shared" si="31"/>
        <v>66.743037878131872</v>
      </c>
      <c r="W484" s="37"/>
    </row>
    <row r="485" spans="9:23" x14ac:dyDescent="0.3">
      <c r="I485">
        <v>481</v>
      </c>
      <c r="J485" s="23">
        <f>$B$5*Data!C483/Data!C482</f>
        <v>3988.7870461960079</v>
      </c>
      <c r="K485" s="23">
        <f>$B$6*Data!F483/Data!F482</f>
        <v>3010.1895894406475</v>
      </c>
      <c r="L485" s="23">
        <f>$B$7*Data!I483/Data!I482</f>
        <v>1012.7641802638171</v>
      </c>
      <c r="M485" s="23">
        <f>$B$8*Data!L483/Data!L482</f>
        <v>2024.7179704502882</v>
      </c>
      <c r="N485" s="23">
        <f t="shared" si="29"/>
        <v>10036.45878635076</v>
      </c>
      <c r="O485" s="23">
        <f t="shared" si="30"/>
        <v>36.45878635076042</v>
      </c>
      <c r="P485" s="23">
        <f t="shared" si="31"/>
        <v>-36.45878635076042</v>
      </c>
      <c r="W485" s="37"/>
    </row>
    <row r="486" spans="9:23" x14ac:dyDescent="0.3">
      <c r="I486">
        <v>482</v>
      </c>
      <c r="J486" s="23">
        <f>$B$5*Data!C484/Data!C483</f>
        <v>4019.6098052420525</v>
      </c>
      <c r="K486" s="23">
        <f>$B$6*Data!F484/Data!F483</f>
        <v>2975.1987722138242</v>
      </c>
      <c r="L486" s="23">
        <f>$B$7*Data!I484/Data!I483</f>
        <v>1000.3887932879238</v>
      </c>
      <c r="M486" s="23">
        <f>$B$8*Data!L484/Data!L483</f>
        <v>2024.8252443265294</v>
      </c>
      <c r="N486" s="23">
        <f t="shared" si="29"/>
        <v>10020.022615070331</v>
      </c>
      <c r="O486" s="23">
        <f t="shared" si="30"/>
        <v>20.022615070331085</v>
      </c>
      <c r="P486" s="23">
        <f t="shared" si="31"/>
        <v>-20.022615070331085</v>
      </c>
      <c r="W486" s="37"/>
    </row>
    <row r="487" spans="9:23" x14ac:dyDescent="0.3">
      <c r="I487">
        <v>483</v>
      </c>
      <c r="J487" s="23">
        <f>$B$5*Data!C485/Data!C484</f>
        <v>4026.6210499978692</v>
      </c>
      <c r="K487" s="23">
        <f>$B$6*Data!F485/Data!F484</f>
        <v>3054.4545259856045</v>
      </c>
      <c r="L487" s="23">
        <f>$B$7*Data!I485/Data!I484</f>
        <v>999.25715592735537</v>
      </c>
      <c r="M487" s="23">
        <f>$B$8*Data!L485/Data!L484</f>
        <v>2015.2030158863283</v>
      </c>
      <c r="N487" s="23">
        <f t="shared" si="29"/>
        <v>10095.535747797157</v>
      </c>
      <c r="O487" s="23">
        <f t="shared" si="30"/>
        <v>95.535747797157455</v>
      </c>
      <c r="P487" s="23">
        <f t="shared" si="31"/>
        <v>-95.535747797157455</v>
      </c>
      <c r="W487" s="37"/>
    </row>
    <row r="488" spans="9:23" x14ac:dyDescent="0.3">
      <c r="I488">
        <v>484</v>
      </c>
      <c r="J488" s="23">
        <f>$B$5*Data!C486/Data!C485</f>
        <v>3988.5792858705786</v>
      </c>
      <c r="K488" s="23">
        <f>$B$6*Data!F486/Data!F485</f>
        <v>3008.1088777353734</v>
      </c>
      <c r="L488" s="23">
        <f>$B$7*Data!I486/Data!I485</f>
        <v>999.56118412176318</v>
      </c>
      <c r="M488" s="23">
        <f>$B$8*Data!L486/Data!L485</f>
        <v>2031.1637085765203</v>
      </c>
      <c r="N488" s="23">
        <f t="shared" si="29"/>
        <v>10027.413056304234</v>
      </c>
      <c r="O488" s="23">
        <f t="shared" si="30"/>
        <v>27.413056304234487</v>
      </c>
      <c r="P488" s="23">
        <f t="shared" si="31"/>
        <v>-27.413056304234487</v>
      </c>
      <c r="W488" s="37"/>
    </row>
    <row r="489" spans="9:23" x14ac:dyDescent="0.3">
      <c r="I489">
        <v>485</v>
      </c>
      <c r="J489" s="23">
        <f>$B$5*Data!C487/Data!C486</f>
        <v>4027.9048608159383</v>
      </c>
      <c r="K489" s="23">
        <f>$B$6*Data!F487/Data!F486</f>
        <v>3033.1801833884015</v>
      </c>
      <c r="L489" s="23">
        <f>$B$7*Data!I487/Data!I486</f>
        <v>999.99619859387326</v>
      </c>
      <c r="M489" s="23">
        <f>$B$8*Data!L487/Data!L486</f>
        <v>1985.1067130585416</v>
      </c>
      <c r="N489" s="23">
        <f t="shared" si="29"/>
        <v>10046.187955856754</v>
      </c>
      <c r="O489" s="23">
        <f t="shared" si="30"/>
        <v>46.187955856754343</v>
      </c>
      <c r="P489" s="23">
        <f t="shared" si="31"/>
        <v>-46.187955856754343</v>
      </c>
      <c r="W489" s="37"/>
    </row>
    <row r="490" spans="9:23" x14ac:dyDescent="0.3">
      <c r="I490">
        <v>486</v>
      </c>
      <c r="J490" s="23">
        <f>$B$5*Data!C488/Data!C487</f>
        <v>3993.9418682628725</v>
      </c>
      <c r="K490" s="23">
        <f>$B$6*Data!F488/Data!F487</f>
        <v>2992.7681947206315</v>
      </c>
      <c r="L490" s="23">
        <f>$B$7*Data!I488/Data!I487</f>
        <v>998.4412025415545</v>
      </c>
      <c r="M490" s="23">
        <f>$B$8*Data!L488/Data!L487</f>
        <v>2008.9517585526432</v>
      </c>
      <c r="N490" s="23">
        <f t="shared" si="29"/>
        <v>9994.1030240777018</v>
      </c>
      <c r="O490" s="23">
        <f t="shared" si="30"/>
        <v>-5.8969759222982248</v>
      </c>
      <c r="P490" s="23">
        <f t="shared" si="31"/>
        <v>5.8969759222982248</v>
      </c>
      <c r="W490" s="37"/>
    </row>
    <row r="491" spans="9:23" x14ac:dyDescent="0.3">
      <c r="I491">
        <v>487</v>
      </c>
      <c r="J491" s="23">
        <f>$B$5*Data!C489/Data!C488</f>
        <v>4007.4807878814909</v>
      </c>
      <c r="K491" s="23">
        <f>$B$6*Data!F489/Data!F488</f>
        <v>2988.4143772279103</v>
      </c>
      <c r="L491" s="23">
        <f>$B$7*Data!I489/Data!I488</f>
        <v>1003.129841434965</v>
      </c>
      <c r="M491" s="23">
        <f>$B$8*Data!L489/Data!L488</f>
        <v>2015.355394729042</v>
      </c>
      <c r="N491" s="23">
        <f t="shared" si="29"/>
        <v>10014.380401273407</v>
      </c>
      <c r="O491" s="23">
        <f t="shared" si="30"/>
        <v>14.380401273407188</v>
      </c>
      <c r="P491" s="23">
        <f t="shared" si="31"/>
        <v>-14.380401273407188</v>
      </c>
      <c r="W491" s="37"/>
    </row>
    <row r="492" spans="9:23" x14ac:dyDescent="0.3">
      <c r="I492">
        <v>488</v>
      </c>
      <c r="J492" s="23">
        <f>$B$5*Data!C490/Data!C489</f>
        <v>4033.4662126765402</v>
      </c>
      <c r="K492" s="23">
        <f>$B$6*Data!F490/Data!F489</f>
        <v>3011.4114248093542</v>
      </c>
      <c r="L492" s="23">
        <f>$B$7*Data!I490/Data!I489</f>
        <v>1001.0540852761035</v>
      </c>
      <c r="M492" s="23">
        <f>$B$8*Data!L490/Data!L489</f>
        <v>2034.3815288272413</v>
      </c>
      <c r="N492" s="23">
        <f t="shared" si="29"/>
        <v>10080.313251589239</v>
      </c>
      <c r="O492" s="23">
        <f t="shared" si="30"/>
        <v>80.313251589239371</v>
      </c>
      <c r="P492" s="23">
        <f t="shared" si="31"/>
        <v>-80.313251589239371</v>
      </c>
      <c r="W492" s="37"/>
    </row>
    <row r="493" spans="9:23" x14ac:dyDescent="0.3">
      <c r="I493">
        <v>489</v>
      </c>
      <c r="J493" s="23">
        <f>$B$5*Data!C491/Data!C490</f>
        <v>4015.4486482760635</v>
      </c>
      <c r="K493" s="23">
        <f>$B$6*Data!F491/Data!F490</f>
        <v>3018.0085819870083</v>
      </c>
      <c r="L493" s="23">
        <f>$B$7*Data!I491/Data!I490</f>
        <v>1001.4142817228883</v>
      </c>
      <c r="M493" s="23">
        <f>$B$8*Data!L491/Data!L490</f>
        <v>1953.9175028172172</v>
      </c>
      <c r="N493" s="23">
        <f t="shared" si="29"/>
        <v>9988.7890148031765</v>
      </c>
      <c r="O493" s="23">
        <f t="shared" si="30"/>
        <v>-11.210985196823458</v>
      </c>
      <c r="P493" s="23">
        <f t="shared" si="31"/>
        <v>11.210985196823458</v>
      </c>
      <c r="W493" s="37"/>
    </row>
    <row r="494" spans="9:23" x14ac:dyDescent="0.3">
      <c r="I494">
        <v>490</v>
      </c>
      <c r="J494" s="23">
        <f>$B$5*Data!C492/Data!C491</f>
        <v>3989.3920895601077</v>
      </c>
      <c r="K494" s="23">
        <f>$B$6*Data!F492/Data!F491</f>
        <v>2973.1030422847011</v>
      </c>
      <c r="L494" s="23">
        <f>$B$7*Data!I492/Data!I491</f>
        <v>997.04038791654636</v>
      </c>
      <c r="M494" s="23">
        <f>$B$8*Data!L492/Data!L491</f>
        <v>2023.5362132696357</v>
      </c>
      <c r="N494" s="23">
        <f t="shared" si="29"/>
        <v>9983.0717330309908</v>
      </c>
      <c r="O494" s="23">
        <f t="shared" si="30"/>
        <v>-16.928266969009201</v>
      </c>
      <c r="P494" s="23">
        <f t="shared" si="31"/>
        <v>16.928266969009201</v>
      </c>
      <c r="W494" s="37"/>
    </row>
    <row r="495" spans="9:23" x14ac:dyDescent="0.3">
      <c r="I495">
        <v>491</v>
      </c>
      <c r="J495" s="23">
        <f>$B$5*Data!C493/Data!C492</f>
        <v>4001.1563043597771</v>
      </c>
      <c r="K495" s="23">
        <f>$B$6*Data!F493/Data!F492</f>
        <v>2915.5525829596563</v>
      </c>
      <c r="L495" s="23">
        <f>$B$7*Data!I493/Data!I492</f>
        <v>987.27482145074441</v>
      </c>
      <c r="M495" s="23">
        <f>$B$8*Data!L493/Data!L492</f>
        <v>1978.5252925846787</v>
      </c>
      <c r="N495" s="23">
        <f t="shared" si="29"/>
        <v>9882.5090013548561</v>
      </c>
      <c r="O495" s="23">
        <f t="shared" si="30"/>
        <v>-117.49099864514392</v>
      </c>
      <c r="P495" s="23">
        <f t="shared" si="31"/>
        <v>117.49099864514392</v>
      </c>
      <c r="W495" s="37"/>
    </row>
    <row r="496" spans="9:23" x14ac:dyDescent="0.3">
      <c r="I496">
        <v>492</v>
      </c>
      <c r="J496" s="23">
        <f>$B$5*Data!C494/Data!C493</f>
        <v>4004.5639063746517</v>
      </c>
      <c r="K496" s="23">
        <f>$B$6*Data!F494/Data!F493</f>
        <v>3038.131655121656</v>
      </c>
      <c r="L496" s="23">
        <f>$B$7*Data!I494/Data!I493</f>
        <v>1011.7681690299889</v>
      </c>
      <c r="M496" s="23">
        <f>$B$8*Data!L494/Data!L493</f>
        <v>2022.2206537041006</v>
      </c>
      <c r="N496" s="23">
        <f t="shared" si="29"/>
        <v>10076.684384230397</v>
      </c>
      <c r="O496" s="23">
        <f t="shared" si="30"/>
        <v>76.684384230396972</v>
      </c>
      <c r="P496" s="23">
        <f t="shared" si="31"/>
        <v>-76.684384230396972</v>
      </c>
      <c r="W496" s="37"/>
    </row>
    <row r="497" spans="9:23" x14ac:dyDescent="0.3">
      <c r="I497">
        <v>493</v>
      </c>
      <c r="J497" s="23">
        <f>$B$5*Data!C495/Data!C494</f>
        <v>3963.8313565347512</v>
      </c>
      <c r="K497" s="23">
        <f>$B$6*Data!F495/Data!F494</f>
        <v>2954.2797367760709</v>
      </c>
      <c r="L497" s="23">
        <f>$B$7*Data!I495/Data!I494</f>
        <v>971.28401827348989</v>
      </c>
      <c r="M497" s="23">
        <f>$B$8*Data!L495/Data!L494</f>
        <v>1945.3395763292945</v>
      </c>
      <c r="N497" s="23">
        <f t="shared" si="29"/>
        <v>9834.7346879136057</v>
      </c>
      <c r="O497" s="23">
        <f t="shared" si="30"/>
        <v>-165.26531208639426</v>
      </c>
      <c r="P497" s="23">
        <f t="shared" si="31"/>
        <v>165.26531208639426</v>
      </c>
      <c r="W497" s="37"/>
    </row>
    <row r="498" spans="9:23" x14ac:dyDescent="0.3">
      <c r="I498">
        <v>494</v>
      </c>
      <c r="J498" s="23">
        <f>$B$5*Data!C496/Data!C495</f>
        <v>3937.0771532361809</v>
      </c>
      <c r="K498" s="23">
        <f>$B$6*Data!F496/Data!F495</f>
        <v>3004.3557251443817</v>
      </c>
      <c r="L498" s="23">
        <f>$B$7*Data!I496/Data!I495</f>
        <v>1008.9143020320821</v>
      </c>
      <c r="M498" s="23">
        <f>$B$8*Data!L496/Data!L495</f>
        <v>2034.5622825447165</v>
      </c>
      <c r="N498" s="23">
        <f t="shared" si="29"/>
        <v>9984.9094629573628</v>
      </c>
      <c r="O498" s="23">
        <f t="shared" si="30"/>
        <v>-15.090537042637152</v>
      </c>
      <c r="P498" s="23">
        <f t="shared" si="31"/>
        <v>15.090537042637152</v>
      </c>
      <c r="W498" s="37"/>
    </row>
    <row r="499" spans="9:23" x14ac:dyDescent="0.3">
      <c r="I499">
        <v>495</v>
      </c>
      <c r="J499" s="23">
        <f>$B$5*Data!C497/Data!C496</f>
        <v>4040.2143378576097</v>
      </c>
      <c r="K499" s="23">
        <f>$B$6*Data!F497/Data!F496</f>
        <v>2915.310921891326</v>
      </c>
      <c r="L499" s="23">
        <f>$B$7*Data!I497/Data!I496</f>
        <v>1001.2356194525451</v>
      </c>
      <c r="M499" s="23">
        <f>$B$8*Data!L497/Data!L496</f>
        <v>2016.7934882399911</v>
      </c>
      <c r="N499" s="23">
        <f t="shared" si="29"/>
        <v>9973.554367441473</v>
      </c>
      <c r="O499" s="23">
        <f t="shared" si="30"/>
        <v>-26.445632558526995</v>
      </c>
      <c r="P499" s="23">
        <f t="shared" si="31"/>
        <v>26.445632558526995</v>
      </c>
      <c r="W499" s="37"/>
    </row>
    <row r="500" spans="9:23" x14ac:dyDescent="0.3">
      <c r="I500">
        <v>496</v>
      </c>
      <c r="J500" s="23">
        <f>$B$5*Data!C498/Data!C497</f>
        <v>3996.5325031027414</v>
      </c>
      <c r="K500" s="23">
        <f>$B$6*Data!F498/Data!F497</f>
        <v>2921.4119874062972</v>
      </c>
      <c r="L500" s="23">
        <f>$B$7*Data!I498/Data!I497</f>
        <v>987.62273589895619</v>
      </c>
      <c r="M500" s="23">
        <f>$B$8*Data!L498/Data!L497</f>
        <v>1963.2042245225982</v>
      </c>
      <c r="N500" s="23">
        <f t="shared" si="29"/>
        <v>9868.7714509305933</v>
      </c>
      <c r="O500" s="23">
        <f t="shared" si="30"/>
        <v>-131.22854906940665</v>
      </c>
      <c r="P500" s="23">
        <f t="shared" si="31"/>
        <v>131.22854906940665</v>
      </c>
      <c r="W500" s="37"/>
    </row>
    <row r="501" spans="9:23" x14ac:dyDescent="0.3">
      <c r="I501">
        <v>497</v>
      </c>
      <c r="J501" s="23">
        <f>$B$5*Data!C499/Data!C498</f>
        <v>4012.5374354581377</v>
      </c>
      <c r="K501" s="23">
        <f>$B$6*Data!F499/Data!F498</f>
        <v>2984.5174496590062</v>
      </c>
      <c r="L501" s="23">
        <f>$B$7*Data!I499/Data!I498</f>
        <v>991.8766425466282</v>
      </c>
      <c r="M501" s="23">
        <f>$B$8*Data!L499/Data!L498</f>
        <v>1983.4847118040789</v>
      </c>
      <c r="N501" s="23">
        <f t="shared" si="29"/>
        <v>9972.4162394678515</v>
      </c>
      <c r="O501" s="23">
        <f t="shared" si="30"/>
        <v>-27.583760532148517</v>
      </c>
      <c r="P501" s="23">
        <f t="shared" si="31"/>
        <v>27.583760532148517</v>
      </c>
      <c r="W501" s="37"/>
    </row>
    <row r="502" spans="9:23" x14ac:dyDescent="0.3">
      <c r="I502">
        <v>498</v>
      </c>
      <c r="J502" s="23">
        <f>$B$5*Data!C500/Data!C499</f>
        <v>3929.1767191997806</v>
      </c>
      <c r="K502" s="23">
        <f>$B$6*Data!F500/Data!F499</f>
        <v>3005.0564624538292</v>
      </c>
      <c r="L502" s="23">
        <f>$B$7*Data!I500/Data!I499</f>
        <v>1002.6946460372462</v>
      </c>
      <c r="M502" s="23">
        <f>$B$8*Data!L500/Data!L499</f>
        <v>1980.268408086949</v>
      </c>
      <c r="N502" s="23">
        <f t="shared" si="29"/>
        <v>9917.1962357778048</v>
      </c>
      <c r="O502" s="23">
        <f t="shared" si="30"/>
        <v>-82.803764222195241</v>
      </c>
      <c r="P502" s="23">
        <f t="shared" si="31"/>
        <v>82.803764222195241</v>
      </c>
      <c r="W502" s="37"/>
    </row>
    <row r="503" spans="9:23" x14ac:dyDescent="0.3">
      <c r="I503">
        <v>499</v>
      </c>
      <c r="J503" s="23">
        <f>$B$5*Data!C501/Data!C500</f>
        <v>4029.0184551389025</v>
      </c>
      <c r="K503" s="23">
        <f>$B$6*Data!F501/Data!F500</f>
        <v>3036.3091667926674</v>
      </c>
      <c r="L503" s="23">
        <f>$B$7*Data!I501/Data!I500</f>
        <v>1016.2004648091118</v>
      </c>
      <c r="M503" s="23">
        <f>$B$8*Data!L501/Data!L500</f>
        <v>2024.0239654158422</v>
      </c>
      <c r="N503" s="23">
        <f t="shared" si="29"/>
        <v>10105.552052156523</v>
      </c>
      <c r="O503" s="23">
        <f t="shared" si="30"/>
        <v>105.55205215652313</v>
      </c>
      <c r="P503" s="23">
        <f t="shared" si="31"/>
        <v>-105.55205215652313</v>
      </c>
      <c r="W503" s="37"/>
    </row>
    <row r="504" spans="9:23" x14ac:dyDescent="0.3">
      <c r="I504">
        <v>500</v>
      </c>
      <c r="J504" s="23">
        <f>$B$5*Data!C502/Data!C501</f>
        <v>4059.9216566347859</v>
      </c>
      <c r="K504" s="23">
        <f>$B$6*Data!F502/Data!F501</f>
        <v>3012.4561230424556</v>
      </c>
      <c r="L504" s="23">
        <f>$B$7*Data!I502/Data!I501</f>
        <v>1010.2982273893875</v>
      </c>
      <c r="M504" s="23">
        <f>$B$8*Data!L502/Data!L501</f>
        <v>2012.9533108488963</v>
      </c>
      <c r="N504" s="23">
        <f t="shared" si="29"/>
        <v>10095.629317915525</v>
      </c>
      <c r="O504" s="23">
        <f t="shared" si="30"/>
        <v>95.629317915525462</v>
      </c>
      <c r="P504" s="23">
        <f t="shared" si="31"/>
        <v>-95.629317915525462</v>
      </c>
      <c r="W504" s="37"/>
    </row>
    <row r="505" spans="9:23" x14ac:dyDescent="0.3">
      <c r="J505" s="23"/>
      <c r="K505" s="23"/>
      <c r="L505" s="23"/>
      <c r="M505" s="23"/>
      <c r="N505" s="23"/>
      <c r="O505" s="23"/>
      <c r="P505" s="23"/>
    </row>
  </sheetData>
  <pageMargins left="0.7" right="0.7" top="0.75" bottom="0.75" header="0.3" footer="0.3"/>
  <pageSetup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Q505"/>
  <sheetViews>
    <sheetView zoomScale="61" zoomScaleNormal="96" zoomScalePageLayoutView="90" workbookViewId="0">
      <selection activeCell="G25" sqref="G25"/>
    </sheetView>
  </sheetViews>
  <sheetFormatPr defaultColWidth="8.88671875" defaultRowHeight="14.4" x14ac:dyDescent="0.3"/>
  <cols>
    <col min="1" max="1" width="14.109375" customWidth="1"/>
    <col min="2" max="2" width="11.44140625" bestFit="1" customWidth="1"/>
    <col min="3" max="3" width="12" customWidth="1"/>
    <col min="4" max="4" width="12.6640625" bestFit="1" customWidth="1"/>
    <col min="5" max="5" width="11.44140625" bestFit="1" customWidth="1"/>
    <col min="6" max="7" width="11.44140625" customWidth="1"/>
    <col min="8" max="8" width="2.88671875" style="29" customWidth="1"/>
    <col min="11" max="11" width="2.44140625" style="29" customWidth="1"/>
    <col min="13" max="13" width="8.88671875" style="23"/>
    <col min="14" max="14" width="3.109375" style="29" customWidth="1"/>
    <col min="16" max="16" width="11" customWidth="1"/>
  </cols>
  <sheetData>
    <row r="1" spans="1:17" x14ac:dyDescent="0.3">
      <c r="A1" s="9" t="s">
        <v>15</v>
      </c>
      <c r="B1" s="4">
        <v>43138</v>
      </c>
    </row>
    <row r="3" spans="1:17" x14ac:dyDescent="0.3">
      <c r="A3" s="9" t="s">
        <v>21</v>
      </c>
      <c r="L3" s="27" t="s">
        <v>23</v>
      </c>
      <c r="P3" s="27" t="s">
        <v>29</v>
      </c>
    </row>
    <row r="4" spans="1:17" x14ac:dyDescent="0.3">
      <c r="A4" s="27" t="s">
        <v>17</v>
      </c>
      <c r="B4" s="27" t="s">
        <v>18</v>
      </c>
      <c r="C4" s="27" t="s">
        <v>19</v>
      </c>
      <c r="D4" s="27" t="s">
        <v>20</v>
      </c>
      <c r="E4" s="27"/>
      <c r="F4" s="27"/>
      <c r="G4" s="27"/>
      <c r="I4" s="27" t="s">
        <v>2</v>
      </c>
      <c r="J4" s="27" t="s">
        <v>29</v>
      </c>
      <c r="K4" s="30"/>
      <c r="L4" s="27" t="s">
        <v>2</v>
      </c>
      <c r="M4" s="28" t="s">
        <v>29</v>
      </c>
      <c r="O4" s="27" t="s">
        <v>26</v>
      </c>
      <c r="P4" s="27" t="s">
        <v>27</v>
      </c>
      <c r="Q4" s="27" t="s">
        <v>41</v>
      </c>
    </row>
    <row r="5" spans="1:17" x14ac:dyDescent="0.3">
      <c r="A5" t="s">
        <v>102</v>
      </c>
      <c r="B5" s="23">
        <v>4000</v>
      </c>
      <c r="C5" s="24">
        <v>11022.06</v>
      </c>
      <c r="D5" s="31">
        <f>B5/C5</f>
        <v>0.36290856700108692</v>
      </c>
      <c r="E5" s="31"/>
      <c r="F5" s="31"/>
      <c r="G5" s="31"/>
      <c r="I5" s="3">
        <f>Data!A3</f>
        <v>1</v>
      </c>
      <c r="J5" s="23">
        <f>'$ Portfolio Loss'!P5</f>
        <v>148.27449625830559</v>
      </c>
      <c r="L5">
        <v>494</v>
      </c>
      <c r="M5" s="23">
        <v>477.84100103359742</v>
      </c>
      <c r="O5">
        <v>-600</v>
      </c>
      <c r="P5">
        <f t="array" ref="P5:P27">FREQUENCY($M$5:$M$504,O5:O27)</f>
        <v>0</v>
      </c>
      <c r="Q5" s="40">
        <f>P5/$B$12</f>
        <v>0</v>
      </c>
    </row>
    <row r="6" spans="1:17" x14ac:dyDescent="0.3">
      <c r="A6" t="s">
        <v>108</v>
      </c>
      <c r="B6" s="23">
        <v>3000</v>
      </c>
      <c r="C6" s="25">
        <v>9599.8984</v>
      </c>
      <c r="D6" s="31">
        <f t="shared" ref="D6:D8" si="0">B6/C6</f>
        <v>0.3125033073266692</v>
      </c>
      <c r="E6" s="31"/>
      <c r="F6" s="31"/>
      <c r="G6" s="31"/>
      <c r="I6">
        <v>2</v>
      </c>
      <c r="J6" s="23">
        <f>'$ Portfolio Loss'!P6</f>
        <v>96.491509347586543</v>
      </c>
      <c r="L6">
        <v>339</v>
      </c>
      <c r="M6" s="23">
        <v>345.43507527311704</v>
      </c>
      <c r="O6">
        <v>-550</v>
      </c>
      <c r="P6">
        <v>1</v>
      </c>
      <c r="Q6" s="40">
        <f t="shared" ref="Q6:Q27" si="1">P6/$B$12</f>
        <v>2E-3</v>
      </c>
    </row>
    <row r="7" spans="1:17" x14ac:dyDescent="0.3">
      <c r="A7" t="s">
        <v>106</v>
      </c>
      <c r="B7" s="23">
        <v>1000</v>
      </c>
      <c r="C7" s="23">
        <v>6200.3960686519004</v>
      </c>
      <c r="D7" s="31">
        <f t="shared" si="0"/>
        <v>0.16128001968387506</v>
      </c>
      <c r="E7" s="31"/>
      <c r="F7" s="31"/>
      <c r="G7" s="31"/>
      <c r="I7">
        <v>3</v>
      </c>
      <c r="J7" s="23">
        <f>'$ Portfolio Loss'!P7</f>
        <v>-65.775320899459985</v>
      </c>
      <c r="L7">
        <v>349</v>
      </c>
      <c r="M7" s="23">
        <v>282.20384520461448</v>
      </c>
      <c r="O7">
        <v>-500</v>
      </c>
      <c r="P7">
        <v>0</v>
      </c>
      <c r="Q7" s="40">
        <f t="shared" si="1"/>
        <v>0</v>
      </c>
    </row>
    <row r="8" spans="1:17" x14ac:dyDescent="0.3">
      <c r="A8" t="s">
        <v>10</v>
      </c>
      <c r="B8" s="23">
        <v>2000</v>
      </c>
      <c r="C8" s="23">
        <v>112.82211990227401</v>
      </c>
      <c r="D8" s="31">
        <f t="shared" si="0"/>
        <v>17.727020213167336</v>
      </c>
      <c r="E8" s="31"/>
      <c r="F8" s="31"/>
      <c r="G8" s="31"/>
      <c r="I8">
        <v>4</v>
      </c>
      <c r="J8" s="23">
        <f>'$ Portfolio Loss'!P8</f>
        <v>-23.50448540245452</v>
      </c>
      <c r="L8">
        <v>329</v>
      </c>
      <c r="M8" s="23">
        <v>277.04129403526349</v>
      </c>
      <c r="O8">
        <v>-450</v>
      </c>
      <c r="P8">
        <v>0</v>
      </c>
      <c r="Q8" s="40">
        <f t="shared" si="1"/>
        <v>0</v>
      </c>
    </row>
    <row r="9" spans="1:17" x14ac:dyDescent="0.3">
      <c r="B9" s="26">
        <f>SUM(B5:B8)</f>
        <v>10000</v>
      </c>
      <c r="C9" s="23"/>
      <c r="I9">
        <v>5</v>
      </c>
      <c r="J9" s="23">
        <f>'$ Portfolio Loss'!P9</f>
        <v>-118.58631800325747</v>
      </c>
      <c r="L9">
        <v>487</v>
      </c>
      <c r="M9" s="23">
        <v>253.38495609979509</v>
      </c>
      <c r="O9">
        <v>-400</v>
      </c>
      <c r="P9">
        <v>0</v>
      </c>
      <c r="Q9" s="40">
        <f t="shared" si="1"/>
        <v>0</v>
      </c>
    </row>
    <row r="10" spans="1:17" x14ac:dyDescent="0.3">
      <c r="I10">
        <v>6</v>
      </c>
      <c r="J10" s="23">
        <f>'$ Portfolio Loss'!P10</f>
        <v>-150.56444115341947</v>
      </c>
      <c r="L10">
        <v>227</v>
      </c>
      <c r="M10" s="23">
        <v>217.97395897909701</v>
      </c>
      <c r="O10">
        <v>-350</v>
      </c>
      <c r="P10">
        <v>0</v>
      </c>
      <c r="Q10" s="40">
        <f t="shared" si="1"/>
        <v>0</v>
      </c>
    </row>
    <row r="11" spans="1:17" x14ac:dyDescent="0.3">
      <c r="A11" s="9" t="s">
        <v>29</v>
      </c>
      <c r="I11">
        <v>7</v>
      </c>
      <c r="J11" s="23">
        <f>'$ Portfolio Loss'!P11</f>
        <v>-14.973300534576993</v>
      </c>
      <c r="L11">
        <v>131</v>
      </c>
      <c r="M11" s="23">
        <v>202.25553909110386</v>
      </c>
      <c r="O11">
        <v>-300</v>
      </c>
      <c r="P11">
        <v>3</v>
      </c>
      <c r="Q11" s="40">
        <f t="shared" si="1"/>
        <v>6.0000000000000001E-3</v>
      </c>
    </row>
    <row r="12" spans="1:17" x14ac:dyDescent="0.3">
      <c r="A12" s="9" t="s">
        <v>36</v>
      </c>
      <c r="B12" s="39">
        <f>COUNT($M$5:$M$504)</f>
        <v>500</v>
      </c>
      <c r="I12">
        <v>8</v>
      </c>
      <c r="J12" s="23">
        <f>'$ Portfolio Loss'!P12</f>
        <v>-69.431549180715592</v>
      </c>
      <c r="L12">
        <v>238</v>
      </c>
      <c r="M12" s="23">
        <v>201.38921638536704</v>
      </c>
      <c r="O12">
        <v>-250</v>
      </c>
      <c r="P12">
        <v>1</v>
      </c>
      <c r="Q12" s="40">
        <f t="shared" si="1"/>
        <v>2E-3</v>
      </c>
    </row>
    <row r="13" spans="1:17" x14ac:dyDescent="0.3">
      <c r="A13" s="9" t="s">
        <v>25</v>
      </c>
      <c r="B13" s="38">
        <f>MIN($J$5:$J$504)</f>
        <v>-159.82527856132583</v>
      </c>
      <c r="I13">
        <v>9</v>
      </c>
      <c r="J13" s="23">
        <f>'$ Portfolio Loss'!P13</f>
        <v>91.300137142372478</v>
      </c>
      <c r="L13">
        <v>473</v>
      </c>
      <c r="M13" s="23">
        <v>191.26906641746609</v>
      </c>
      <c r="O13">
        <v>-200</v>
      </c>
      <c r="P13">
        <v>3</v>
      </c>
      <c r="Q13" s="40">
        <f t="shared" si="1"/>
        <v>6.0000000000000001E-3</v>
      </c>
    </row>
    <row r="14" spans="1:17" x14ac:dyDescent="0.3">
      <c r="A14" s="9" t="s">
        <v>24</v>
      </c>
      <c r="B14" s="38">
        <f>MAX($J$5:$J$504)</f>
        <v>237.67317481744431</v>
      </c>
      <c r="I14">
        <v>10</v>
      </c>
      <c r="J14" s="23">
        <f>'$ Portfolio Loss'!P14</f>
        <v>-37.026300411896955</v>
      </c>
      <c r="L14">
        <v>306</v>
      </c>
      <c r="M14" s="23">
        <v>191.04965748705217</v>
      </c>
      <c r="O14">
        <v>-150</v>
      </c>
      <c r="P14">
        <v>10</v>
      </c>
      <c r="Q14" s="40">
        <f t="shared" si="1"/>
        <v>0.02</v>
      </c>
    </row>
    <row r="15" spans="1:17" x14ac:dyDescent="0.3">
      <c r="A15" s="9" t="s">
        <v>3</v>
      </c>
      <c r="B15" s="38">
        <f>AVERAGE($J$5:$J$504)</f>
        <v>-2.0143944008631296</v>
      </c>
      <c r="I15">
        <v>11</v>
      </c>
      <c r="J15" s="23">
        <f>'$ Portfolio Loss'!P15</f>
        <v>-61.255034663041442</v>
      </c>
      <c r="L15">
        <v>477</v>
      </c>
      <c r="M15" s="23">
        <v>185.12694936397929</v>
      </c>
      <c r="O15">
        <v>-100</v>
      </c>
      <c r="P15">
        <v>32</v>
      </c>
      <c r="Q15" s="40">
        <f t="shared" si="1"/>
        <v>6.4000000000000001E-2</v>
      </c>
    </row>
    <row r="16" spans="1:17" x14ac:dyDescent="0.3">
      <c r="A16" s="9" t="s">
        <v>28</v>
      </c>
      <c r="B16" s="38">
        <f>_xlfn.STDEV.S($J$5:$J$504)</f>
        <v>61.668444402402322</v>
      </c>
      <c r="I16">
        <v>12</v>
      </c>
      <c r="J16" s="23">
        <f>'$ Portfolio Loss'!P16</f>
        <v>-39.824610230856706</v>
      </c>
      <c r="L16">
        <v>495</v>
      </c>
      <c r="M16" s="23">
        <v>184.44962935786134</v>
      </c>
      <c r="O16">
        <v>-50</v>
      </c>
      <c r="P16">
        <v>77</v>
      </c>
      <c r="Q16" s="40">
        <f t="shared" si="1"/>
        <v>0.154</v>
      </c>
    </row>
    <row r="17" spans="1:17" x14ac:dyDescent="0.3">
      <c r="A17" s="9" t="s">
        <v>4</v>
      </c>
      <c r="B17" s="38">
        <f>SKEW($J$5:$J$504)</f>
        <v>0.42840607464062852</v>
      </c>
      <c r="I17">
        <v>13</v>
      </c>
      <c r="J17" s="23">
        <f>'$ Portfolio Loss'!P17</f>
        <v>72.558275954686906</v>
      </c>
      <c r="L17">
        <v>376</v>
      </c>
      <c r="M17" s="23">
        <v>182.70721906115796</v>
      </c>
      <c r="O17">
        <v>0</v>
      </c>
      <c r="P17">
        <v>145</v>
      </c>
      <c r="Q17" s="40">
        <f t="shared" si="1"/>
        <v>0.28999999999999998</v>
      </c>
    </row>
    <row r="18" spans="1:17" x14ac:dyDescent="0.3">
      <c r="A18" s="9" t="s">
        <v>5</v>
      </c>
      <c r="B18" s="38">
        <f>KURT($J$5:$J$504)</f>
        <v>0.56807805591012128</v>
      </c>
      <c r="C18" s="23"/>
      <c r="E18" s="1"/>
      <c r="F18" s="1"/>
      <c r="I18">
        <v>14</v>
      </c>
      <c r="J18" s="23">
        <f>'$ Portfolio Loss'!P18</f>
        <v>35.767826695031545</v>
      </c>
      <c r="L18">
        <v>237</v>
      </c>
      <c r="M18" s="23">
        <v>180.10475010029586</v>
      </c>
      <c r="O18">
        <v>50</v>
      </c>
      <c r="P18">
        <v>101</v>
      </c>
      <c r="Q18" s="40">
        <f t="shared" si="1"/>
        <v>0.20200000000000001</v>
      </c>
    </row>
    <row r="19" spans="1:17" x14ac:dyDescent="0.3">
      <c r="I19">
        <v>15</v>
      </c>
      <c r="J19" s="23">
        <f>'$ Portfolio Loss'!P19</f>
        <v>81.492869819576299</v>
      </c>
      <c r="L19">
        <v>365</v>
      </c>
      <c r="M19" s="23">
        <v>172.22374096282692</v>
      </c>
      <c r="O19">
        <v>100</v>
      </c>
      <c r="P19">
        <v>56</v>
      </c>
      <c r="Q19" s="40">
        <f t="shared" si="1"/>
        <v>0.112</v>
      </c>
    </row>
    <row r="20" spans="1:17" x14ac:dyDescent="0.3">
      <c r="I20">
        <v>16</v>
      </c>
      <c r="J20" s="23">
        <f>'$ Portfolio Loss'!P20</f>
        <v>87.058226931147146</v>
      </c>
      <c r="L20">
        <v>283</v>
      </c>
      <c r="M20" s="23">
        <v>172.21194565829319</v>
      </c>
      <c r="O20">
        <v>150</v>
      </c>
      <c r="P20">
        <v>43</v>
      </c>
      <c r="Q20" s="40">
        <f t="shared" si="1"/>
        <v>8.5999999999999993E-2</v>
      </c>
    </row>
    <row r="21" spans="1:17" x14ac:dyDescent="0.3">
      <c r="A21" s="9" t="s">
        <v>37</v>
      </c>
      <c r="B21" s="3">
        <v>0.95</v>
      </c>
      <c r="I21">
        <v>17</v>
      </c>
      <c r="J21" s="23">
        <f>'$ Portfolio Loss'!P21</f>
        <v>56.88225094142399</v>
      </c>
      <c r="L21">
        <v>378</v>
      </c>
      <c r="M21" s="23">
        <v>167.10418072299581</v>
      </c>
      <c r="O21">
        <v>200</v>
      </c>
      <c r="P21">
        <v>20</v>
      </c>
      <c r="Q21" s="40">
        <f t="shared" si="1"/>
        <v>0.04</v>
      </c>
    </row>
    <row r="22" spans="1:17" x14ac:dyDescent="0.3">
      <c r="A22" s="9" t="s">
        <v>30</v>
      </c>
      <c r="B22" s="9" t="s">
        <v>32</v>
      </c>
      <c r="C22" s="27" t="s">
        <v>6</v>
      </c>
      <c r="D22" s="27" t="s">
        <v>34</v>
      </c>
      <c r="E22" s="27" t="s">
        <v>35</v>
      </c>
      <c r="F22" s="27" t="s">
        <v>48</v>
      </c>
      <c r="G22" s="27" t="s">
        <v>31</v>
      </c>
      <c r="I22">
        <v>18</v>
      </c>
      <c r="J22" s="23">
        <f>'$ Portfolio Loss'!P22</f>
        <v>-59.339269308005896</v>
      </c>
      <c r="L22">
        <v>320</v>
      </c>
      <c r="M22" s="23">
        <v>167.06585266724323</v>
      </c>
      <c r="O22">
        <v>250</v>
      </c>
      <c r="P22">
        <v>3</v>
      </c>
      <c r="Q22" s="40">
        <f t="shared" si="1"/>
        <v>6.0000000000000001E-3</v>
      </c>
    </row>
    <row r="23" spans="1:17" x14ac:dyDescent="0.3">
      <c r="A23" s="2">
        <v>0.995</v>
      </c>
      <c r="B23" s="1">
        <f>_xlfn.PERCENTILE.EXC($J$5:$J$504,A23)</f>
        <v>196.96382663103071</v>
      </c>
      <c r="C23" s="1">
        <f>SQRT(A23*(1-A23)/$B$12)/_xlfn.NORM.DIST(_xlfn.NORM.INV(A23,$B$15,$B$16),$B$15,$B$16,FALSE)</f>
        <v>13.452839438821224</v>
      </c>
      <c r="D23" s="1">
        <f>B23-_xlfn.NORM.S.INV($B$21)*C23</f>
        <v>174.83587488728983</v>
      </c>
      <c r="E23" s="1">
        <f>B23+_xlfn.NORM.S.INV($B$21)*C23</f>
        <v>219.09177837477159</v>
      </c>
      <c r="F23" s="1">
        <f>E23-D23</f>
        <v>44.25590348748176</v>
      </c>
      <c r="G23" s="1">
        <f>SUMIF($J$5:$J$504,"&gt;"&amp;B23)/COUNTIF($J$5:$J$504,"&gt;"&amp;B23)</f>
        <v>232.3247502972963</v>
      </c>
      <c r="I23">
        <v>19</v>
      </c>
      <c r="J23" s="23">
        <f>'$ Portfolio Loss'!P23</f>
        <v>-39.43281075685627</v>
      </c>
      <c r="L23">
        <v>242</v>
      </c>
      <c r="M23" s="23">
        <v>166.79971104959259</v>
      </c>
      <c r="O23">
        <v>300</v>
      </c>
      <c r="P23">
        <v>3</v>
      </c>
      <c r="Q23" s="40">
        <f t="shared" si="1"/>
        <v>6.0000000000000001E-3</v>
      </c>
    </row>
    <row r="24" spans="1:17" x14ac:dyDescent="0.3">
      <c r="A24" s="154">
        <v>0.99</v>
      </c>
      <c r="B24" s="155">
        <f t="shared" ref="B24:B42" si="2">_xlfn.PERCENTILE.EXC($J$5:$J$504,A24)</f>
        <v>155.89542405713226</v>
      </c>
      <c r="C24" s="155">
        <f t="shared" ref="C24:C32" si="3">SQRT(A24*(1-A24)/$B$12)/_xlfn.NORM.DIST(_xlfn.NORM.INV(A24,$B$15,$B$16),$B$15,$B$16,FALSE)</f>
        <v>10.295879871584194</v>
      </c>
      <c r="D24" s="155">
        <f t="shared" ref="D24:D32" si="4">B24-_xlfn.NORM.S.INV($B$21)*C24</f>
        <v>138.96020870770036</v>
      </c>
      <c r="E24" s="155">
        <f t="shared" ref="E24:E32" si="5">B24+_xlfn.NORM.S.INV($B$21)*C24</f>
        <v>172.83063940656416</v>
      </c>
      <c r="F24" s="155">
        <f t="shared" ref="F24:F42" si="6">E24-D24</f>
        <v>33.8704306988638</v>
      </c>
      <c r="G24" s="155">
        <f t="shared" ref="G24:G42" si="7">SUMIF($J$5:$J$504,"&gt;"&amp;B24)/COUNTIF($J$5:$J$504,"&gt;"&amp;B24)</f>
        <v>190.67280901173035</v>
      </c>
      <c r="I24">
        <v>20</v>
      </c>
      <c r="J24" s="23">
        <f>'$ Portfolio Loss'!P24</f>
        <v>-55.64056134970815</v>
      </c>
      <c r="L24">
        <v>322</v>
      </c>
      <c r="M24" s="23">
        <v>166.5165397828132</v>
      </c>
      <c r="O24">
        <v>350</v>
      </c>
      <c r="P24">
        <v>1</v>
      </c>
      <c r="Q24" s="40">
        <f t="shared" si="1"/>
        <v>2E-3</v>
      </c>
    </row>
    <row r="25" spans="1:17" x14ac:dyDescent="0.3">
      <c r="A25" s="2">
        <v>0.98499999999999999</v>
      </c>
      <c r="B25" s="1">
        <f t="shared" si="2"/>
        <v>149.55511986915934</v>
      </c>
      <c r="C25" s="1">
        <f t="shared" si="3"/>
        <v>8.8520016955484699</v>
      </c>
      <c r="D25" s="1">
        <f t="shared" si="4"/>
        <v>134.99487277445587</v>
      </c>
      <c r="E25" s="1">
        <f t="shared" si="5"/>
        <v>164.11536696386281</v>
      </c>
      <c r="F25" s="1">
        <f t="shared" si="6"/>
        <v>29.120494189406941</v>
      </c>
      <c r="G25" s="1">
        <f t="shared" si="7"/>
        <v>179.89637365473573</v>
      </c>
      <c r="I25">
        <v>21</v>
      </c>
      <c r="J25" s="23">
        <f>'$ Portfolio Loss'!P25</f>
        <v>-112.10616656601997</v>
      </c>
      <c r="L25">
        <v>441</v>
      </c>
      <c r="M25" s="23">
        <v>164.07487392111034</v>
      </c>
      <c r="O25">
        <v>400</v>
      </c>
      <c r="P25">
        <v>0</v>
      </c>
      <c r="Q25" s="40">
        <f t="shared" si="1"/>
        <v>0</v>
      </c>
    </row>
    <row r="26" spans="1:17" x14ac:dyDescent="0.3">
      <c r="A26" s="2">
        <v>0.98</v>
      </c>
      <c r="B26" s="1">
        <f t="shared" si="2"/>
        <v>142.52361130594082</v>
      </c>
      <c r="C26" s="1">
        <f t="shared" si="3"/>
        <v>7.9743990031387515</v>
      </c>
      <c r="D26" s="1">
        <f t="shared" si="4"/>
        <v>129.40689218286985</v>
      </c>
      <c r="E26" s="1">
        <f t="shared" si="5"/>
        <v>155.64033042901178</v>
      </c>
      <c r="F26" s="1">
        <f t="shared" si="6"/>
        <v>26.23343824614193</v>
      </c>
      <c r="G26" s="1">
        <f t="shared" si="7"/>
        <v>169.857131844799</v>
      </c>
      <c r="I26">
        <v>22</v>
      </c>
      <c r="J26" s="23">
        <f>'$ Portfolio Loss'!P26</f>
        <v>-55.451828801084048</v>
      </c>
      <c r="L26">
        <v>304</v>
      </c>
      <c r="M26" s="23">
        <v>160.77775746024599</v>
      </c>
      <c r="O26">
        <v>450</v>
      </c>
      <c r="P26">
        <v>0</v>
      </c>
      <c r="Q26" s="40">
        <f t="shared" si="1"/>
        <v>0</v>
      </c>
    </row>
    <row r="27" spans="1:17" x14ac:dyDescent="0.3">
      <c r="A27" s="2">
        <v>0.97499999999999998</v>
      </c>
      <c r="B27" s="1">
        <f t="shared" si="2"/>
        <v>132.94389701629018</v>
      </c>
      <c r="C27" s="1">
        <f t="shared" si="3"/>
        <v>7.3671993517473009</v>
      </c>
      <c r="D27" s="1">
        <f t="shared" si="4"/>
        <v>120.8259324420941</v>
      </c>
      <c r="E27" s="1">
        <f t="shared" si="5"/>
        <v>145.06186159048625</v>
      </c>
      <c r="F27" s="1">
        <f t="shared" si="6"/>
        <v>24.235929148392145</v>
      </c>
      <c r="G27" s="1">
        <f t="shared" si="7"/>
        <v>164.09452803978743</v>
      </c>
      <c r="I27">
        <v>23</v>
      </c>
      <c r="J27" s="23">
        <f>'$ Portfolio Loss'!P27</f>
        <v>25.203174980855692</v>
      </c>
      <c r="L27">
        <v>292</v>
      </c>
      <c r="M27" s="23">
        <v>157.59697152135959</v>
      </c>
      <c r="O27">
        <v>500</v>
      </c>
      <c r="P27">
        <v>1</v>
      </c>
      <c r="Q27" s="40">
        <f t="shared" si="1"/>
        <v>2E-3</v>
      </c>
    </row>
    <row r="28" spans="1:17" x14ac:dyDescent="0.3">
      <c r="A28" s="2">
        <v>0.97</v>
      </c>
      <c r="B28" s="1">
        <f t="shared" si="2"/>
        <v>129.94808580125098</v>
      </c>
      <c r="C28" s="1">
        <f t="shared" si="3"/>
        <v>6.9142921397137798</v>
      </c>
      <c r="D28" s="1">
        <f t="shared" si="4"/>
        <v>118.57508729744072</v>
      </c>
      <c r="E28" s="1">
        <f t="shared" si="5"/>
        <v>141.32108430506125</v>
      </c>
      <c r="F28" s="1">
        <f t="shared" si="6"/>
        <v>22.745997007620531</v>
      </c>
      <c r="G28" s="1">
        <f t="shared" si="7"/>
        <v>157.44453587042869</v>
      </c>
      <c r="I28">
        <v>24</v>
      </c>
      <c r="J28" s="23">
        <f>'$ Portfolio Loss'!P28</f>
        <v>23.094865730034144</v>
      </c>
      <c r="L28">
        <v>485</v>
      </c>
      <c r="M28" s="23">
        <v>156.82985649326292</v>
      </c>
    </row>
    <row r="29" spans="1:17" x14ac:dyDescent="0.3">
      <c r="A29" s="2">
        <v>0.96499999999999997</v>
      </c>
      <c r="B29" s="1">
        <f t="shared" si="2"/>
        <v>122.22466341253107</v>
      </c>
      <c r="C29" s="1">
        <f t="shared" si="3"/>
        <v>6.5594043199490146</v>
      </c>
      <c r="D29" s="1">
        <f t="shared" si="4"/>
        <v>111.43540342622178</v>
      </c>
      <c r="E29" s="1">
        <f t="shared" si="5"/>
        <v>133.01392339884035</v>
      </c>
      <c r="F29" s="1">
        <f t="shared" si="6"/>
        <v>21.578519972618565</v>
      </c>
      <c r="G29" s="1">
        <f t="shared" si="7"/>
        <v>153.51084685939145</v>
      </c>
      <c r="I29">
        <v>25</v>
      </c>
      <c r="J29" s="23">
        <f>'$ Portfolio Loss'!P29</f>
        <v>1.7622115508602292</v>
      </c>
      <c r="L29">
        <v>490</v>
      </c>
      <c r="M29" s="23">
        <v>156.51117493912352</v>
      </c>
    </row>
    <row r="30" spans="1:17" x14ac:dyDescent="0.3">
      <c r="A30" s="2">
        <v>0.96</v>
      </c>
      <c r="B30" s="1">
        <f t="shared" si="2"/>
        <v>120.07404964620034</v>
      </c>
      <c r="C30" s="1">
        <f t="shared" si="3"/>
        <v>6.2714575922396341</v>
      </c>
      <c r="D30" s="1">
        <f t="shared" si="4"/>
        <v>109.75841987933264</v>
      </c>
      <c r="E30" s="1">
        <f t="shared" si="5"/>
        <v>130.38967941306805</v>
      </c>
      <c r="F30" s="1">
        <f t="shared" si="6"/>
        <v>20.631259533735417</v>
      </c>
      <c r="G30" s="1">
        <f t="shared" si="7"/>
        <v>148.69853827819142</v>
      </c>
      <c r="I30">
        <v>26</v>
      </c>
      <c r="J30" s="23">
        <f>'$ Portfolio Loss'!P30</f>
        <v>-11.092839921404448</v>
      </c>
      <c r="L30">
        <v>249</v>
      </c>
      <c r="M30" s="23">
        <v>152.98155537234743</v>
      </c>
    </row>
    <row r="31" spans="1:17" x14ac:dyDescent="0.3">
      <c r="A31" s="2">
        <v>0.95499999999999996</v>
      </c>
      <c r="B31" s="1">
        <f t="shared" si="2"/>
        <v>117.72804759613484</v>
      </c>
      <c r="C31" s="1">
        <f t="shared" si="3"/>
        <v>6.0316776076924379</v>
      </c>
      <c r="D31" s="1">
        <f t="shared" si="4"/>
        <v>107.80682080651997</v>
      </c>
      <c r="E31" s="1">
        <f t="shared" si="5"/>
        <v>127.64927438574972</v>
      </c>
      <c r="F31" s="1">
        <f t="shared" si="6"/>
        <v>19.842453579229755</v>
      </c>
      <c r="G31" s="1">
        <f t="shared" si="7"/>
        <v>145.93616708624771</v>
      </c>
      <c r="I31">
        <v>27</v>
      </c>
      <c r="J31" s="23">
        <f>'$ Portfolio Loss'!P31</f>
        <v>83.47111815237804</v>
      </c>
      <c r="L31">
        <v>370</v>
      </c>
      <c r="M31" s="23">
        <v>152.58539501708401</v>
      </c>
    </row>
    <row r="32" spans="1:17" x14ac:dyDescent="0.3">
      <c r="A32" s="2">
        <v>0.95</v>
      </c>
      <c r="B32" s="1">
        <f t="shared" si="2"/>
        <v>109.73128310811953</v>
      </c>
      <c r="C32" s="1">
        <f t="shared" si="3"/>
        <v>5.8279528101716709</v>
      </c>
      <c r="D32" s="1">
        <f t="shared" si="4"/>
        <v>100.14515379060663</v>
      </c>
      <c r="E32" s="1">
        <f t="shared" si="5"/>
        <v>119.31741242563243</v>
      </c>
      <c r="F32" s="1">
        <f t="shared" si="6"/>
        <v>19.172258635025798</v>
      </c>
      <c r="G32" s="1">
        <f t="shared" si="7"/>
        <v>141.97958360508281</v>
      </c>
      <c r="I32">
        <v>28</v>
      </c>
      <c r="J32" s="23">
        <f>'$ Portfolio Loss'!P32</f>
        <v>-1.6298478305016033</v>
      </c>
      <c r="L32">
        <v>228</v>
      </c>
      <c r="M32" s="23">
        <v>151.05667825214732</v>
      </c>
    </row>
    <row r="33" spans="1:13" x14ac:dyDescent="0.3">
      <c r="A33" s="2">
        <v>0.94499999999999995</v>
      </c>
      <c r="B33" s="1">
        <f t="shared" si="2"/>
        <v>107.75725166548226</v>
      </c>
      <c r="C33" s="1">
        <f t="shared" ref="C33:C42" si="8">SQRT(A33*(1-A33)/$B$12)/_xlfn.NORM.DIST(_xlfn.NORM.INV(A33,$B$15,$B$16),$B$15,$B$16,FALSE)</f>
        <v>5.6520667897519337</v>
      </c>
      <c r="D33" s="1">
        <f t="shared" ref="D33:D42" si="9">B33-_xlfn.NORM.S.INV($B$21)*C33</f>
        <v>98.46042910658683</v>
      </c>
      <c r="E33" s="1">
        <f t="shared" ref="E33:E42" si="10">B33+_xlfn.NORM.S.INV($B$21)*C33</f>
        <v>117.05407422437769</v>
      </c>
      <c r="F33" s="1">
        <f t="shared" si="6"/>
        <v>18.593645117790857</v>
      </c>
      <c r="G33" s="1">
        <f t="shared" si="7"/>
        <v>139.54193096193032</v>
      </c>
      <c r="I33">
        <v>29</v>
      </c>
      <c r="J33" s="23">
        <f>'$ Portfolio Loss'!P33</f>
        <v>26.017542645062349</v>
      </c>
      <c r="L33">
        <v>336</v>
      </c>
      <c r="M33" s="23">
        <v>145.72147568348373</v>
      </c>
    </row>
    <row r="34" spans="1:13" x14ac:dyDescent="0.3">
      <c r="A34" s="2">
        <v>0.94</v>
      </c>
      <c r="B34" s="1">
        <f t="shared" si="2"/>
        <v>104.25253582970373</v>
      </c>
      <c r="C34" s="1">
        <f t="shared" si="8"/>
        <v>5.498219173237354</v>
      </c>
      <c r="D34" s="1">
        <f t="shared" si="9"/>
        <v>95.208770080830149</v>
      </c>
      <c r="E34" s="1">
        <f t="shared" si="10"/>
        <v>113.29630157857731</v>
      </c>
      <c r="F34" s="1">
        <f t="shared" si="6"/>
        <v>18.087531497747165</v>
      </c>
      <c r="G34" s="1">
        <f t="shared" si="7"/>
        <v>136.2094641033562</v>
      </c>
      <c r="I34">
        <v>30</v>
      </c>
      <c r="J34" s="23">
        <f>'$ Portfolio Loss'!P34</f>
        <v>130.07833819139523</v>
      </c>
      <c r="L34">
        <v>499</v>
      </c>
      <c r="M34" s="23">
        <v>142.53549443205702</v>
      </c>
    </row>
    <row r="35" spans="1:13" x14ac:dyDescent="0.3">
      <c r="A35" s="2">
        <v>0.93500000000000005</v>
      </c>
      <c r="B35" s="1">
        <f t="shared" si="2"/>
        <v>99.539487292416354</v>
      </c>
      <c r="C35" s="1">
        <f t="shared" si="8"/>
        <v>5.3621806594279624</v>
      </c>
      <c r="D35" s="1">
        <f t="shared" si="9"/>
        <v>90.719484986387243</v>
      </c>
      <c r="E35" s="1">
        <f t="shared" si="10"/>
        <v>108.35948959844546</v>
      </c>
      <c r="F35" s="1">
        <f t="shared" si="6"/>
        <v>17.64000461205822</v>
      </c>
      <c r="G35" s="1">
        <f t="shared" si="7"/>
        <v>134.06398119775406</v>
      </c>
      <c r="I35">
        <v>31</v>
      </c>
      <c r="J35" s="23">
        <f>'$ Portfolio Loss'!P35</f>
        <v>155.08620579541093</v>
      </c>
      <c r="L35">
        <v>135</v>
      </c>
      <c r="M35" s="23">
        <v>139.7373309141276</v>
      </c>
    </row>
    <row r="36" spans="1:13" x14ac:dyDescent="0.3">
      <c r="A36" s="2">
        <v>0.93</v>
      </c>
      <c r="B36" s="1">
        <f t="shared" si="2"/>
        <v>96.861200030373169</v>
      </c>
      <c r="C36" s="1">
        <f t="shared" si="8"/>
        <v>5.2407837757821687</v>
      </c>
      <c r="D36" s="1">
        <f t="shared" si="9"/>
        <v>88.240877828709444</v>
      </c>
      <c r="E36" s="1">
        <f t="shared" si="10"/>
        <v>105.48152223203689</v>
      </c>
      <c r="F36" s="1">
        <f t="shared" si="6"/>
        <v>17.240644403327451</v>
      </c>
      <c r="G36" s="1">
        <f t="shared" si="7"/>
        <v>130.94905921049684</v>
      </c>
      <c r="I36">
        <v>32</v>
      </c>
      <c r="J36" s="23">
        <f>'$ Portfolio Loss'!P36</f>
        <v>-32.206177312229556</v>
      </c>
      <c r="L36">
        <v>437</v>
      </c>
      <c r="M36" s="23">
        <v>136.98427225466185</v>
      </c>
    </row>
    <row r="37" spans="1:13" x14ac:dyDescent="0.3">
      <c r="A37" s="2">
        <v>0.92500000000000004</v>
      </c>
      <c r="B37" s="1">
        <f t="shared" si="2"/>
        <v>91.242870247424619</v>
      </c>
      <c r="C37" s="1">
        <f t="shared" si="8"/>
        <v>5.1316021614079688</v>
      </c>
      <c r="D37" s="1">
        <f t="shared" si="9"/>
        <v>82.802135820160714</v>
      </c>
      <c r="E37" s="1">
        <f t="shared" si="10"/>
        <v>99.683604674688524</v>
      </c>
      <c r="F37" s="1">
        <f t="shared" si="6"/>
        <v>16.88146885452781</v>
      </c>
      <c r="G37" s="1">
        <f t="shared" si="7"/>
        <v>128.94618159073917</v>
      </c>
      <c r="I37">
        <v>33</v>
      </c>
      <c r="J37" s="23">
        <f>'$ Portfolio Loss'!P37</f>
        <v>27.475564070495238</v>
      </c>
      <c r="L37">
        <v>408</v>
      </c>
      <c r="M37" s="23">
        <v>136.62167548815887</v>
      </c>
    </row>
    <row r="38" spans="1:13" x14ac:dyDescent="0.3">
      <c r="A38" s="2">
        <v>0.92</v>
      </c>
      <c r="B38" s="1">
        <f t="shared" si="2"/>
        <v>86.993617099999625</v>
      </c>
      <c r="C38" s="1">
        <f t="shared" si="8"/>
        <v>5.0327410009998719</v>
      </c>
      <c r="D38" s="1">
        <f t="shared" si="9"/>
        <v>78.715494810997612</v>
      </c>
      <c r="E38" s="1">
        <f t="shared" si="10"/>
        <v>95.271739389001638</v>
      </c>
      <c r="F38" s="1">
        <f t="shared" si="6"/>
        <v>16.556244578004026</v>
      </c>
      <c r="G38" s="1">
        <f t="shared" si="7"/>
        <v>126.00605373327912</v>
      </c>
      <c r="I38">
        <v>34</v>
      </c>
      <c r="J38" s="23">
        <f>'$ Portfolio Loss'!P38</f>
        <v>41.076332986156558</v>
      </c>
      <c r="L38">
        <v>256</v>
      </c>
      <c r="M38" s="23">
        <v>133.91624239557677</v>
      </c>
    </row>
    <row r="39" spans="1:13" x14ac:dyDescent="0.3">
      <c r="A39" s="2">
        <v>0.91500000000000004</v>
      </c>
      <c r="B39" s="1">
        <f t="shared" si="2"/>
        <v>85.07203760967478</v>
      </c>
      <c r="C39" s="1">
        <f t="shared" si="8"/>
        <v>4.9426957302798264</v>
      </c>
      <c r="D39" s="1">
        <f t="shared" si="9"/>
        <v>76.942026610806451</v>
      </c>
      <c r="E39" s="1">
        <f t="shared" si="10"/>
        <v>93.202048608543109</v>
      </c>
      <c r="F39" s="1">
        <f t="shared" si="6"/>
        <v>16.260021997736658</v>
      </c>
      <c r="G39" s="1">
        <f t="shared" si="7"/>
        <v>124.10575005635408</v>
      </c>
      <c r="I39">
        <v>35</v>
      </c>
      <c r="J39" s="23">
        <f>'$ Portfolio Loss'!P39</f>
        <v>-43.392817476582422</v>
      </c>
      <c r="L39">
        <v>459</v>
      </c>
      <c r="M39" s="23">
        <v>133.87470779802788</v>
      </c>
    </row>
    <row r="40" spans="1:13" x14ac:dyDescent="0.3">
      <c r="A40" s="2">
        <v>0.91</v>
      </c>
      <c r="B40" s="1">
        <f t="shared" si="2"/>
        <v>83.411056298661606</v>
      </c>
      <c r="C40" s="1">
        <f t="shared" si="8"/>
        <v>4.8602541668787573</v>
      </c>
      <c r="D40" s="1">
        <f t="shared" si="9"/>
        <v>75.416649604365077</v>
      </c>
      <c r="E40" s="1">
        <f t="shared" si="10"/>
        <v>91.405462992958135</v>
      </c>
      <c r="F40" s="1">
        <f t="shared" si="6"/>
        <v>15.988813388593059</v>
      </c>
      <c r="G40" s="1">
        <f t="shared" si="7"/>
        <v>121.43028142275948</v>
      </c>
      <c r="I40">
        <v>36</v>
      </c>
      <c r="J40" s="23">
        <f>'$ Portfolio Loss'!P40</f>
        <v>81.319532510622594</v>
      </c>
      <c r="L40">
        <v>498</v>
      </c>
      <c r="M40" s="23">
        <v>133.74437618429511</v>
      </c>
    </row>
    <row r="41" spans="1:13" x14ac:dyDescent="0.3">
      <c r="A41" s="2">
        <v>0.90500000000000003</v>
      </c>
      <c r="B41" s="1">
        <f t="shared" si="2"/>
        <v>82.543854124078678</v>
      </c>
      <c r="C41" s="1">
        <f t="shared" si="8"/>
        <v>4.7844271096161295</v>
      </c>
      <c r="D41" s="1">
        <f t="shared" si="9"/>
        <v>74.674171839941636</v>
      </c>
      <c r="E41" s="1">
        <f t="shared" si="10"/>
        <v>90.41353640821572</v>
      </c>
      <c r="F41" s="1">
        <f t="shared" si="6"/>
        <v>15.739364568274084</v>
      </c>
      <c r="G41" s="1">
        <f t="shared" si="7"/>
        <v>119.7861929263341</v>
      </c>
      <c r="I41">
        <v>37</v>
      </c>
      <c r="J41" s="23">
        <f>'$ Portfolio Loss'!P41</f>
        <v>-15.751944281506439</v>
      </c>
      <c r="L41">
        <v>366</v>
      </c>
      <c r="M41" s="23">
        <v>131.2871219465178</v>
      </c>
    </row>
    <row r="42" spans="1:13" x14ac:dyDescent="0.3">
      <c r="A42" s="2">
        <v>0.9</v>
      </c>
      <c r="B42" s="1">
        <f t="shared" si="2"/>
        <v>82.130682785245</v>
      </c>
      <c r="C42" s="1">
        <f t="shared" si="8"/>
        <v>4.714398099355793</v>
      </c>
      <c r="D42" s="1">
        <f t="shared" si="9"/>
        <v>74.376187972626497</v>
      </c>
      <c r="E42" s="1">
        <f t="shared" si="10"/>
        <v>89.885177597863503</v>
      </c>
      <c r="F42" s="1">
        <f t="shared" si="6"/>
        <v>15.508989625237007</v>
      </c>
      <c r="G42" s="1">
        <f t="shared" si="7"/>
        <v>117.53768732702112</v>
      </c>
      <c r="I42">
        <v>38</v>
      </c>
      <c r="J42" s="23">
        <f>'$ Portfolio Loss'!P42</f>
        <v>-97.387233190371262</v>
      </c>
      <c r="L42">
        <v>415</v>
      </c>
      <c r="M42" s="23">
        <v>131.03039933957552</v>
      </c>
    </row>
    <row r="43" spans="1:13" x14ac:dyDescent="0.3">
      <c r="A43" s="2"/>
      <c r="I43">
        <v>39</v>
      </c>
      <c r="J43" s="23">
        <f>'$ Portfolio Loss'!P43</f>
        <v>-45.240596867106433</v>
      </c>
      <c r="L43">
        <v>375</v>
      </c>
      <c r="M43" s="23">
        <v>129.24069165022593</v>
      </c>
    </row>
    <row r="44" spans="1:13" x14ac:dyDescent="0.3">
      <c r="A44" s="2"/>
      <c r="I44">
        <v>40</v>
      </c>
      <c r="J44" s="23">
        <f>'$ Portfolio Loss'!P44</f>
        <v>35.174552520771613</v>
      </c>
      <c r="L44">
        <v>298</v>
      </c>
      <c r="M44" s="23">
        <v>128.27438934693964</v>
      </c>
    </row>
    <row r="45" spans="1:13" x14ac:dyDescent="0.3">
      <c r="A45" s="2"/>
      <c r="I45">
        <v>41</v>
      </c>
      <c r="J45" s="23">
        <f>'$ Portfolio Loss'!P45</f>
        <v>-51.852351654193626</v>
      </c>
      <c r="L45">
        <v>241</v>
      </c>
      <c r="M45" s="23">
        <v>127.9211213055969</v>
      </c>
    </row>
    <row r="46" spans="1:13" x14ac:dyDescent="0.3">
      <c r="A46" s="9">
        <v>0.99</v>
      </c>
      <c r="B46" s="155">
        <v>253.03084612858845</v>
      </c>
      <c r="C46" s="155">
        <v>15.643455303475813</v>
      </c>
      <c r="D46" s="155">
        <v>227.29965193461302</v>
      </c>
      <c r="E46" s="155">
        <v>278.76204032256385</v>
      </c>
      <c r="F46" s="155">
        <v>51.462388387950824</v>
      </c>
      <c r="G46" s="155">
        <v>327.18123432927712</v>
      </c>
      <c r="I46">
        <v>42</v>
      </c>
      <c r="J46" s="23">
        <f>'$ Portfolio Loss'!P46</f>
        <v>-28.987070945604501</v>
      </c>
      <c r="L46">
        <v>142</v>
      </c>
      <c r="M46" s="23">
        <v>127.69298705638721</v>
      </c>
    </row>
    <row r="47" spans="1:13" x14ac:dyDescent="0.3">
      <c r="I47">
        <v>43</v>
      </c>
      <c r="J47" s="23">
        <f>'$ Portfolio Loss'!P47</f>
        <v>9.0124274134759617</v>
      </c>
      <c r="L47">
        <v>429</v>
      </c>
      <c r="M47" s="23">
        <v>125.46235599386819</v>
      </c>
    </row>
    <row r="48" spans="1:13" x14ac:dyDescent="0.3">
      <c r="I48">
        <v>44</v>
      </c>
      <c r="J48" s="23">
        <f>'$ Portfolio Loss'!P48</f>
        <v>-0.76697302039065107</v>
      </c>
      <c r="L48">
        <v>98</v>
      </c>
      <c r="M48" s="23">
        <v>124.43121451282423</v>
      </c>
    </row>
    <row r="49" spans="9:13" x14ac:dyDescent="0.3">
      <c r="I49">
        <v>45</v>
      </c>
      <c r="J49" s="23">
        <f>'$ Portfolio Loss'!P49</f>
        <v>59.84980215948417</v>
      </c>
      <c r="L49">
        <v>481</v>
      </c>
      <c r="M49" s="23">
        <v>123.34256543069023</v>
      </c>
    </row>
    <row r="50" spans="9:13" x14ac:dyDescent="0.3">
      <c r="I50">
        <v>46</v>
      </c>
      <c r="J50" s="23">
        <f>'$ Portfolio Loss'!P50</f>
        <v>-70.807302666375108</v>
      </c>
      <c r="L50">
        <v>488</v>
      </c>
      <c r="M50" s="23">
        <v>123.0999335494671</v>
      </c>
    </row>
    <row r="51" spans="9:13" x14ac:dyDescent="0.3">
      <c r="I51">
        <v>47</v>
      </c>
      <c r="J51" s="23">
        <f>'$ Portfolio Loss'!P51</f>
        <v>-101.25381715687399</v>
      </c>
      <c r="L51">
        <v>451</v>
      </c>
      <c r="M51" s="23">
        <v>123.04408139780935</v>
      </c>
    </row>
    <row r="52" spans="9:13" x14ac:dyDescent="0.3">
      <c r="I52">
        <v>48</v>
      </c>
      <c r="J52" s="23">
        <f>'$ Portfolio Loss'!P52</f>
        <v>24.048701912724937</v>
      </c>
      <c r="L52">
        <v>240</v>
      </c>
      <c r="M52" s="23">
        <v>122.93748785324351</v>
      </c>
    </row>
    <row r="53" spans="9:13" x14ac:dyDescent="0.3">
      <c r="I53">
        <v>49</v>
      </c>
      <c r="J53" s="23">
        <f>'$ Portfolio Loss'!P53</f>
        <v>29.747836032629493</v>
      </c>
      <c r="L53">
        <v>141</v>
      </c>
      <c r="M53" s="23">
        <v>122.608223349529</v>
      </c>
    </row>
    <row r="54" spans="9:13" x14ac:dyDescent="0.3">
      <c r="I54">
        <v>50</v>
      </c>
      <c r="J54" s="23">
        <f>'$ Portfolio Loss'!P54</f>
        <v>-23.652915855562242</v>
      </c>
      <c r="L54">
        <v>296</v>
      </c>
      <c r="M54" s="23">
        <v>121.03198824976062</v>
      </c>
    </row>
    <row r="55" spans="9:13" x14ac:dyDescent="0.3">
      <c r="I55">
        <v>51</v>
      </c>
      <c r="J55" s="23">
        <f>'$ Portfolio Loss'!P55</f>
        <v>43.190384607334636</v>
      </c>
      <c r="L55">
        <v>427</v>
      </c>
      <c r="M55" s="23">
        <v>121.01042413684809</v>
      </c>
    </row>
    <row r="56" spans="9:13" x14ac:dyDescent="0.3">
      <c r="I56">
        <v>52</v>
      </c>
      <c r="J56" s="23">
        <f>'$ Portfolio Loss'!P56</f>
        <v>84.450097055050719</v>
      </c>
      <c r="L56">
        <v>469</v>
      </c>
      <c r="M56" s="23">
        <v>120.23273209612489</v>
      </c>
    </row>
    <row r="57" spans="9:13" x14ac:dyDescent="0.3">
      <c r="I57">
        <v>53</v>
      </c>
      <c r="J57" s="23">
        <f>'$ Portfolio Loss'!P57</f>
        <v>-2.4106247774107032</v>
      </c>
      <c r="L57">
        <v>358</v>
      </c>
      <c r="M57" s="23">
        <v>119.18281433402262</v>
      </c>
    </row>
    <row r="58" spans="9:13" x14ac:dyDescent="0.3">
      <c r="I58">
        <v>54</v>
      </c>
      <c r="J58" s="23">
        <f>'$ Portfolio Loss'!P58</f>
        <v>-75.519634658701762</v>
      </c>
      <c r="L58">
        <v>445</v>
      </c>
      <c r="M58" s="23">
        <v>118.11657607364032</v>
      </c>
    </row>
    <row r="59" spans="9:13" x14ac:dyDescent="0.3">
      <c r="I59">
        <v>55</v>
      </c>
      <c r="J59" s="23">
        <f>'$ Portfolio Loss'!P59</f>
        <v>-45.211974040936184</v>
      </c>
      <c r="L59">
        <v>21</v>
      </c>
      <c r="M59" s="23">
        <v>118.08934495997346</v>
      </c>
    </row>
    <row r="60" spans="9:13" x14ac:dyDescent="0.3">
      <c r="I60">
        <v>56</v>
      </c>
      <c r="J60" s="23">
        <f>'$ Portfolio Loss'!P60</f>
        <v>-38.067827783341272</v>
      </c>
      <c r="L60">
        <v>302</v>
      </c>
      <c r="M60" s="23">
        <v>117.99525083352819</v>
      </c>
    </row>
    <row r="61" spans="9:13" x14ac:dyDescent="0.3">
      <c r="I61">
        <v>57</v>
      </c>
      <c r="J61" s="23">
        <f>'$ Portfolio Loss'!P61</f>
        <v>-12.17901148486817</v>
      </c>
      <c r="L61">
        <v>225</v>
      </c>
      <c r="M61" s="23">
        <v>117.81808259283571</v>
      </c>
    </row>
    <row r="62" spans="9:13" x14ac:dyDescent="0.3">
      <c r="I62">
        <v>58</v>
      </c>
      <c r="J62" s="23">
        <f>'$ Portfolio Loss'!P62</f>
        <v>18.049147858888318</v>
      </c>
      <c r="L62">
        <v>334</v>
      </c>
      <c r="M62" s="23">
        <v>117.38142640045953</v>
      </c>
    </row>
    <row r="63" spans="9:13" x14ac:dyDescent="0.3">
      <c r="I63">
        <v>59</v>
      </c>
      <c r="J63" s="23">
        <f>'$ Portfolio Loss'!P63</f>
        <v>41.47714379673198</v>
      </c>
      <c r="L63">
        <v>132</v>
      </c>
      <c r="M63" s="23">
        <v>113.97078774600413</v>
      </c>
    </row>
    <row r="64" spans="9:13" x14ac:dyDescent="0.3">
      <c r="I64">
        <v>60</v>
      </c>
      <c r="J64" s="23">
        <f>'$ Portfolio Loss'!P64</f>
        <v>14.292364227270809</v>
      </c>
      <c r="L64">
        <v>465</v>
      </c>
      <c r="M64" s="23">
        <v>113.09410090882193</v>
      </c>
    </row>
    <row r="65" spans="9:13" x14ac:dyDescent="0.3">
      <c r="I65">
        <v>61</v>
      </c>
      <c r="J65" s="23">
        <f>'$ Portfolio Loss'!P65</f>
        <v>-39.02391067921053</v>
      </c>
      <c r="L65">
        <v>371</v>
      </c>
      <c r="M65" s="23">
        <v>112.44478436864847</v>
      </c>
    </row>
    <row r="66" spans="9:13" x14ac:dyDescent="0.3">
      <c r="I66">
        <v>62</v>
      </c>
      <c r="J66" s="23">
        <f>'$ Portfolio Loss'!P66</f>
        <v>-31.425997423397348</v>
      </c>
      <c r="L66">
        <v>254</v>
      </c>
      <c r="M66" s="23">
        <v>112.42275590582722</v>
      </c>
    </row>
    <row r="67" spans="9:13" x14ac:dyDescent="0.3">
      <c r="I67">
        <v>63</v>
      </c>
      <c r="J67" s="23">
        <f>'$ Portfolio Loss'!P67</f>
        <v>-45.503498612602925</v>
      </c>
      <c r="L67">
        <v>233</v>
      </c>
      <c r="M67" s="23">
        <v>108.81012583367192</v>
      </c>
    </row>
    <row r="68" spans="9:13" x14ac:dyDescent="0.3">
      <c r="I68">
        <v>64</v>
      </c>
      <c r="J68" s="23">
        <f>'$ Portfolio Loss'!P68</f>
        <v>-75.332368974681231</v>
      </c>
      <c r="L68">
        <v>194</v>
      </c>
      <c r="M68" s="23">
        <v>106.08073291957771</v>
      </c>
    </row>
    <row r="69" spans="9:13" x14ac:dyDescent="0.3">
      <c r="I69">
        <v>65</v>
      </c>
      <c r="J69" s="23">
        <f>'$ Portfolio Loss'!P69</f>
        <v>-13.703420104413453</v>
      </c>
      <c r="L69">
        <v>350</v>
      </c>
      <c r="M69" s="23">
        <v>105.65210020491941</v>
      </c>
    </row>
    <row r="70" spans="9:13" x14ac:dyDescent="0.3">
      <c r="I70">
        <v>66</v>
      </c>
      <c r="J70" s="23">
        <f>'$ Portfolio Loss'!P70</f>
        <v>-52.041807418727331</v>
      </c>
      <c r="L70">
        <v>364</v>
      </c>
      <c r="M70" s="23">
        <v>104.89806083192889</v>
      </c>
    </row>
    <row r="71" spans="9:13" x14ac:dyDescent="0.3">
      <c r="I71">
        <v>67</v>
      </c>
      <c r="J71" s="23">
        <f>'$ Portfolio Loss'!P71</f>
        <v>27.793594823559033</v>
      </c>
      <c r="L71">
        <v>472</v>
      </c>
      <c r="M71" s="23">
        <v>103.14199662658939</v>
      </c>
    </row>
    <row r="72" spans="9:13" x14ac:dyDescent="0.3">
      <c r="I72">
        <v>68</v>
      </c>
      <c r="J72" s="23">
        <f>'$ Portfolio Loss'!P72</f>
        <v>-21.149687750057637</v>
      </c>
      <c r="L72">
        <v>453</v>
      </c>
      <c r="M72" s="23">
        <v>102.16532099117103</v>
      </c>
    </row>
    <row r="73" spans="9:13" x14ac:dyDescent="0.3">
      <c r="I73">
        <v>69</v>
      </c>
      <c r="J73" s="23">
        <f>'$ Portfolio Loss'!P73</f>
        <v>14.972752358245998</v>
      </c>
      <c r="L73">
        <v>20</v>
      </c>
      <c r="M73" s="23">
        <v>101.20088325966572</v>
      </c>
    </row>
    <row r="74" spans="9:13" x14ac:dyDescent="0.3">
      <c r="I74">
        <v>70</v>
      </c>
      <c r="J74" s="23">
        <f>'$ Portfolio Loss'!P74</f>
        <v>10.577998784774536</v>
      </c>
      <c r="L74">
        <v>461</v>
      </c>
      <c r="M74" s="23">
        <v>100.80099496688126</v>
      </c>
    </row>
    <row r="75" spans="9:13" x14ac:dyDescent="0.3">
      <c r="I75">
        <v>71</v>
      </c>
      <c r="J75" s="23">
        <f>'$ Portfolio Loss'!P75</f>
        <v>-49.688514878745991</v>
      </c>
      <c r="L75">
        <v>351</v>
      </c>
      <c r="M75" s="23">
        <v>100.48137997735466</v>
      </c>
    </row>
    <row r="76" spans="9:13" x14ac:dyDescent="0.3">
      <c r="I76">
        <v>72</v>
      </c>
      <c r="J76" s="23">
        <f>'$ Portfolio Loss'!P76</f>
        <v>42.140566460897389</v>
      </c>
      <c r="L76">
        <v>193</v>
      </c>
      <c r="M76" s="23">
        <v>99.966077181925357</v>
      </c>
    </row>
    <row r="77" spans="9:13" x14ac:dyDescent="0.3">
      <c r="I77">
        <v>73</v>
      </c>
      <c r="J77" s="23">
        <f>'$ Portfolio Loss'!P77</f>
        <v>-52.090910776058081</v>
      </c>
      <c r="L77">
        <v>175</v>
      </c>
      <c r="M77" s="23">
        <v>99.588270163307243</v>
      </c>
    </row>
    <row r="78" spans="9:13" x14ac:dyDescent="0.3">
      <c r="I78">
        <v>74</v>
      </c>
      <c r="J78" s="23">
        <f>'$ Portfolio Loss'!P78</f>
        <v>42.062891708150346</v>
      </c>
      <c r="L78">
        <v>318</v>
      </c>
      <c r="M78" s="23">
        <v>98.372581884141255</v>
      </c>
    </row>
    <row r="79" spans="9:13" x14ac:dyDescent="0.3">
      <c r="I79">
        <v>75</v>
      </c>
      <c r="J79" s="23">
        <f>'$ Portfolio Loss'!P79</f>
        <v>29.492935027308704</v>
      </c>
      <c r="L79">
        <v>321</v>
      </c>
      <c r="M79" s="23">
        <v>97.34824603116067</v>
      </c>
    </row>
    <row r="80" spans="9:13" x14ac:dyDescent="0.3">
      <c r="I80">
        <v>76</v>
      </c>
      <c r="J80" s="23">
        <f>'$ Portfolio Loss'!P80</f>
        <v>90.974661000205742</v>
      </c>
      <c r="L80">
        <v>335</v>
      </c>
      <c r="M80" s="23">
        <v>96.385817169086295</v>
      </c>
    </row>
    <row r="81" spans="9:13" x14ac:dyDescent="0.3">
      <c r="I81">
        <v>77</v>
      </c>
      <c r="J81" s="23">
        <f>'$ Portfolio Loss'!P81</f>
        <v>-7.7669676584409899</v>
      </c>
      <c r="L81">
        <v>284</v>
      </c>
      <c r="M81" s="23">
        <v>95.038025661946449</v>
      </c>
    </row>
    <row r="82" spans="9:13" x14ac:dyDescent="0.3">
      <c r="I82">
        <v>78</v>
      </c>
      <c r="J82" s="23">
        <f>'$ Portfolio Loss'!P82</f>
        <v>-18.078819578435287</v>
      </c>
      <c r="L82">
        <v>416</v>
      </c>
      <c r="M82" s="23">
        <v>93.601425174438191</v>
      </c>
    </row>
    <row r="83" spans="9:13" x14ac:dyDescent="0.3">
      <c r="I83">
        <v>79</v>
      </c>
      <c r="J83" s="23">
        <f>'$ Portfolio Loss'!P83</f>
        <v>-35.439429521753482</v>
      </c>
      <c r="L83">
        <v>389</v>
      </c>
      <c r="M83" s="23">
        <v>93.099163924864115</v>
      </c>
    </row>
    <row r="84" spans="9:13" x14ac:dyDescent="0.3">
      <c r="I84">
        <v>80</v>
      </c>
      <c r="J84" s="23">
        <f>'$ Portfolio Loss'!P84</f>
        <v>-44.390868681701249</v>
      </c>
      <c r="L84">
        <v>430</v>
      </c>
      <c r="M84" s="23">
        <v>90.567430256933221</v>
      </c>
    </row>
    <row r="85" spans="9:13" x14ac:dyDescent="0.3">
      <c r="I85">
        <v>81</v>
      </c>
      <c r="J85" s="23">
        <f>'$ Portfolio Loss'!P85</f>
        <v>-31.677569586667232</v>
      </c>
      <c r="L85">
        <v>418</v>
      </c>
      <c r="M85" s="23">
        <v>90.533427239264711</v>
      </c>
    </row>
    <row r="86" spans="9:13" x14ac:dyDescent="0.3">
      <c r="I86">
        <v>82</v>
      </c>
      <c r="J86" s="23">
        <f>'$ Portfolio Loss'!P86</f>
        <v>-42.637269321383428</v>
      </c>
      <c r="L86">
        <v>444</v>
      </c>
      <c r="M86" s="23">
        <v>88.545575824464322</v>
      </c>
    </row>
    <row r="87" spans="9:13" x14ac:dyDescent="0.3">
      <c r="I87">
        <v>83</v>
      </c>
      <c r="J87" s="23">
        <f>'$ Portfolio Loss'!P87</f>
        <v>-42.78123194343425</v>
      </c>
      <c r="L87">
        <v>299</v>
      </c>
      <c r="M87" s="23">
        <v>86.96428468583872</v>
      </c>
    </row>
    <row r="88" spans="9:13" x14ac:dyDescent="0.3">
      <c r="I88">
        <v>84</v>
      </c>
      <c r="J88" s="23">
        <f>'$ Portfolio Loss'!P88</f>
        <v>52.159878670374383</v>
      </c>
      <c r="L88">
        <v>466</v>
      </c>
      <c r="M88" s="23">
        <v>84.359650178445008</v>
      </c>
    </row>
    <row r="89" spans="9:13" x14ac:dyDescent="0.3">
      <c r="I89">
        <v>85</v>
      </c>
      <c r="J89" s="23">
        <f>'$ Portfolio Loss'!P89</f>
        <v>-25.871490935322072</v>
      </c>
      <c r="L89">
        <v>435</v>
      </c>
      <c r="M89" s="23">
        <v>82.771221278409939</v>
      </c>
    </row>
    <row r="90" spans="9:13" x14ac:dyDescent="0.3">
      <c r="I90">
        <v>86</v>
      </c>
      <c r="J90" s="23">
        <f>'$ Portfolio Loss'!P90</f>
        <v>-23.92512322683433</v>
      </c>
      <c r="L90">
        <v>134</v>
      </c>
      <c r="M90" s="23">
        <v>81.942326419741221</v>
      </c>
    </row>
    <row r="91" spans="9:13" x14ac:dyDescent="0.3">
      <c r="I91">
        <v>87</v>
      </c>
      <c r="J91" s="23">
        <f>'$ Portfolio Loss'!P91</f>
        <v>62.287658887842554</v>
      </c>
      <c r="L91">
        <v>392</v>
      </c>
      <c r="M91" s="23">
        <v>81.909793142953276</v>
      </c>
    </row>
    <row r="92" spans="9:13" x14ac:dyDescent="0.3">
      <c r="I92">
        <v>88</v>
      </c>
      <c r="J92" s="23">
        <f>'$ Portfolio Loss'!P92</f>
        <v>15.815665313972204</v>
      </c>
      <c r="L92">
        <v>294</v>
      </c>
      <c r="M92" s="23">
        <v>81.74057500199342</v>
      </c>
    </row>
    <row r="93" spans="9:13" x14ac:dyDescent="0.3">
      <c r="I93">
        <v>89</v>
      </c>
      <c r="J93" s="23">
        <f>'$ Portfolio Loss'!P93</f>
        <v>21.396406804200524</v>
      </c>
      <c r="L93">
        <v>406</v>
      </c>
      <c r="M93" s="23">
        <v>81.162557870480668</v>
      </c>
    </row>
    <row r="94" spans="9:13" x14ac:dyDescent="0.3">
      <c r="I94">
        <v>90</v>
      </c>
      <c r="J94" s="23">
        <f>'$ Portfolio Loss'!P94</f>
        <v>98.788857615676534</v>
      </c>
      <c r="L94">
        <v>393</v>
      </c>
      <c r="M94" s="23">
        <v>80.53876630713421</v>
      </c>
    </row>
    <row r="95" spans="9:13" x14ac:dyDescent="0.3">
      <c r="I95">
        <v>91</v>
      </c>
      <c r="J95" s="23">
        <f>'$ Portfolio Loss'!P95</f>
        <v>14.180501838131022</v>
      </c>
      <c r="L95">
        <v>486</v>
      </c>
      <c r="M95" s="23">
        <v>79.353220281544054</v>
      </c>
    </row>
    <row r="96" spans="9:13" x14ac:dyDescent="0.3">
      <c r="I96">
        <v>92</v>
      </c>
      <c r="J96" s="23">
        <f>'$ Portfolio Loss'!P96</f>
        <v>40.34537678045308</v>
      </c>
      <c r="L96">
        <v>337</v>
      </c>
      <c r="M96" s="23">
        <v>77.734542978660102</v>
      </c>
    </row>
    <row r="97" spans="9:13" x14ac:dyDescent="0.3">
      <c r="I97">
        <v>93</v>
      </c>
      <c r="J97" s="23">
        <f>'$ Portfolio Loss'!P97</f>
        <v>33.763832907512551</v>
      </c>
      <c r="L97">
        <v>313</v>
      </c>
      <c r="M97" s="23">
        <v>77.697118357044019</v>
      </c>
    </row>
    <row r="98" spans="9:13" x14ac:dyDescent="0.3">
      <c r="I98">
        <v>94</v>
      </c>
      <c r="J98" s="23">
        <f>'$ Portfolio Loss'!P98</f>
        <v>83.999946449876006</v>
      </c>
      <c r="L98">
        <v>221</v>
      </c>
      <c r="M98" s="23">
        <v>76.827023197807648</v>
      </c>
    </row>
    <row r="99" spans="9:13" x14ac:dyDescent="0.3">
      <c r="I99">
        <v>95</v>
      </c>
      <c r="J99" s="23">
        <f>'$ Portfolio Loss'!P99</f>
        <v>45.596149453640464</v>
      </c>
      <c r="L99">
        <v>74</v>
      </c>
      <c r="M99" s="23">
        <v>76.726569187892892</v>
      </c>
    </row>
    <row r="100" spans="9:13" x14ac:dyDescent="0.3">
      <c r="I100">
        <v>96</v>
      </c>
      <c r="J100" s="23">
        <f>'$ Portfolio Loss'!P100</f>
        <v>27.742666606205603</v>
      </c>
      <c r="L100">
        <v>345</v>
      </c>
      <c r="M100" s="23">
        <v>74.993330123194028</v>
      </c>
    </row>
    <row r="101" spans="9:13" x14ac:dyDescent="0.3">
      <c r="I101">
        <v>97</v>
      </c>
      <c r="J101" s="23">
        <f>'$ Portfolio Loss'!P101</f>
        <v>55.943662541565573</v>
      </c>
      <c r="L101">
        <v>331</v>
      </c>
      <c r="M101" s="23">
        <v>74.736998641259561</v>
      </c>
    </row>
    <row r="102" spans="9:13" x14ac:dyDescent="0.3">
      <c r="I102">
        <v>98</v>
      </c>
      <c r="J102" s="23">
        <f>'$ Portfolio Loss'!P102</f>
        <v>-75.187363725979594</v>
      </c>
      <c r="L102">
        <v>205</v>
      </c>
      <c r="M102" s="23">
        <v>74.376110768313083</v>
      </c>
    </row>
    <row r="103" spans="9:13" x14ac:dyDescent="0.3">
      <c r="I103">
        <v>99</v>
      </c>
      <c r="J103" s="23">
        <f>'$ Portfolio Loss'!P103</f>
        <v>54.684932618347375</v>
      </c>
      <c r="L103">
        <v>356</v>
      </c>
      <c r="M103" s="23">
        <v>73.181802204910127</v>
      </c>
    </row>
    <row r="104" spans="9:13" x14ac:dyDescent="0.3">
      <c r="I104">
        <v>100</v>
      </c>
      <c r="J104" s="23">
        <f>'$ Portfolio Loss'!P104</f>
        <v>17.608126440696651</v>
      </c>
      <c r="L104">
        <v>127</v>
      </c>
      <c r="M104" s="23">
        <v>70.760172174293984</v>
      </c>
    </row>
    <row r="105" spans="9:13" x14ac:dyDescent="0.3">
      <c r="I105">
        <v>101</v>
      </c>
      <c r="J105" s="23">
        <f>'$ Portfolio Loss'!P105</f>
        <v>46.923438349458593</v>
      </c>
      <c r="L105">
        <v>23</v>
      </c>
      <c r="M105" s="23">
        <v>70.545222813823784</v>
      </c>
    </row>
    <row r="106" spans="9:13" x14ac:dyDescent="0.3">
      <c r="I106">
        <v>102</v>
      </c>
      <c r="J106" s="23">
        <f>'$ Portfolio Loss'!P106</f>
        <v>-64.205861462356552</v>
      </c>
      <c r="L106">
        <v>280</v>
      </c>
      <c r="M106" s="23">
        <v>70.031677358780144</v>
      </c>
    </row>
    <row r="107" spans="9:13" x14ac:dyDescent="0.3">
      <c r="I107">
        <v>103</v>
      </c>
      <c r="J107" s="23">
        <f>'$ Portfolio Loss'!P107</f>
        <v>-25.158564551336895</v>
      </c>
      <c r="L107">
        <v>185</v>
      </c>
      <c r="M107" s="23">
        <v>69.843817755114287</v>
      </c>
    </row>
    <row r="108" spans="9:13" x14ac:dyDescent="0.3">
      <c r="I108">
        <v>104</v>
      </c>
      <c r="J108" s="23">
        <f>'$ Portfolio Loss'!P108</f>
        <v>-46.415000211824008</v>
      </c>
      <c r="L108">
        <v>197</v>
      </c>
      <c r="M108" s="23">
        <v>68.742833969195999</v>
      </c>
    </row>
    <row r="109" spans="9:13" x14ac:dyDescent="0.3">
      <c r="I109">
        <v>105</v>
      </c>
      <c r="J109" s="23">
        <f>'$ Portfolio Loss'!P109</f>
        <v>41.544658048424026</v>
      </c>
      <c r="L109">
        <v>464</v>
      </c>
      <c r="M109" s="23">
        <v>68.619104822671943</v>
      </c>
    </row>
    <row r="110" spans="9:13" x14ac:dyDescent="0.3">
      <c r="I110">
        <v>106</v>
      </c>
      <c r="J110" s="23">
        <f>'$ Portfolio Loss'!P110</f>
        <v>43.216045745144584</v>
      </c>
      <c r="L110">
        <v>423</v>
      </c>
      <c r="M110" s="23">
        <v>66.859117746642369</v>
      </c>
    </row>
    <row r="111" spans="9:13" x14ac:dyDescent="0.3">
      <c r="I111">
        <v>107</v>
      </c>
      <c r="J111" s="23">
        <f>'$ Portfolio Loss'!P111</f>
        <v>-69.165800514263537</v>
      </c>
      <c r="L111">
        <v>257</v>
      </c>
      <c r="M111" s="23">
        <v>65.949462420958298</v>
      </c>
    </row>
    <row r="112" spans="9:13" x14ac:dyDescent="0.3">
      <c r="I112">
        <v>108</v>
      </c>
      <c r="J112" s="23">
        <f>'$ Portfolio Loss'!P112</f>
        <v>-29.763899731253332</v>
      </c>
      <c r="L112">
        <v>100</v>
      </c>
      <c r="M112" s="23">
        <v>65.274593593121608</v>
      </c>
    </row>
    <row r="113" spans="9:13" x14ac:dyDescent="0.3">
      <c r="I113">
        <v>109</v>
      </c>
      <c r="J113" s="23">
        <f>'$ Portfolio Loss'!P113</f>
        <v>19.397871418801515</v>
      </c>
      <c r="L113">
        <v>111</v>
      </c>
      <c r="M113" s="23">
        <v>64.899406574546447</v>
      </c>
    </row>
    <row r="114" spans="9:13" x14ac:dyDescent="0.3">
      <c r="I114">
        <v>110</v>
      </c>
      <c r="J114" s="23">
        <f>'$ Portfolio Loss'!P114</f>
        <v>1.7180168891118228</v>
      </c>
      <c r="L114">
        <v>231</v>
      </c>
      <c r="M114" s="23">
        <v>63.470986382711999</v>
      </c>
    </row>
    <row r="115" spans="9:13" x14ac:dyDescent="0.3">
      <c r="I115">
        <v>111</v>
      </c>
      <c r="J115" s="23">
        <f>'$ Portfolio Loss'!P115</f>
        <v>-18.899386624620092</v>
      </c>
      <c r="L115">
        <v>31</v>
      </c>
      <c r="M115" s="23">
        <v>62.820878858023207</v>
      </c>
    </row>
    <row r="116" spans="9:13" x14ac:dyDescent="0.3">
      <c r="I116">
        <v>112</v>
      </c>
      <c r="J116" s="23">
        <f>'$ Portfolio Loss'!P116</f>
        <v>-27.654003693322011</v>
      </c>
      <c r="L116">
        <v>110</v>
      </c>
      <c r="M116" s="23">
        <v>60.567651861278136</v>
      </c>
    </row>
    <row r="117" spans="9:13" x14ac:dyDescent="0.3">
      <c r="I117">
        <v>113</v>
      </c>
      <c r="J117" s="23">
        <f>'$ Portfolio Loss'!P117</f>
        <v>10.472959496466501</v>
      </c>
      <c r="L117">
        <v>338</v>
      </c>
      <c r="M117" s="23">
        <v>59.425550734591525</v>
      </c>
    </row>
    <row r="118" spans="9:13" x14ac:dyDescent="0.3">
      <c r="I118">
        <v>114</v>
      </c>
      <c r="J118" s="23">
        <f>'$ Portfolio Loss'!P118</f>
        <v>-67.019059327893046</v>
      </c>
      <c r="L118">
        <v>133</v>
      </c>
      <c r="M118" s="23">
        <v>59.06638542447763</v>
      </c>
    </row>
    <row r="119" spans="9:13" x14ac:dyDescent="0.3">
      <c r="I119">
        <v>115</v>
      </c>
      <c r="J119" s="23">
        <f>'$ Portfolio Loss'!P119</f>
        <v>-71.669762178946257</v>
      </c>
      <c r="L119">
        <v>223</v>
      </c>
      <c r="M119" s="23">
        <v>58.904445030450006</v>
      </c>
    </row>
    <row r="120" spans="9:13" x14ac:dyDescent="0.3">
      <c r="I120">
        <v>116</v>
      </c>
      <c r="J120" s="23">
        <f>'$ Portfolio Loss'!P120</f>
        <v>-3.4396613283497572</v>
      </c>
      <c r="L120">
        <v>279</v>
      </c>
      <c r="M120" s="23">
        <v>58.066200834919073</v>
      </c>
    </row>
    <row r="121" spans="9:13" x14ac:dyDescent="0.3">
      <c r="I121">
        <v>117</v>
      </c>
      <c r="J121" s="23">
        <f>'$ Portfolio Loss'!P121</f>
        <v>-18.888991996265759</v>
      </c>
      <c r="L121">
        <v>374</v>
      </c>
      <c r="M121" s="23">
        <v>57.551068875509372</v>
      </c>
    </row>
    <row r="122" spans="9:13" x14ac:dyDescent="0.3">
      <c r="I122">
        <v>118</v>
      </c>
      <c r="J122" s="23">
        <f>'$ Portfolio Loss'!P122</f>
        <v>66.048228246800136</v>
      </c>
      <c r="L122">
        <v>324</v>
      </c>
      <c r="M122" s="23">
        <v>56.143111055313057</v>
      </c>
    </row>
    <row r="123" spans="9:13" x14ac:dyDescent="0.3">
      <c r="I123">
        <v>119</v>
      </c>
      <c r="J123" s="23">
        <f>'$ Portfolio Loss'!P123</f>
        <v>48.198099265851852</v>
      </c>
      <c r="L123">
        <v>216</v>
      </c>
      <c r="M123" s="23">
        <v>55.459022986871787</v>
      </c>
    </row>
    <row r="124" spans="9:13" x14ac:dyDescent="0.3">
      <c r="I124">
        <v>120</v>
      </c>
      <c r="J124" s="23">
        <f>'$ Portfolio Loss'!P124</f>
        <v>5.6860837377735152</v>
      </c>
      <c r="L124">
        <v>293</v>
      </c>
      <c r="M124" s="23">
        <v>55.267326009172393</v>
      </c>
    </row>
    <row r="125" spans="9:13" x14ac:dyDescent="0.3">
      <c r="I125">
        <v>121</v>
      </c>
      <c r="J125" s="23">
        <f>'$ Portfolio Loss'!P125</f>
        <v>91.200542542463154</v>
      </c>
      <c r="L125">
        <v>442</v>
      </c>
      <c r="M125" s="23">
        <v>54.546715863871214</v>
      </c>
    </row>
    <row r="126" spans="9:13" x14ac:dyDescent="0.3">
      <c r="I126">
        <v>122</v>
      </c>
      <c r="J126" s="23">
        <f>'$ Portfolio Loss'!P126</f>
        <v>-19.239699253575964</v>
      </c>
      <c r="L126">
        <v>404</v>
      </c>
      <c r="M126" s="23">
        <v>53.868515290299911</v>
      </c>
    </row>
    <row r="127" spans="9:13" x14ac:dyDescent="0.3">
      <c r="I127">
        <v>123</v>
      </c>
      <c r="J127" s="23">
        <f>'$ Portfolio Loss'!P127</f>
        <v>-34.816118621238274</v>
      </c>
      <c r="L127">
        <v>3</v>
      </c>
      <c r="M127" s="23">
        <v>53.264059162311241</v>
      </c>
    </row>
    <row r="128" spans="9:13" x14ac:dyDescent="0.3">
      <c r="I128">
        <v>124</v>
      </c>
      <c r="J128" s="23">
        <f>'$ Portfolio Loss'!P128</f>
        <v>-87.853599859987298</v>
      </c>
      <c r="L128">
        <v>450</v>
      </c>
      <c r="M128" s="23">
        <v>52.834439323774859</v>
      </c>
    </row>
    <row r="129" spans="9:13" x14ac:dyDescent="0.3">
      <c r="I129">
        <v>125</v>
      </c>
      <c r="J129" s="23">
        <f>'$ Portfolio Loss'!P129</f>
        <v>-49.33026997747038</v>
      </c>
      <c r="L129">
        <v>120</v>
      </c>
      <c r="M129" s="23">
        <v>51.672309483385106</v>
      </c>
    </row>
    <row r="130" spans="9:13" x14ac:dyDescent="0.3">
      <c r="I130">
        <v>126</v>
      </c>
      <c r="J130" s="23">
        <f>'$ Portfolio Loss'!P130</f>
        <v>0.40734739194158465</v>
      </c>
      <c r="L130">
        <v>41</v>
      </c>
      <c r="M130" s="23">
        <v>51.42113813609285</v>
      </c>
    </row>
    <row r="131" spans="9:13" x14ac:dyDescent="0.3">
      <c r="I131">
        <v>127</v>
      </c>
      <c r="J131" s="23">
        <f>'$ Portfolio Loss'!P131</f>
        <v>39.593918074420799</v>
      </c>
      <c r="L131">
        <v>56</v>
      </c>
      <c r="M131" s="23">
        <v>51.261844210452182</v>
      </c>
    </row>
    <row r="132" spans="9:13" x14ac:dyDescent="0.3">
      <c r="I132">
        <v>128</v>
      </c>
      <c r="J132" s="23">
        <f>'$ Portfolio Loss'!P132</f>
        <v>107.18655683130601</v>
      </c>
      <c r="L132">
        <v>70</v>
      </c>
      <c r="M132" s="23">
        <v>49.799432483365308</v>
      </c>
    </row>
    <row r="133" spans="9:13" x14ac:dyDescent="0.3">
      <c r="I133">
        <v>129</v>
      </c>
      <c r="J133" s="23">
        <f>'$ Portfolio Loss'!P133</f>
        <v>13.553403503401569</v>
      </c>
      <c r="L133">
        <v>436</v>
      </c>
      <c r="M133" s="23">
        <v>48.382162982183218</v>
      </c>
    </row>
    <row r="134" spans="9:13" x14ac:dyDescent="0.3">
      <c r="I134">
        <v>130</v>
      </c>
      <c r="J134" s="23">
        <f>'$ Portfolio Loss'!P134</f>
        <v>9.043945226152573</v>
      </c>
      <c r="L134">
        <v>399</v>
      </c>
      <c r="M134" s="23">
        <v>48.126874003788544</v>
      </c>
    </row>
    <row r="135" spans="9:13" x14ac:dyDescent="0.3">
      <c r="I135">
        <v>131</v>
      </c>
      <c r="J135" s="23">
        <f>'$ Portfolio Loss'!P135</f>
        <v>42.910175496283046</v>
      </c>
      <c r="L135">
        <v>226</v>
      </c>
      <c r="M135" s="23">
        <v>47.245018210911439</v>
      </c>
    </row>
    <row r="136" spans="9:13" x14ac:dyDescent="0.3">
      <c r="I136">
        <v>132</v>
      </c>
      <c r="J136" s="23">
        <f>'$ Portfolio Loss'!P136</f>
        <v>-28.333702697371336</v>
      </c>
      <c r="L136">
        <v>491</v>
      </c>
      <c r="M136" s="23">
        <v>47.048775944464069</v>
      </c>
    </row>
    <row r="137" spans="9:13" x14ac:dyDescent="0.3">
      <c r="I137">
        <v>133</v>
      </c>
      <c r="J137" s="23">
        <f>'$ Portfolio Loss'!P137</f>
        <v>-24.83953552730236</v>
      </c>
      <c r="L137">
        <v>343</v>
      </c>
      <c r="M137" s="23">
        <v>46.519402504671234</v>
      </c>
    </row>
    <row r="138" spans="9:13" x14ac:dyDescent="0.3">
      <c r="I138">
        <v>134</v>
      </c>
      <c r="J138" s="23">
        <f>'$ Portfolio Loss'!P138</f>
        <v>-87.609325575729599</v>
      </c>
      <c r="L138">
        <v>297</v>
      </c>
      <c r="M138" s="23">
        <v>45.30601771561669</v>
      </c>
    </row>
    <row r="139" spans="9:13" x14ac:dyDescent="0.3">
      <c r="I139">
        <v>135</v>
      </c>
      <c r="J139" s="23">
        <f>'$ Portfolio Loss'!P139</f>
        <v>-36.315758456334152</v>
      </c>
      <c r="L139">
        <v>425</v>
      </c>
      <c r="M139" s="23">
        <v>44.835349503879115</v>
      </c>
    </row>
    <row r="140" spans="9:13" x14ac:dyDescent="0.3">
      <c r="I140">
        <v>136</v>
      </c>
      <c r="J140" s="23">
        <f>'$ Portfolio Loss'!P140</f>
        <v>24.892207019420312</v>
      </c>
      <c r="L140">
        <v>290</v>
      </c>
      <c r="M140" s="23">
        <v>44.719708930526394</v>
      </c>
    </row>
    <row r="141" spans="9:13" x14ac:dyDescent="0.3">
      <c r="I141">
        <v>137</v>
      </c>
      <c r="J141" s="23">
        <f>'$ Portfolio Loss'!P141</f>
        <v>15.156891216052827</v>
      </c>
      <c r="L141">
        <v>150</v>
      </c>
      <c r="M141" s="23">
        <v>43.48924320686092</v>
      </c>
    </row>
    <row r="142" spans="9:13" x14ac:dyDescent="0.3">
      <c r="I142">
        <v>138</v>
      </c>
      <c r="J142" s="23">
        <f>'$ Portfolio Loss'!P142</f>
        <v>-72.369997942865666</v>
      </c>
      <c r="L142">
        <v>303</v>
      </c>
      <c r="M142" s="23">
        <v>43.330577313707181</v>
      </c>
    </row>
    <row r="143" spans="9:13" x14ac:dyDescent="0.3">
      <c r="I143">
        <v>139</v>
      </c>
      <c r="J143" s="23">
        <f>'$ Portfolio Loss'!P143</f>
        <v>-34.399038984664003</v>
      </c>
      <c r="L143">
        <v>424</v>
      </c>
      <c r="M143" s="23">
        <v>42.77773107995381</v>
      </c>
    </row>
    <row r="144" spans="9:13" x14ac:dyDescent="0.3">
      <c r="I144">
        <v>140</v>
      </c>
      <c r="J144" s="23">
        <f>'$ Portfolio Loss'!P144</f>
        <v>-31.84725860632534</v>
      </c>
      <c r="L144">
        <v>431</v>
      </c>
      <c r="M144" s="23">
        <v>42.706899719754801</v>
      </c>
    </row>
    <row r="145" spans="9:13" x14ac:dyDescent="0.3">
      <c r="I145">
        <v>141</v>
      </c>
      <c r="J145" s="23">
        <f>'$ Portfolio Loss'!P145</f>
        <v>-12.457893633387357</v>
      </c>
      <c r="L145">
        <v>419</v>
      </c>
      <c r="M145" s="23">
        <v>42.37526669874751</v>
      </c>
    </row>
    <row r="146" spans="9:13" x14ac:dyDescent="0.3">
      <c r="I146">
        <v>142</v>
      </c>
      <c r="J146" s="23">
        <f>'$ Portfolio Loss'!P146</f>
        <v>20.865210194791871</v>
      </c>
      <c r="L146">
        <v>12</v>
      </c>
      <c r="M146" s="23">
        <v>42.100045235552898</v>
      </c>
    </row>
    <row r="147" spans="9:13" x14ac:dyDescent="0.3">
      <c r="I147">
        <v>143</v>
      </c>
      <c r="J147" s="23">
        <f>'$ Portfolio Loss'!P147</f>
        <v>21.858328850499674</v>
      </c>
      <c r="L147">
        <v>382</v>
      </c>
      <c r="M147" s="23">
        <v>41.649376522495004</v>
      </c>
    </row>
    <row r="148" spans="9:13" x14ac:dyDescent="0.3">
      <c r="I148">
        <v>144</v>
      </c>
      <c r="J148" s="23">
        <f>'$ Portfolio Loss'!P148</f>
        <v>-25.103977404985926</v>
      </c>
      <c r="L148">
        <v>369</v>
      </c>
      <c r="M148" s="23">
        <v>41.44472704799955</v>
      </c>
    </row>
    <row r="149" spans="9:13" x14ac:dyDescent="0.3">
      <c r="I149">
        <v>145</v>
      </c>
      <c r="J149" s="23">
        <f>'$ Portfolio Loss'!P149</f>
        <v>107.14864104106528</v>
      </c>
      <c r="L149">
        <v>475</v>
      </c>
      <c r="M149" s="23">
        <v>40.125074150193541</v>
      </c>
    </row>
    <row r="150" spans="9:13" x14ac:dyDescent="0.3">
      <c r="I150">
        <v>146</v>
      </c>
      <c r="J150" s="23">
        <f>'$ Portfolio Loss'!P150</f>
        <v>53.356654524550322</v>
      </c>
      <c r="L150">
        <v>165</v>
      </c>
      <c r="M150" s="23">
        <v>39.965420581183935</v>
      </c>
    </row>
    <row r="151" spans="9:13" x14ac:dyDescent="0.3">
      <c r="I151">
        <v>147</v>
      </c>
      <c r="J151" s="23">
        <f>'$ Portfolio Loss'!P151</f>
        <v>23.081471128129124</v>
      </c>
      <c r="L151">
        <v>448</v>
      </c>
      <c r="M151" s="23">
        <v>39.412465563396836</v>
      </c>
    </row>
    <row r="152" spans="9:13" x14ac:dyDescent="0.3">
      <c r="I152">
        <v>148</v>
      </c>
      <c r="J152" s="23">
        <f>'$ Portfolio Loss'!P152</f>
        <v>38.41166371422878</v>
      </c>
      <c r="L152">
        <v>63</v>
      </c>
      <c r="M152" s="23">
        <v>38.06411497586123</v>
      </c>
    </row>
    <row r="153" spans="9:13" x14ac:dyDescent="0.3">
      <c r="I153">
        <v>149</v>
      </c>
      <c r="J153" s="23">
        <f>'$ Portfolio Loss'!P153</f>
        <v>7.9674619568995695</v>
      </c>
      <c r="L153">
        <v>62</v>
      </c>
      <c r="M153" s="23">
        <v>37.966521516747889</v>
      </c>
    </row>
    <row r="154" spans="9:13" x14ac:dyDescent="0.3">
      <c r="I154">
        <v>150</v>
      </c>
      <c r="J154" s="23">
        <f>'$ Portfolio Loss'!P154</f>
        <v>19.359922914582057</v>
      </c>
      <c r="L154">
        <v>428</v>
      </c>
      <c r="M154" s="23">
        <v>37.414250719673873</v>
      </c>
    </row>
    <row r="155" spans="9:13" x14ac:dyDescent="0.3">
      <c r="I155">
        <v>151</v>
      </c>
      <c r="J155" s="23">
        <f>'$ Portfolio Loss'!P155</f>
        <v>-120.39769123922815</v>
      </c>
      <c r="L155">
        <v>47</v>
      </c>
      <c r="M155" s="23">
        <v>36.334046200441662</v>
      </c>
    </row>
    <row r="156" spans="9:13" x14ac:dyDescent="0.3">
      <c r="I156">
        <v>152</v>
      </c>
      <c r="J156" s="23">
        <f>'$ Portfolio Loss'!P156</f>
        <v>7.5972480953714694</v>
      </c>
      <c r="L156">
        <v>367</v>
      </c>
      <c r="M156" s="23">
        <v>35.690833211936479</v>
      </c>
    </row>
    <row r="157" spans="9:13" x14ac:dyDescent="0.3">
      <c r="I157">
        <v>153</v>
      </c>
      <c r="J157" s="23">
        <f>'$ Portfolio Loss'!P157</f>
        <v>61.820757565295935</v>
      </c>
      <c r="L157">
        <v>151</v>
      </c>
      <c r="M157" s="23">
        <v>35.544016705925969</v>
      </c>
    </row>
    <row r="158" spans="9:13" x14ac:dyDescent="0.3">
      <c r="I158">
        <v>154</v>
      </c>
      <c r="J158" s="23">
        <f>'$ Portfolio Loss'!P158</f>
        <v>-63.194243897371052</v>
      </c>
      <c r="L158">
        <v>93</v>
      </c>
      <c r="M158" s="23">
        <v>34.950311239832445</v>
      </c>
    </row>
    <row r="159" spans="9:13" x14ac:dyDescent="0.3">
      <c r="I159">
        <v>155</v>
      </c>
      <c r="J159" s="23">
        <f>'$ Portfolio Loss'!P159</f>
        <v>-20.937162408294171</v>
      </c>
      <c r="L159">
        <v>476</v>
      </c>
      <c r="M159" s="23">
        <v>34.434843855615327</v>
      </c>
    </row>
    <row r="160" spans="9:13" x14ac:dyDescent="0.3">
      <c r="I160">
        <v>156</v>
      </c>
      <c r="J160" s="23">
        <f>'$ Portfolio Loss'!P160</f>
        <v>-63.222461090364959</v>
      </c>
      <c r="L160">
        <v>14</v>
      </c>
      <c r="M160" s="23">
        <v>34.097057896085971</v>
      </c>
    </row>
    <row r="161" spans="9:13" x14ac:dyDescent="0.3">
      <c r="I161">
        <v>157</v>
      </c>
      <c r="J161" s="23">
        <f>'$ Portfolio Loss'!P161</f>
        <v>-82.1583569084396</v>
      </c>
      <c r="L161">
        <v>330</v>
      </c>
      <c r="M161" s="23">
        <v>32.90564005457054</v>
      </c>
    </row>
    <row r="162" spans="9:13" x14ac:dyDescent="0.3">
      <c r="I162">
        <v>158</v>
      </c>
      <c r="J162" s="23">
        <f>'$ Portfolio Loss'!P162</f>
        <v>49.54171393076831</v>
      </c>
      <c r="L162">
        <v>438</v>
      </c>
      <c r="M162" s="23">
        <v>31.033680529879348</v>
      </c>
    </row>
    <row r="163" spans="9:13" x14ac:dyDescent="0.3">
      <c r="I163">
        <v>159</v>
      </c>
      <c r="J163" s="23">
        <f>'$ Portfolio Loss'!P163</f>
        <v>-33.801581568774054</v>
      </c>
      <c r="L163">
        <v>65</v>
      </c>
      <c r="M163" s="23">
        <v>30.414433623716832</v>
      </c>
    </row>
    <row r="164" spans="9:13" x14ac:dyDescent="0.3">
      <c r="I164">
        <v>160</v>
      </c>
      <c r="J164" s="23">
        <f>'$ Portfolio Loss'!P164</f>
        <v>-2.791838083330731</v>
      </c>
      <c r="L164">
        <v>312</v>
      </c>
      <c r="M164" s="23">
        <v>30.033040300642824</v>
      </c>
    </row>
    <row r="165" spans="9:13" x14ac:dyDescent="0.3">
      <c r="I165">
        <v>161</v>
      </c>
      <c r="J165" s="23">
        <f>'$ Portfolio Loss'!P165</f>
        <v>-14.791293190472061</v>
      </c>
      <c r="L165">
        <v>352</v>
      </c>
      <c r="M165" s="23">
        <v>29.714113086716679</v>
      </c>
    </row>
    <row r="166" spans="9:13" x14ac:dyDescent="0.3">
      <c r="I166">
        <v>162</v>
      </c>
      <c r="J166" s="23">
        <f>'$ Portfolio Loss'!P166</f>
        <v>57.163245013412961</v>
      </c>
      <c r="L166">
        <v>203</v>
      </c>
      <c r="M166" s="23">
        <v>29.4999993688416</v>
      </c>
    </row>
    <row r="167" spans="9:13" x14ac:dyDescent="0.3">
      <c r="I167">
        <v>163</v>
      </c>
      <c r="J167" s="23">
        <f>'$ Portfolio Loss'!P167</f>
        <v>-13.40463791807997</v>
      </c>
      <c r="L167">
        <v>192</v>
      </c>
      <c r="M167" s="23">
        <v>29.492662898668641</v>
      </c>
    </row>
    <row r="168" spans="9:13" x14ac:dyDescent="0.3">
      <c r="I168">
        <v>164</v>
      </c>
      <c r="J168" s="23">
        <f>'$ Portfolio Loss'!P168</f>
        <v>28.543314137965353</v>
      </c>
      <c r="L168">
        <v>107</v>
      </c>
      <c r="M168" s="23">
        <v>29.048133751541172</v>
      </c>
    </row>
    <row r="169" spans="9:13" x14ac:dyDescent="0.3">
      <c r="I169">
        <v>165</v>
      </c>
      <c r="J169" s="23">
        <f>'$ Portfolio Loss'!P169</f>
        <v>-2.4376457887829019</v>
      </c>
      <c r="L169">
        <v>460</v>
      </c>
      <c r="M169" s="23">
        <v>28.760453568007506</v>
      </c>
    </row>
    <row r="170" spans="9:13" x14ac:dyDescent="0.3">
      <c r="I170">
        <v>166</v>
      </c>
      <c r="J170" s="23">
        <f>'$ Portfolio Loss'!P170</f>
        <v>108.46901713282568</v>
      </c>
      <c r="L170">
        <v>390</v>
      </c>
      <c r="M170" s="23">
        <v>28.40791700977752</v>
      </c>
    </row>
    <row r="171" spans="9:13" x14ac:dyDescent="0.3">
      <c r="I171">
        <v>167</v>
      </c>
      <c r="J171" s="23">
        <f>'$ Portfolio Loss'!P171</f>
        <v>12.470583163538322</v>
      </c>
      <c r="L171">
        <v>401</v>
      </c>
      <c r="M171" s="23">
        <v>28.132764101326757</v>
      </c>
    </row>
    <row r="172" spans="9:13" x14ac:dyDescent="0.3">
      <c r="I172">
        <v>168</v>
      </c>
      <c r="J172" s="23">
        <f>'$ Portfolio Loss'!P172</f>
        <v>0.69950210104252619</v>
      </c>
      <c r="L172">
        <v>159</v>
      </c>
      <c r="M172" s="23">
        <v>26.814799178344401</v>
      </c>
    </row>
    <row r="173" spans="9:13" x14ac:dyDescent="0.3">
      <c r="I173">
        <v>169</v>
      </c>
      <c r="J173" s="23">
        <f>'$ Portfolio Loss'!P173</f>
        <v>104.31658925619558</v>
      </c>
      <c r="L173">
        <v>380</v>
      </c>
      <c r="M173" s="23">
        <v>26.562813273298161</v>
      </c>
    </row>
    <row r="174" spans="9:13" x14ac:dyDescent="0.3">
      <c r="I174">
        <v>170</v>
      </c>
      <c r="J174" s="23">
        <f>'$ Portfolio Loss'!P174</f>
        <v>121.97466921265186</v>
      </c>
      <c r="L174">
        <v>92</v>
      </c>
      <c r="M174" s="23">
        <v>26.368146574946877</v>
      </c>
    </row>
    <row r="175" spans="9:13" x14ac:dyDescent="0.3">
      <c r="I175">
        <v>171</v>
      </c>
      <c r="J175" s="23">
        <f>'$ Portfolio Loss'!P175</f>
        <v>150.82436472908739</v>
      </c>
      <c r="L175">
        <v>266</v>
      </c>
      <c r="M175" s="23">
        <v>25.301010824408877</v>
      </c>
    </row>
    <row r="176" spans="9:13" x14ac:dyDescent="0.3">
      <c r="I176">
        <v>172</v>
      </c>
      <c r="J176" s="23">
        <f>'$ Portfolio Loss'!P176</f>
        <v>-23.621238437392094</v>
      </c>
      <c r="L176">
        <v>447</v>
      </c>
      <c r="M176" s="23">
        <v>25.296383002289076</v>
      </c>
    </row>
    <row r="177" spans="9:13" x14ac:dyDescent="0.3">
      <c r="I177">
        <v>173</v>
      </c>
      <c r="J177" s="23">
        <f>'$ Portfolio Loss'!P177</f>
        <v>28.138868324731448</v>
      </c>
      <c r="L177">
        <v>4</v>
      </c>
      <c r="M177" s="23">
        <v>25.139366356226674</v>
      </c>
    </row>
    <row r="178" spans="9:13" x14ac:dyDescent="0.3">
      <c r="I178">
        <v>174</v>
      </c>
      <c r="J178" s="23">
        <f>'$ Portfolio Loss'!P178</f>
        <v>-105.74613258189856</v>
      </c>
      <c r="L178">
        <v>27</v>
      </c>
      <c r="M178" s="23">
        <v>24.954395007905987</v>
      </c>
    </row>
    <row r="179" spans="9:13" x14ac:dyDescent="0.3">
      <c r="I179">
        <v>175</v>
      </c>
      <c r="J179" s="23">
        <f>'$ Portfolio Loss'!P179</f>
        <v>-53.229231986304512</v>
      </c>
      <c r="L179">
        <v>286</v>
      </c>
      <c r="M179" s="23">
        <v>24.877059392490992</v>
      </c>
    </row>
    <row r="180" spans="9:13" x14ac:dyDescent="0.3">
      <c r="I180">
        <v>176</v>
      </c>
      <c r="J180" s="23">
        <f>'$ Portfolio Loss'!P180</f>
        <v>237.67317481744431</v>
      </c>
      <c r="L180">
        <v>96</v>
      </c>
      <c r="M180" s="23">
        <v>24.711204333267233</v>
      </c>
    </row>
    <row r="181" spans="9:13" x14ac:dyDescent="0.3">
      <c r="I181">
        <v>177</v>
      </c>
      <c r="J181" s="23">
        <f>'$ Portfolio Loss'!P181</f>
        <v>13.650749048196303</v>
      </c>
      <c r="L181">
        <v>55</v>
      </c>
      <c r="M181" s="23">
        <v>23.889557894206519</v>
      </c>
    </row>
    <row r="182" spans="9:13" x14ac:dyDescent="0.3">
      <c r="I182">
        <v>178</v>
      </c>
      <c r="J182" s="23">
        <f>'$ Portfolio Loss'!P182</f>
        <v>77.727174276462392</v>
      </c>
      <c r="L182">
        <v>167</v>
      </c>
      <c r="M182" s="23">
        <v>23.725278044579682</v>
      </c>
    </row>
    <row r="183" spans="9:13" x14ac:dyDescent="0.3">
      <c r="I183">
        <v>179</v>
      </c>
      <c r="J183" s="23">
        <f>'$ Portfolio Loss'!P183</f>
        <v>61.375697837767802</v>
      </c>
      <c r="L183">
        <v>180</v>
      </c>
      <c r="M183" s="23">
        <v>23.406372812920381</v>
      </c>
    </row>
    <row r="184" spans="9:13" x14ac:dyDescent="0.3">
      <c r="I184">
        <v>180</v>
      </c>
      <c r="J184" s="23">
        <f>'$ Portfolio Loss'!P184</f>
        <v>100.51444307944621</v>
      </c>
      <c r="L184">
        <v>89</v>
      </c>
      <c r="M184" s="23">
        <v>22.258024167100302</v>
      </c>
    </row>
    <row r="185" spans="9:13" x14ac:dyDescent="0.3">
      <c r="I185">
        <v>181</v>
      </c>
      <c r="J185" s="23">
        <f>'$ Portfolio Loss'!P185</f>
        <v>-42.571458150598119</v>
      </c>
      <c r="L185">
        <v>84</v>
      </c>
      <c r="M185" s="23">
        <v>22.230922941373137</v>
      </c>
    </row>
    <row r="186" spans="9:13" x14ac:dyDescent="0.3">
      <c r="I186">
        <v>182</v>
      </c>
      <c r="J186" s="23">
        <f>'$ Portfolio Loss'!P186</f>
        <v>44.319690740174337</v>
      </c>
      <c r="L186">
        <v>149</v>
      </c>
      <c r="M186" s="23">
        <v>22.214133582243448</v>
      </c>
    </row>
    <row r="187" spans="9:13" x14ac:dyDescent="0.3">
      <c r="I187">
        <v>183</v>
      </c>
      <c r="J187" s="23">
        <f>'$ Portfolio Loss'!P187</f>
        <v>-40.394474198386888</v>
      </c>
      <c r="L187">
        <v>69</v>
      </c>
      <c r="M187" s="23">
        <v>21.56316278894883</v>
      </c>
    </row>
    <row r="188" spans="9:13" x14ac:dyDescent="0.3">
      <c r="I188">
        <v>184</v>
      </c>
      <c r="J188" s="23">
        <f>'$ Portfolio Loss'!P188</f>
        <v>-128.04455732864881</v>
      </c>
      <c r="L188">
        <v>59</v>
      </c>
      <c r="M188" s="23">
        <v>21.274368484217121</v>
      </c>
    </row>
    <row r="189" spans="9:13" x14ac:dyDescent="0.3">
      <c r="I189">
        <v>185</v>
      </c>
      <c r="J189" s="23">
        <f>'$ Portfolio Loss'!P189</f>
        <v>5.4228780832927441</v>
      </c>
      <c r="L189">
        <v>410</v>
      </c>
      <c r="M189" s="23">
        <v>21.248802490286835</v>
      </c>
    </row>
    <row r="190" spans="9:13" x14ac:dyDescent="0.3">
      <c r="I190">
        <v>186</v>
      </c>
      <c r="J190" s="23">
        <f>'$ Portfolio Loss'!P190</f>
        <v>9.281540142974336</v>
      </c>
      <c r="L190">
        <v>36</v>
      </c>
      <c r="M190" s="23">
        <v>20.550595997012351</v>
      </c>
    </row>
    <row r="191" spans="9:13" x14ac:dyDescent="0.3">
      <c r="I191">
        <v>187</v>
      </c>
      <c r="J191" s="23">
        <f>'$ Portfolio Loss'!P191</f>
        <v>21.7323729359141</v>
      </c>
      <c r="L191">
        <v>117</v>
      </c>
      <c r="M191" s="23">
        <v>18.897972272448897</v>
      </c>
    </row>
    <row r="192" spans="9:13" x14ac:dyDescent="0.3">
      <c r="I192">
        <v>188</v>
      </c>
      <c r="J192" s="23">
        <f>'$ Portfolio Loss'!P192</f>
        <v>-30.883268011615655</v>
      </c>
      <c r="L192">
        <v>333</v>
      </c>
      <c r="M192" s="23">
        <v>17.866682106339795</v>
      </c>
    </row>
    <row r="193" spans="9:13" x14ac:dyDescent="0.3">
      <c r="I193">
        <v>189</v>
      </c>
      <c r="J193" s="23">
        <f>'$ Portfolio Loss'!P193</f>
        <v>17.850682818805581</v>
      </c>
      <c r="L193">
        <v>213</v>
      </c>
      <c r="M193" s="23">
        <v>17.295357949138634</v>
      </c>
    </row>
    <row r="194" spans="9:13" x14ac:dyDescent="0.3">
      <c r="I194">
        <v>190</v>
      </c>
      <c r="J194" s="23">
        <f>'$ Portfolio Loss'!P194</f>
        <v>-140.21443589241971</v>
      </c>
      <c r="L194">
        <v>332</v>
      </c>
      <c r="M194" s="23">
        <v>17.073320050705661</v>
      </c>
    </row>
    <row r="195" spans="9:13" x14ac:dyDescent="0.3">
      <c r="I195">
        <v>191</v>
      </c>
      <c r="J195" s="23">
        <f>'$ Portfolio Loss'!P195</f>
        <v>20.331103940388857</v>
      </c>
      <c r="L195">
        <v>204</v>
      </c>
      <c r="M195" s="23">
        <v>16.81363384008182</v>
      </c>
    </row>
    <row r="196" spans="9:13" x14ac:dyDescent="0.3">
      <c r="I196">
        <v>192</v>
      </c>
      <c r="J196" s="23">
        <f>'$ Portfolio Loss'!P196</f>
        <v>-2.5983248389311484</v>
      </c>
      <c r="L196">
        <v>381</v>
      </c>
      <c r="M196" s="23">
        <v>16.254948003126628</v>
      </c>
    </row>
    <row r="197" spans="9:13" x14ac:dyDescent="0.3">
      <c r="I197">
        <v>193</v>
      </c>
      <c r="J197" s="23">
        <f>'$ Portfolio Loss'!P197</f>
        <v>63.918049384141341</v>
      </c>
      <c r="L197">
        <v>383</v>
      </c>
      <c r="M197" s="23">
        <v>16.193789463059147</v>
      </c>
    </row>
    <row r="198" spans="9:13" x14ac:dyDescent="0.3">
      <c r="I198">
        <v>194</v>
      </c>
      <c r="J198" s="23">
        <f>'$ Portfolio Loss'!P198</f>
        <v>-25.733500609112525</v>
      </c>
      <c r="L198">
        <v>73</v>
      </c>
      <c r="M198" s="23">
        <v>14.87273368410024</v>
      </c>
    </row>
    <row r="199" spans="9:13" x14ac:dyDescent="0.3">
      <c r="I199">
        <v>195</v>
      </c>
      <c r="J199" s="23">
        <f>'$ Portfolio Loss'!P199</f>
        <v>21.540689812578421</v>
      </c>
      <c r="L199">
        <v>125</v>
      </c>
      <c r="M199" s="23">
        <v>14.348166850888447</v>
      </c>
    </row>
    <row r="200" spans="9:13" x14ac:dyDescent="0.3">
      <c r="I200">
        <v>196</v>
      </c>
      <c r="J200" s="23">
        <f>'$ Portfolio Loss'!P200</f>
        <v>-6.8804158243747224</v>
      </c>
      <c r="L200">
        <v>492</v>
      </c>
      <c r="M200" s="23">
        <v>13.723913195870409</v>
      </c>
    </row>
    <row r="201" spans="9:13" x14ac:dyDescent="0.3">
      <c r="I201">
        <v>197</v>
      </c>
      <c r="J201" s="23">
        <f>'$ Portfolio Loss'!P201</f>
        <v>-8.4530270456598373</v>
      </c>
      <c r="L201">
        <v>261</v>
      </c>
      <c r="M201" s="23">
        <v>13.678304442424633</v>
      </c>
    </row>
    <row r="202" spans="9:13" x14ac:dyDescent="0.3">
      <c r="I202">
        <v>198</v>
      </c>
      <c r="J202" s="23">
        <f>'$ Portfolio Loss'!P202</f>
        <v>75.969393740913802</v>
      </c>
      <c r="L202">
        <v>195</v>
      </c>
      <c r="M202" s="23">
        <v>13.303098598718861</v>
      </c>
    </row>
    <row r="203" spans="9:13" x14ac:dyDescent="0.3">
      <c r="I203">
        <v>199</v>
      </c>
      <c r="J203" s="23">
        <f>'$ Portfolio Loss'!P203</f>
        <v>155.90359797896781</v>
      </c>
      <c r="L203">
        <v>207</v>
      </c>
      <c r="M203" s="23">
        <v>12.763839065690263</v>
      </c>
    </row>
    <row r="204" spans="9:13" x14ac:dyDescent="0.3">
      <c r="I204">
        <v>200</v>
      </c>
      <c r="J204" s="23">
        <f>'$ Portfolio Loss'!P204</f>
        <v>-76.302104280144704</v>
      </c>
      <c r="L204">
        <v>13</v>
      </c>
      <c r="M204" s="23">
        <v>12.222645628822647</v>
      </c>
    </row>
    <row r="205" spans="9:13" x14ac:dyDescent="0.3">
      <c r="I205">
        <v>201</v>
      </c>
      <c r="J205" s="23">
        <f>'$ Portfolio Loss'!P205</f>
        <v>46.656373216277643</v>
      </c>
      <c r="L205">
        <v>43</v>
      </c>
      <c r="M205" s="23">
        <v>10.295646975262571</v>
      </c>
    </row>
    <row r="206" spans="9:13" x14ac:dyDescent="0.3">
      <c r="I206">
        <v>202</v>
      </c>
      <c r="J206" s="23">
        <f>'$ Portfolio Loss'!P206</f>
        <v>-100.58730394814665</v>
      </c>
      <c r="L206">
        <v>144</v>
      </c>
      <c r="M206" s="23">
        <v>10.060692955692502</v>
      </c>
    </row>
    <row r="207" spans="9:13" x14ac:dyDescent="0.3">
      <c r="I207">
        <v>203</v>
      </c>
      <c r="J207" s="23">
        <f>'$ Portfolio Loss'!P207</f>
        <v>-13.036795482577872</v>
      </c>
      <c r="L207">
        <v>170</v>
      </c>
      <c r="M207" s="23">
        <v>9.8616032395384536</v>
      </c>
    </row>
    <row r="208" spans="9:13" x14ac:dyDescent="0.3">
      <c r="I208">
        <v>204</v>
      </c>
      <c r="J208" s="23">
        <f>'$ Portfolio Loss'!P208</f>
        <v>-75.022062247848226</v>
      </c>
      <c r="L208">
        <v>439</v>
      </c>
      <c r="M208" s="23">
        <v>9.8143750303661363</v>
      </c>
    </row>
    <row r="209" spans="9:13" x14ac:dyDescent="0.3">
      <c r="I209">
        <v>205</v>
      </c>
      <c r="J209" s="23">
        <f>'$ Portfolio Loss'!P209</f>
        <v>-47.628616133961259</v>
      </c>
      <c r="L209">
        <v>208</v>
      </c>
      <c r="M209" s="23">
        <v>9.7739061018637585</v>
      </c>
    </row>
    <row r="210" spans="9:13" x14ac:dyDescent="0.3">
      <c r="I210">
        <v>206</v>
      </c>
      <c r="J210" s="23">
        <f>'$ Portfolio Loss'!P210</f>
        <v>-57.60849217523355</v>
      </c>
      <c r="L210">
        <v>153</v>
      </c>
      <c r="M210" s="23">
        <v>9.560846326947285</v>
      </c>
    </row>
    <row r="211" spans="9:13" x14ac:dyDescent="0.3">
      <c r="I211">
        <v>207</v>
      </c>
      <c r="J211" s="23">
        <f>'$ Portfolio Loss'!P211</f>
        <v>-13.3960902289964</v>
      </c>
      <c r="L211">
        <v>28</v>
      </c>
      <c r="M211" s="23">
        <v>9.5143992215089384</v>
      </c>
    </row>
    <row r="212" spans="9:13" x14ac:dyDescent="0.3">
      <c r="I212">
        <v>208</v>
      </c>
      <c r="J212" s="23">
        <f>'$ Portfolio Loss'!P212</f>
        <v>167.54563439869708</v>
      </c>
      <c r="L212">
        <v>11</v>
      </c>
      <c r="M212" s="23">
        <v>8.9818697747614351</v>
      </c>
    </row>
    <row r="213" spans="9:13" x14ac:dyDescent="0.3">
      <c r="I213">
        <v>209</v>
      </c>
      <c r="J213" s="23">
        <f>'$ Portfolio Loss'!P213</f>
        <v>28.428671839748858</v>
      </c>
      <c r="L213">
        <v>272</v>
      </c>
      <c r="M213" s="23">
        <v>8.0865113946601923</v>
      </c>
    </row>
    <row r="214" spans="9:13" x14ac:dyDescent="0.3">
      <c r="I214">
        <v>210</v>
      </c>
      <c r="J214" s="23">
        <f>'$ Portfolio Loss'!P214</f>
        <v>125.73659185325778</v>
      </c>
      <c r="L214">
        <v>90</v>
      </c>
      <c r="M214" s="23">
        <v>7.7259798975410376</v>
      </c>
    </row>
    <row r="215" spans="9:13" x14ac:dyDescent="0.3">
      <c r="I215">
        <v>211</v>
      </c>
      <c r="J215" s="23">
        <f>'$ Portfolio Loss'!P215</f>
        <v>-2.3822796995700628</v>
      </c>
      <c r="L215">
        <v>434</v>
      </c>
      <c r="M215" s="23">
        <v>6.9248626601038268</v>
      </c>
    </row>
    <row r="216" spans="9:13" x14ac:dyDescent="0.3">
      <c r="I216">
        <v>212</v>
      </c>
      <c r="J216" s="23">
        <f>'$ Portfolio Loss'!P216</f>
        <v>-54.674955262027652</v>
      </c>
      <c r="L216">
        <v>171</v>
      </c>
      <c r="M216" s="23">
        <v>6.6603117091799504</v>
      </c>
    </row>
    <row r="217" spans="9:13" x14ac:dyDescent="0.3">
      <c r="I217">
        <v>213</v>
      </c>
      <c r="J217" s="23">
        <f>'$ Portfolio Loss'!P217</f>
        <v>-64.71485179213596</v>
      </c>
      <c r="L217">
        <v>328</v>
      </c>
      <c r="M217" s="23">
        <v>6.5873081759600609</v>
      </c>
    </row>
    <row r="218" spans="9:13" x14ac:dyDescent="0.3">
      <c r="I218">
        <v>214</v>
      </c>
      <c r="J218" s="23">
        <f>'$ Portfolio Loss'!P218</f>
        <v>96.889026210797965</v>
      </c>
      <c r="L218">
        <v>182</v>
      </c>
      <c r="M218" s="23">
        <v>6.3928647945995181</v>
      </c>
    </row>
    <row r="219" spans="9:13" x14ac:dyDescent="0.3">
      <c r="I219">
        <v>215</v>
      </c>
      <c r="J219" s="23">
        <f>'$ Portfolio Loss'!P219</f>
        <v>71.761120611678052</v>
      </c>
      <c r="L219">
        <v>8</v>
      </c>
      <c r="M219" s="23">
        <v>6.0627711778543016</v>
      </c>
    </row>
    <row r="220" spans="9:13" x14ac:dyDescent="0.3">
      <c r="I220">
        <v>216</v>
      </c>
      <c r="J220" s="23">
        <f>'$ Portfolio Loss'!P220</f>
        <v>134.83980790495116</v>
      </c>
      <c r="L220">
        <v>95</v>
      </c>
      <c r="M220" s="23">
        <v>5.138619933710288</v>
      </c>
    </row>
    <row r="221" spans="9:13" x14ac:dyDescent="0.3">
      <c r="I221">
        <v>217</v>
      </c>
      <c r="J221" s="23">
        <f>'$ Portfolio Loss'!P221</f>
        <v>-17.583946724591442</v>
      </c>
      <c r="L221">
        <v>168</v>
      </c>
      <c r="M221" s="23">
        <v>5.058918026403262</v>
      </c>
    </row>
    <row r="222" spans="9:13" x14ac:dyDescent="0.3">
      <c r="I222">
        <v>218</v>
      </c>
      <c r="J222" s="23">
        <f>'$ Portfolio Loss'!P222</f>
        <v>142.66239500352094</v>
      </c>
      <c r="L222">
        <v>116</v>
      </c>
      <c r="M222" s="23">
        <v>4.2944215029656334</v>
      </c>
    </row>
    <row r="223" spans="9:13" x14ac:dyDescent="0.3">
      <c r="I223">
        <v>219</v>
      </c>
      <c r="J223" s="23">
        <f>'$ Portfolio Loss'!P223</f>
        <v>54.285825627344821</v>
      </c>
      <c r="L223">
        <v>186</v>
      </c>
      <c r="M223" s="23">
        <v>3.8366845419459423</v>
      </c>
    </row>
    <row r="224" spans="9:13" x14ac:dyDescent="0.3">
      <c r="I224">
        <v>220</v>
      </c>
      <c r="J224" s="23">
        <f>'$ Portfolio Loss'!P224</f>
        <v>48.192701514219152</v>
      </c>
      <c r="L224">
        <v>360</v>
      </c>
      <c r="M224" s="23">
        <v>3.0148842390626669</v>
      </c>
    </row>
    <row r="225" spans="9:13" x14ac:dyDescent="0.3">
      <c r="I225">
        <v>221</v>
      </c>
      <c r="J225" s="23">
        <f>'$ Portfolio Loss'!P225</f>
        <v>118.61292498300281</v>
      </c>
      <c r="L225">
        <v>202</v>
      </c>
      <c r="M225" s="23">
        <v>3.0051257913419249</v>
      </c>
    </row>
    <row r="226" spans="9:13" x14ac:dyDescent="0.3">
      <c r="I226">
        <v>222</v>
      </c>
      <c r="J226" s="23">
        <f>'$ Portfolio Loss'!P226</f>
        <v>-152.86380454213031</v>
      </c>
      <c r="L226">
        <v>420</v>
      </c>
      <c r="M226" s="23">
        <v>2.3861099601872411</v>
      </c>
    </row>
    <row r="227" spans="9:13" x14ac:dyDescent="0.3">
      <c r="I227">
        <v>223</v>
      </c>
      <c r="J227" s="23">
        <f>'$ Portfolio Loss'!P227</f>
        <v>-81.232631514252716</v>
      </c>
      <c r="L227">
        <v>396</v>
      </c>
      <c r="M227" s="23">
        <v>1.8529892140850279</v>
      </c>
    </row>
    <row r="228" spans="9:13" x14ac:dyDescent="0.3">
      <c r="I228">
        <v>224</v>
      </c>
      <c r="J228" s="23">
        <f>'$ Portfolio Loss'!P228</f>
        <v>109.73432281316673</v>
      </c>
      <c r="L228">
        <v>58</v>
      </c>
      <c r="M228" s="23">
        <v>1.7819744260414154</v>
      </c>
    </row>
    <row r="229" spans="9:13" x14ac:dyDescent="0.3">
      <c r="I229">
        <v>225</v>
      </c>
      <c r="J229" s="23">
        <f>'$ Portfolio Loss'!P229</f>
        <v>-34.425744366422805</v>
      </c>
      <c r="L229">
        <v>9</v>
      </c>
      <c r="M229" s="23">
        <v>1.4634609149652533</v>
      </c>
    </row>
    <row r="230" spans="9:13" x14ac:dyDescent="0.3">
      <c r="I230">
        <v>226</v>
      </c>
      <c r="J230" s="23">
        <f>'$ Portfolio Loss'!P230</f>
        <v>-3.5647819181722298</v>
      </c>
      <c r="L230">
        <v>278</v>
      </c>
      <c r="M230" s="23">
        <v>0.70909178558940766</v>
      </c>
    </row>
    <row r="231" spans="9:13" x14ac:dyDescent="0.3">
      <c r="I231">
        <v>227</v>
      </c>
      <c r="J231" s="23">
        <f>'$ Portfolio Loss'!P231</f>
        <v>38.27616588644014</v>
      </c>
      <c r="L231">
        <v>449</v>
      </c>
      <c r="M231" s="23">
        <v>0.44905984225624707</v>
      </c>
    </row>
    <row r="232" spans="9:13" x14ac:dyDescent="0.3">
      <c r="I232">
        <v>228</v>
      </c>
      <c r="J232" s="23">
        <f>'$ Portfolio Loss'!P232</f>
        <v>-94.657580493374553</v>
      </c>
      <c r="L232">
        <v>105</v>
      </c>
      <c r="M232" s="23">
        <v>0.23649982986171381</v>
      </c>
    </row>
    <row r="233" spans="9:13" x14ac:dyDescent="0.3">
      <c r="I233">
        <v>229</v>
      </c>
      <c r="J233" s="23">
        <f>'$ Portfolio Loss'!P233</f>
        <v>-52.448817519461954</v>
      </c>
      <c r="L233">
        <v>114</v>
      </c>
      <c r="M233" s="23">
        <v>-0.33601569506026863</v>
      </c>
    </row>
    <row r="234" spans="9:13" x14ac:dyDescent="0.3">
      <c r="I234">
        <v>230</v>
      </c>
      <c r="J234" s="23">
        <f>'$ Portfolio Loss'!P234</f>
        <v>-61.47677791258684</v>
      </c>
      <c r="L234">
        <v>32</v>
      </c>
      <c r="M234" s="23">
        <v>-0.33886560805149202</v>
      </c>
    </row>
    <row r="235" spans="9:13" x14ac:dyDescent="0.3">
      <c r="I235">
        <v>231</v>
      </c>
      <c r="J235" s="23">
        <f>'$ Portfolio Loss'!P235</f>
        <v>-117.28169354009697</v>
      </c>
      <c r="L235">
        <v>271</v>
      </c>
      <c r="M235" s="23">
        <v>-0.43135555269691395</v>
      </c>
    </row>
    <row r="236" spans="9:13" x14ac:dyDescent="0.3">
      <c r="I236">
        <v>232</v>
      </c>
      <c r="J236" s="23">
        <f>'$ Portfolio Loss'!P236</f>
        <v>40.888291246759763</v>
      </c>
      <c r="L236">
        <v>276</v>
      </c>
      <c r="M236" s="23">
        <v>-0.59982680961002188</v>
      </c>
    </row>
    <row r="237" spans="9:13" x14ac:dyDescent="0.3">
      <c r="I237">
        <v>233</v>
      </c>
      <c r="J237" s="23">
        <f>'$ Portfolio Loss'!P237</f>
        <v>-44.146733110228524</v>
      </c>
      <c r="L237">
        <v>206</v>
      </c>
      <c r="M237" s="23">
        <v>-1.3346395127846336</v>
      </c>
    </row>
    <row r="238" spans="9:13" x14ac:dyDescent="0.3">
      <c r="I238">
        <v>234</v>
      </c>
      <c r="J238" s="23">
        <f>'$ Portfolio Loss'!P238</f>
        <v>25.389786076360906</v>
      </c>
      <c r="L238">
        <v>121</v>
      </c>
      <c r="M238" s="23">
        <v>-1.5204650754149043</v>
      </c>
    </row>
    <row r="239" spans="9:13" x14ac:dyDescent="0.3">
      <c r="I239">
        <v>235</v>
      </c>
      <c r="J239" s="23">
        <f>'$ Portfolio Loss'!P239</f>
        <v>-69.003695399076605</v>
      </c>
      <c r="L239">
        <v>201</v>
      </c>
      <c r="M239" s="23">
        <v>-2.0701306224036671</v>
      </c>
    </row>
    <row r="240" spans="9:13" x14ac:dyDescent="0.3">
      <c r="I240">
        <v>236</v>
      </c>
      <c r="J240" s="23">
        <f>'$ Portfolio Loss'!P240</f>
        <v>-40.275853876975816</v>
      </c>
      <c r="L240">
        <v>137</v>
      </c>
      <c r="M240" s="23">
        <v>-3.2038330249015416</v>
      </c>
    </row>
    <row r="241" spans="9:13" x14ac:dyDescent="0.3">
      <c r="I241">
        <v>237</v>
      </c>
      <c r="J241" s="23">
        <f>'$ Portfolio Loss'!P241</f>
        <v>-108.93557571728707</v>
      </c>
      <c r="L241">
        <v>10</v>
      </c>
      <c r="M241" s="23">
        <v>-3.4936483632282034</v>
      </c>
    </row>
    <row r="242" spans="9:13" x14ac:dyDescent="0.3">
      <c r="I242">
        <v>238</v>
      </c>
      <c r="J242" s="23">
        <f>'$ Portfolio Loss'!P242</f>
        <v>-7.3673042343962152</v>
      </c>
      <c r="L242">
        <v>103</v>
      </c>
      <c r="M242" s="23">
        <v>-3.9244140645532752</v>
      </c>
    </row>
    <row r="243" spans="9:13" x14ac:dyDescent="0.3">
      <c r="I243">
        <v>239</v>
      </c>
      <c r="J243" s="23">
        <f>'$ Portfolio Loss'!P243</f>
        <v>41.755650860317473</v>
      </c>
      <c r="L243">
        <v>75</v>
      </c>
      <c r="M243" s="23">
        <v>-4.1849374259491015</v>
      </c>
    </row>
    <row r="244" spans="9:13" x14ac:dyDescent="0.3">
      <c r="I244">
        <v>240</v>
      </c>
      <c r="J244" s="23">
        <f>'$ Portfolio Loss'!P244</f>
        <v>-48.162302115015336</v>
      </c>
      <c r="L244">
        <v>78</v>
      </c>
      <c r="M244" s="23">
        <v>-4.4583025622141577</v>
      </c>
    </row>
    <row r="245" spans="9:13" x14ac:dyDescent="0.3">
      <c r="I245">
        <v>241</v>
      </c>
      <c r="J245" s="23">
        <f>'$ Portfolio Loss'!P245</f>
        <v>-36.790393534256509</v>
      </c>
      <c r="L245">
        <v>17</v>
      </c>
      <c r="M245" s="23">
        <v>-4.6400185919192154</v>
      </c>
    </row>
    <row r="246" spans="9:13" x14ac:dyDescent="0.3">
      <c r="I246">
        <v>242</v>
      </c>
      <c r="J246" s="23">
        <f>'$ Portfolio Loss'!P246</f>
        <v>-125.14019823974741</v>
      </c>
      <c r="L246">
        <v>259</v>
      </c>
      <c r="M246" s="23">
        <v>-5.1374011805855844</v>
      </c>
    </row>
    <row r="247" spans="9:13" x14ac:dyDescent="0.3">
      <c r="I247">
        <v>243</v>
      </c>
      <c r="J247" s="23">
        <f>'$ Portfolio Loss'!P247</f>
        <v>6.2079079042468948</v>
      </c>
      <c r="L247">
        <v>273</v>
      </c>
      <c r="M247" s="23">
        <v>-5.2723923290577659</v>
      </c>
    </row>
    <row r="248" spans="9:13" x14ac:dyDescent="0.3">
      <c r="I248">
        <v>244</v>
      </c>
      <c r="J248" s="23">
        <f>'$ Portfolio Loss'!P248</f>
        <v>21.772331479098284</v>
      </c>
      <c r="L248">
        <v>52</v>
      </c>
      <c r="M248" s="23">
        <v>-5.4413889364077477</v>
      </c>
    </row>
    <row r="249" spans="9:13" x14ac:dyDescent="0.3">
      <c r="I249">
        <v>245</v>
      </c>
      <c r="J249" s="23">
        <f>'$ Portfolio Loss'!P249</f>
        <v>-67.959902434193282</v>
      </c>
      <c r="L249">
        <v>177</v>
      </c>
      <c r="M249" s="23">
        <v>-5.5035173167889297</v>
      </c>
    </row>
    <row r="250" spans="9:13" x14ac:dyDescent="0.3">
      <c r="I250">
        <v>246</v>
      </c>
      <c r="J250" s="23">
        <f>'$ Portfolio Loss'!P250</f>
        <v>-49.320172983607335</v>
      </c>
      <c r="L250">
        <v>403</v>
      </c>
      <c r="M250" s="23">
        <v>-6.007165386374254</v>
      </c>
    </row>
    <row r="251" spans="9:13" x14ac:dyDescent="0.3">
      <c r="I251">
        <v>247</v>
      </c>
      <c r="J251" s="23">
        <f>'$ Portfolio Loss'!P251</f>
        <v>23.93402998464444</v>
      </c>
      <c r="L251">
        <v>220</v>
      </c>
      <c r="M251" s="23">
        <v>-6.0358591263957351</v>
      </c>
    </row>
    <row r="252" spans="9:13" x14ac:dyDescent="0.3">
      <c r="I252">
        <v>248</v>
      </c>
      <c r="J252" s="23">
        <f>'$ Portfolio Loss'!P252</f>
        <v>-57.332730810081557</v>
      </c>
      <c r="L252">
        <v>119</v>
      </c>
      <c r="M252" s="23">
        <v>-6.4197302430784475</v>
      </c>
    </row>
    <row r="253" spans="9:13" x14ac:dyDescent="0.3">
      <c r="I253">
        <v>249</v>
      </c>
      <c r="J253" s="23">
        <f>'$ Portfolio Loss'!P253</f>
        <v>-35.995063970292904</v>
      </c>
      <c r="L253">
        <v>38</v>
      </c>
      <c r="M253" s="23">
        <v>-6.6937643040382682</v>
      </c>
    </row>
    <row r="254" spans="9:13" x14ac:dyDescent="0.3">
      <c r="I254">
        <v>250</v>
      </c>
      <c r="J254" s="23">
        <f>'$ Portfolio Loss'!P254</f>
        <v>20.002174339670091</v>
      </c>
      <c r="L254">
        <v>452</v>
      </c>
      <c r="M254" s="23">
        <v>-8.1462033985335438</v>
      </c>
    </row>
    <row r="255" spans="9:13" x14ac:dyDescent="0.3">
      <c r="I255">
        <v>251</v>
      </c>
      <c r="J255" s="23">
        <f>'$ Portfolio Loss'!P255</f>
        <v>82.379958337965945</v>
      </c>
      <c r="L255">
        <v>35</v>
      </c>
      <c r="M255" s="23">
        <v>-8.616613316722578</v>
      </c>
    </row>
    <row r="256" spans="9:13" x14ac:dyDescent="0.3">
      <c r="I256">
        <v>252</v>
      </c>
      <c r="J256" s="23">
        <f>'$ Portfolio Loss'!P256</f>
        <v>-26.705082490581844</v>
      </c>
      <c r="L256">
        <v>188</v>
      </c>
      <c r="M256" s="23">
        <v>-8.7478310943079123</v>
      </c>
    </row>
    <row r="257" spans="9:13" x14ac:dyDescent="0.3">
      <c r="I257">
        <v>253</v>
      </c>
      <c r="J257" s="23">
        <f>'$ Portfolio Loss'!P257</f>
        <v>-15.221324290630946</v>
      </c>
      <c r="L257">
        <v>81</v>
      </c>
      <c r="M257" s="23">
        <v>-8.8821702295517753</v>
      </c>
    </row>
    <row r="258" spans="9:13" x14ac:dyDescent="0.3">
      <c r="I258">
        <v>254</v>
      </c>
      <c r="J258" s="23">
        <f>'$ Portfolio Loss'!P258</f>
        <v>-120.31890074843977</v>
      </c>
      <c r="L258">
        <v>126</v>
      </c>
      <c r="M258" s="23">
        <v>-9.5966861060205702</v>
      </c>
    </row>
    <row r="259" spans="9:13" x14ac:dyDescent="0.3">
      <c r="I259">
        <v>255</v>
      </c>
      <c r="J259" s="23">
        <f>'$ Portfolio Loss'!P259</f>
        <v>-7.7489758796236856</v>
      </c>
      <c r="L259">
        <v>319</v>
      </c>
      <c r="M259" s="23">
        <v>-9.6947138114010158</v>
      </c>
    </row>
    <row r="260" spans="9:13" x14ac:dyDescent="0.3">
      <c r="I260">
        <v>256</v>
      </c>
      <c r="J260" s="23">
        <f>'$ Portfolio Loss'!P260</f>
        <v>36.601375665964952</v>
      </c>
      <c r="L260">
        <v>128</v>
      </c>
      <c r="M260" s="23">
        <v>-10.060958693735301</v>
      </c>
    </row>
    <row r="261" spans="9:13" x14ac:dyDescent="0.3">
      <c r="I261">
        <v>257</v>
      </c>
      <c r="J261" s="23">
        <f>'$ Portfolio Loss'!P261</f>
        <v>-102.54875409264787</v>
      </c>
      <c r="L261">
        <v>183</v>
      </c>
      <c r="M261" s="23">
        <v>-10.928159052871706</v>
      </c>
    </row>
    <row r="262" spans="9:13" x14ac:dyDescent="0.3">
      <c r="I262">
        <v>258</v>
      </c>
      <c r="J262" s="23">
        <f>'$ Portfolio Loss'!P262</f>
        <v>62.522773557580877</v>
      </c>
      <c r="L262">
        <v>71</v>
      </c>
      <c r="M262" s="23">
        <v>-11.13527216859984</v>
      </c>
    </row>
    <row r="263" spans="9:13" x14ac:dyDescent="0.3">
      <c r="I263">
        <v>259</v>
      </c>
      <c r="J263" s="23">
        <f>'$ Portfolio Loss'!P263</f>
        <v>-89.259710943288155</v>
      </c>
      <c r="L263">
        <v>50</v>
      </c>
      <c r="M263" s="23">
        <v>-11.623861471038254</v>
      </c>
    </row>
    <row r="264" spans="9:13" x14ac:dyDescent="0.3">
      <c r="I264">
        <v>260</v>
      </c>
      <c r="J264" s="23">
        <f>'$ Portfolio Loss'!P264</f>
        <v>-14.482688394935394</v>
      </c>
      <c r="L264">
        <v>112</v>
      </c>
      <c r="M264" s="23">
        <v>-12.034638440785784</v>
      </c>
    </row>
    <row r="265" spans="9:13" x14ac:dyDescent="0.3">
      <c r="I265">
        <v>261</v>
      </c>
      <c r="J265" s="23">
        <f>'$ Portfolio Loss'!P265</f>
        <v>-55.322086822550773</v>
      </c>
      <c r="L265">
        <v>262</v>
      </c>
      <c r="M265" s="23">
        <v>-12.257379044964182</v>
      </c>
    </row>
    <row r="266" spans="9:13" x14ac:dyDescent="0.3">
      <c r="I266">
        <v>262</v>
      </c>
      <c r="J266" s="23">
        <f>'$ Portfolio Loss'!P266</f>
        <v>14.538794883119408</v>
      </c>
      <c r="L266">
        <v>391</v>
      </c>
      <c r="M266" s="23">
        <v>-12.620304011297776</v>
      </c>
    </row>
    <row r="267" spans="9:13" x14ac:dyDescent="0.3">
      <c r="I267">
        <v>263</v>
      </c>
      <c r="J267" s="23">
        <f>'$ Portfolio Loss'!P267</f>
        <v>-10.378978243094025</v>
      </c>
      <c r="L267">
        <v>82</v>
      </c>
      <c r="M267" s="23">
        <v>-13.028391473817464</v>
      </c>
    </row>
    <row r="268" spans="9:13" x14ac:dyDescent="0.3">
      <c r="I268">
        <v>264</v>
      </c>
      <c r="J268" s="23">
        <f>'$ Portfolio Loss'!P268</f>
        <v>-29.803417358309162</v>
      </c>
      <c r="L268">
        <v>83</v>
      </c>
      <c r="M268" s="23">
        <v>-13.035131610502503</v>
      </c>
    </row>
    <row r="269" spans="9:13" x14ac:dyDescent="0.3">
      <c r="I269">
        <v>265</v>
      </c>
      <c r="J269" s="23">
        <f>'$ Portfolio Loss'!P269</f>
        <v>34.24880495731486</v>
      </c>
      <c r="L269">
        <v>179</v>
      </c>
      <c r="M269" s="23">
        <v>-13.134468178559473</v>
      </c>
    </row>
    <row r="270" spans="9:13" x14ac:dyDescent="0.3">
      <c r="I270">
        <v>266</v>
      </c>
      <c r="J270" s="23">
        <f>'$ Portfolio Loss'!P270</f>
        <v>-68.033238075740883</v>
      </c>
      <c r="L270">
        <v>178</v>
      </c>
      <c r="M270" s="23">
        <v>-13.33799947585976</v>
      </c>
    </row>
    <row r="271" spans="9:13" x14ac:dyDescent="0.3">
      <c r="I271">
        <v>267</v>
      </c>
      <c r="J271" s="23">
        <f>'$ Portfolio Loss'!P271</f>
        <v>18.806459961455403</v>
      </c>
      <c r="L271">
        <v>282</v>
      </c>
      <c r="M271" s="23">
        <v>-13.45111875816292</v>
      </c>
    </row>
    <row r="272" spans="9:13" x14ac:dyDescent="0.3">
      <c r="I272">
        <v>268</v>
      </c>
      <c r="J272" s="23">
        <f>'$ Portfolio Loss'!P272</f>
        <v>5.9407545811372984</v>
      </c>
      <c r="L272">
        <v>139</v>
      </c>
      <c r="M272" s="23">
        <v>-13.571945598456296</v>
      </c>
    </row>
    <row r="273" spans="9:13" x14ac:dyDescent="0.3">
      <c r="I273">
        <v>269</v>
      </c>
      <c r="J273" s="23">
        <f>'$ Portfolio Loss'!P273</f>
        <v>7.2050746429449646</v>
      </c>
      <c r="L273">
        <v>269</v>
      </c>
      <c r="M273" s="23">
        <v>-13.672494114376605</v>
      </c>
    </row>
    <row r="274" spans="9:13" x14ac:dyDescent="0.3">
      <c r="I274">
        <v>270</v>
      </c>
      <c r="J274" s="23">
        <f>'$ Portfolio Loss'!P274</f>
        <v>63.068125247333228</v>
      </c>
      <c r="L274">
        <v>217</v>
      </c>
      <c r="M274" s="23">
        <v>-13.688613149442972</v>
      </c>
    </row>
    <row r="275" spans="9:13" x14ac:dyDescent="0.3">
      <c r="I275">
        <v>271</v>
      </c>
      <c r="J275" s="23">
        <f>'$ Portfolio Loss'!P275</f>
        <v>86.250604041802944</v>
      </c>
      <c r="L275">
        <v>265</v>
      </c>
      <c r="M275" s="23">
        <v>-14.006158840382341</v>
      </c>
    </row>
    <row r="276" spans="9:13" x14ac:dyDescent="0.3">
      <c r="I276">
        <v>272</v>
      </c>
      <c r="J276" s="23">
        <f>'$ Portfolio Loss'!P276</f>
        <v>-90.770430343285625</v>
      </c>
      <c r="L276">
        <v>42</v>
      </c>
      <c r="M276" s="23">
        <v>-14.157178247020056</v>
      </c>
    </row>
    <row r="277" spans="9:13" x14ac:dyDescent="0.3">
      <c r="I277">
        <v>273</v>
      </c>
      <c r="J277" s="23">
        <f>'$ Portfolio Loss'!P277</f>
        <v>-85.641726371777622</v>
      </c>
      <c r="L277">
        <v>440</v>
      </c>
      <c r="M277" s="23">
        <v>-14.21794143016632</v>
      </c>
    </row>
    <row r="278" spans="9:13" x14ac:dyDescent="0.3">
      <c r="I278">
        <v>274</v>
      </c>
      <c r="J278" s="23">
        <f>'$ Portfolio Loss'!P278</f>
        <v>-3.4326126710911922</v>
      </c>
      <c r="L278" s="3">
        <v>1</v>
      </c>
      <c r="M278" s="23">
        <v>-14.333845846786062</v>
      </c>
    </row>
    <row r="279" spans="9:13" x14ac:dyDescent="0.3">
      <c r="I279">
        <v>275</v>
      </c>
      <c r="J279" s="23">
        <f>'$ Portfolio Loss'!P279</f>
        <v>10.314538499658738</v>
      </c>
      <c r="L279">
        <v>325</v>
      </c>
      <c r="M279" s="23">
        <v>-15.054667460277415</v>
      </c>
    </row>
    <row r="280" spans="9:13" x14ac:dyDescent="0.3">
      <c r="I280">
        <v>276</v>
      </c>
      <c r="J280" s="23">
        <f>'$ Portfolio Loss'!P280</f>
        <v>-24.903608893977434</v>
      </c>
      <c r="L280">
        <v>104</v>
      </c>
      <c r="M280" s="23">
        <v>-15.184368780563091</v>
      </c>
    </row>
    <row r="281" spans="9:13" x14ac:dyDescent="0.3">
      <c r="I281">
        <v>277</v>
      </c>
      <c r="J281" s="23">
        <f>'$ Portfolio Loss'!P281</f>
        <v>-22.175317823957812</v>
      </c>
      <c r="L281">
        <v>67</v>
      </c>
      <c r="M281" s="23">
        <v>-16.651966867533702</v>
      </c>
    </row>
    <row r="282" spans="9:13" x14ac:dyDescent="0.3">
      <c r="I282">
        <v>278</v>
      </c>
      <c r="J282" s="23">
        <f>'$ Portfolio Loss'!P282</f>
        <v>-9.1403179779972561</v>
      </c>
      <c r="L282">
        <v>88</v>
      </c>
      <c r="M282" s="23">
        <v>-16.786090860134209</v>
      </c>
    </row>
    <row r="283" spans="9:13" x14ac:dyDescent="0.3">
      <c r="I283">
        <v>279</v>
      </c>
      <c r="J283" s="23">
        <f>'$ Portfolio Loss'!P283</f>
        <v>-14.410315273691594</v>
      </c>
      <c r="L283">
        <v>417</v>
      </c>
      <c r="M283" s="23">
        <v>-16.95838501997423</v>
      </c>
    </row>
    <row r="284" spans="9:13" x14ac:dyDescent="0.3">
      <c r="I284">
        <v>280</v>
      </c>
      <c r="J284" s="23">
        <f>'$ Portfolio Loss'!P284</f>
        <v>0.40374211849848507</v>
      </c>
      <c r="L284">
        <v>106</v>
      </c>
      <c r="M284" s="23">
        <v>-17.083152395780417</v>
      </c>
    </row>
    <row r="285" spans="9:13" x14ac:dyDescent="0.3">
      <c r="I285">
        <v>281</v>
      </c>
      <c r="J285" s="23">
        <f>'$ Portfolio Loss'!P285</f>
        <v>82.201550892541491</v>
      </c>
      <c r="L285">
        <v>157</v>
      </c>
      <c r="M285" s="23">
        <v>-17.112599983236578</v>
      </c>
    </row>
    <row r="286" spans="9:13" x14ac:dyDescent="0.3">
      <c r="I286">
        <v>282</v>
      </c>
      <c r="J286" s="23">
        <f>'$ Portfolio Loss'!P286</f>
        <v>48.645573271143803</v>
      </c>
      <c r="L286">
        <v>348</v>
      </c>
      <c r="M286" s="23">
        <v>-17.607200365346216</v>
      </c>
    </row>
    <row r="287" spans="9:13" x14ac:dyDescent="0.3">
      <c r="I287">
        <v>283</v>
      </c>
      <c r="J287" s="23">
        <f>'$ Portfolio Loss'!P287</f>
        <v>-53.909495988971685</v>
      </c>
      <c r="L287">
        <v>148</v>
      </c>
      <c r="M287" s="23">
        <v>-18.338979438556635</v>
      </c>
    </row>
    <row r="288" spans="9:13" x14ac:dyDescent="0.3">
      <c r="I288">
        <v>284</v>
      </c>
      <c r="J288" s="23">
        <f>'$ Portfolio Loss'!P288</f>
        <v>-18.387759195109538</v>
      </c>
      <c r="L288">
        <v>164</v>
      </c>
      <c r="M288" s="23">
        <v>-18.389969444422604</v>
      </c>
    </row>
    <row r="289" spans="9:13" x14ac:dyDescent="0.3">
      <c r="I289">
        <v>285</v>
      </c>
      <c r="J289" s="23">
        <f>'$ Portfolio Loss'!P289</f>
        <v>-11.484567133295059</v>
      </c>
      <c r="L289">
        <v>154</v>
      </c>
      <c r="M289" s="23">
        <v>-18.467002946790672</v>
      </c>
    </row>
    <row r="290" spans="9:13" x14ac:dyDescent="0.3">
      <c r="I290">
        <v>286</v>
      </c>
      <c r="J290" s="23">
        <f>'$ Portfolio Loss'!P290</f>
        <v>-67.065740348876716</v>
      </c>
      <c r="L290">
        <v>281</v>
      </c>
      <c r="M290" s="23">
        <v>-18.917522829353402</v>
      </c>
    </row>
    <row r="291" spans="9:13" x14ac:dyDescent="0.3">
      <c r="I291">
        <v>287</v>
      </c>
      <c r="J291" s="23">
        <f>'$ Portfolio Loss'!P291</f>
        <v>-48.610286785504286</v>
      </c>
      <c r="L291">
        <v>22</v>
      </c>
      <c r="M291" s="23">
        <v>-19.194093364632863</v>
      </c>
    </row>
    <row r="292" spans="9:13" x14ac:dyDescent="0.3">
      <c r="I292">
        <v>288</v>
      </c>
      <c r="J292" s="23">
        <f>'$ Portfolio Loss'!P292</f>
        <v>-63.150536027260387</v>
      </c>
      <c r="L292">
        <v>160</v>
      </c>
      <c r="M292" s="23">
        <v>-19.283651127965641</v>
      </c>
    </row>
    <row r="293" spans="9:13" x14ac:dyDescent="0.3">
      <c r="I293">
        <v>289</v>
      </c>
      <c r="J293" s="23">
        <f>'$ Portfolio Loss'!P293</f>
        <v>-36.804291232285323</v>
      </c>
      <c r="L293">
        <v>57</v>
      </c>
      <c r="M293" s="23">
        <v>-19.352773235268614</v>
      </c>
    </row>
    <row r="294" spans="9:13" x14ac:dyDescent="0.3">
      <c r="I294">
        <v>290</v>
      </c>
      <c r="J294" s="23">
        <f>'$ Portfolio Loss'!P294</f>
        <v>8.3153629000007641</v>
      </c>
      <c r="L294">
        <v>191</v>
      </c>
      <c r="M294" s="23">
        <v>-19.379801340328413</v>
      </c>
    </row>
    <row r="295" spans="9:13" x14ac:dyDescent="0.3">
      <c r="I295">
        <v>291</v>
      </c>
      <c r="J295" s="23">
        <f>'$ Portfolio Loss'!P295</f>
        <v>-34.982295117612011</v>
      </c>
      <c r="L295">
        <v>64</v>
      </c>
      <c r="M295" s="23">
        <v>-19.415605987642266</v>
      </c>
    </row>
    <row r="296" spans="9:13" x14ac:dyDescent="0.3">
      <c r="I296">
        <v>292</v>
      </c>
      <c r="J296" s="23">
        <f>'$ Portfolio Loss'!P296</f>
        <v>-49.05882360569376</v>
      </c>
      <c r="L296">
        <v>25</v>
      </c>
      <c r="M296" s="23">
        <v>-19.510947806711556</v>
      </c>
    </row>
    <row r="297" spans="9:13" x14ac:dyDescent="0.3">
      <c r="I297">
        <v>293</v>
      </c>
      <c r="J297" s="23">
        <f>'$ Portfolio Loss'!P297</f>
        <v>17.397965652337007</v>
      </c>
      <c r="L297">
        <v>342</v>
      </c>
      <c r="M297" s="23">
        <v>-20.033656398172752</v>
      </c>
    </row>
    <row r="298" spans="9:13" x14ac:dyDescent="0.3">
      <c r="I298">
        <v>294</v>
      </c>
      <c r="J298" s="23">
        <f>'$ Portfolio Loss'!P298</f>
        <v>-26.560055783031203</v>
      </c>
      <c r="L298">
        <v>484</v>
      </c>
      <c r="M298" s="23">
        <v>-20.522650078688457</v>
      </c>
    </row>
    <row r="299" spans="9:13" x14ac:dyDescent="0.3">
      <c r="I299">
        <v>295</v>
      </c>
      <c r="J299" s="23">
        <f>'$ Portfolio Loss'!P299</f>
        <v>18.403546818222821</v>
      </c>
      <c r="L299">
        <v>323</v>
      </c>
      <c r="M299" s="23">
        <v>-20.764147184278045</v>
      </c>
    </row>
    <row r="300" spans="9:13" x14ac:dyDescent="0.3">
      <c r="I300">
        <v>296</v>
      </c>
      <c r="J300" s="23">
        <f>'$ Portfolio Loss'!P300</f>
        <v>-61.026016443292974</v>
      </c>
      <c r="L300">
        <v>68</v>
      </c>
      <c r="M300" s="23">
        <v>-21.114468667277833</v>
      </c>
    </row>
    <row r="301" spans="9:13" x14ac:dyDescent="0.3">
      <c r="I301">
        <v>297</v>
      </c>
      <c r="J301" s="23">
        <f>'$ Portfolio Loss'!P301</f>
        <v>1.3127267946056236</v>
      </c>
      <c r="L301">
        <v>400</v>
      </c>
      <c r="M301" s="23">
        <v>-21.25965081686445</v>
      </c>
    </row>
    <row r="302" spans="9:13" x14ac:dyDescent="0.3">
      <c r="I302">
        <v>298</v>
      </c>
      <c r="J302" s="23">
        <f>'$ Portfolio Loss'!P302</f>
        <v>-71.52896332419914</v>
      </c>
      <c r="L302">
        <v>229</v>
      </c>
      <c r="M302" s="23">
        <v>-22.879467183294764</v>
      </c>
    </row>
    <row r="303" spans="9:13" x14ac:dyDescent="0.3">
      <c r="I303">
        <v>299</v>
      </c>
      <c r="J303" s="23">
        <f>'$ Portfolio Loss'!P303</f>
        <v>-11.112894381794831</v>
      </c>
      <c r="L303">
        <v>99</v>
      </c>
      <c r="M303" s="23">
        <v>-24.443139439557854</v>
      </c>
    </row>
    <row r="304" spans="9:13" x14ac:dyDescent="0.3">
      <c r="I304">
        <v>300</v>
      </c>
      <c r="J304" s="23">
        <f>'$ Portfolio Loss'!P304</f>
        <v>17.386125055019875</v>
      </c>
      <c r="L304">
        <v>422</v>
      </c>
      <c r="M304" s="23">
        <v>-24.64124471978721</v>
      </c>
    </row>
    <row r="305" spans="9:13" x14ac:dyDescent="0.3">
      <c r="I305">
        <v>301</v>
      </c>
      <c r="J305" s="23">
        <f>'$ Portfolio Loss'!P305</f>
        <v>0.67644708195257408</v>
      </c>
      <c r="L305">
        <v>394</v>
      </c>
      <c r="M305" s="23">
        <v>-25.009852140188741</v>
      </c>
    </row>
    <row r="306" spans="9:13" x14ac:dyDescent="0.3">
      <c r="I306">
        <v>302</v>
      </c>
      <c r="J306" s="23">
        <f>'$ Portfolio Loss'!P306</f>
        <v>-50.409786365011314</v>
      </c>
      <c r="L306">
        <v>245</v>
      </c>
      <c r="M306" s="23">
        <v>-25.412998720625183</v>
      </c>
    </row>
    <row r="307" spans="9:13" x14ac:dyDescent="0.3">
      <c r="I307">
        <v>303</v>
      </c>
      <c r="J307" s="23">
        <f>'$ Portfolio Loss'!P307</f>
        <v>19.094349068360316</v>
      </c>
      <c r="L307">
        <v>140</v>
      </c>
      <c r="M307" s="23">
        <v>-25.760347409866881</v>
      </c>
    </row>
    <row r="308" spans="9:13" x14ac:dyDescent="0.3">
      <c r="I308">
        <v>304</v>
      </c>
      <c r="J308" s="23">
        <f>'$ Portfolio Loss'!P308</f>
        <v>-13.70966895631318</v>
      </c>
      <c r="L308">
        <v>398</v>
      </c>
      <c r="M308" s="23">
        <v>-26.257890194990978</v>
      </c>
    </row>
    <row r="309" spans="9:13" x14ac:dyDescent="0.3">
      <c r="I309">
        <v>305</v>
      </c>
      <c r="J309" s="23">
        <f>'$ Portfolio Loss'!P309</f>
        <v>-10.386546996887773</v>
      </c>
      <c r="L309">
        <v>446</v>
      </c>
      <c r="M309" s="23">
        <v>-26.953923379511252</v>
      </c>
    </row>
    <row r="310" spans="9:13" x14ac:dyDescent="0.3">
      <c r="I310">
        <v>306</v>
      </c>
      <c r="J310" s="23">
        <f>'$ Portfolio Loss'!P310</f>
        <v>-78.808815361735469</v>
      </c>
      <c r="L310">
        <v>2</v>
      </c>
      <c r="M310" s="23">
        <v>-27.481313121183121</v>
      </c>
    </row>
    <row r="311" spans="9:13" x14ac:dyDescent="0.3">
      <c r="I311">
        <v>307</v>
      </c>
      <c r="J311" s="23">
        <f>'$ Portfolio Loss'!P311</f>
        <v>10.615133239331044</v>
      </c>
      <c r="L311">
        <v>253</v>
      </c>
      <c r="M311" s="23">
        <v>-27.537054396740132</v>
      </c>
    </row>
    <row r="312" spans="9:13" x14ac:dyDescent="0.3">
      <c r="I312">
        <v>308</v>
      </c>
      <c r="J312" s="23">
        <f>'$ Portfolio Loss'!P312</f>
        <v>21.532016823588492</v>
      </c>
      <c r="L312">
        <v>30</v>
      </c>
      <c r="M312" s="23">
        <v>-27.563594064231438</v>
      </c>
    </row>
    <row r="313" spans="9:13" x14ac:dyDescent="0.3">
      <c r="I313">
        <v>309</v>
      </c>
      <c r="J313" s="23">
        <f>'$ Portfolio Loss'!P313</f>
        <v>19.227158033665546</v>
      </c>
      <c r="L313">
        <v>152</v>
      </c>
      <c r="M313" s="23">
        <v>-27.580576552636558</v>
      </c>
    </row>
    <row r="314" spans="9:13" x14ac:dyDescent="0.3">
      <c r="I314">
        <v>310</v>
      </c>
      <c r="J314" s="23">
        <f>'$ Portfolio Loss'!P314</f>
        <v>-57.800448959269488</v>
      </c>
      <c r="L314">
        <v>85</v>
      </c>
      <c r="M314" s="23">
        <v>-27.998862234138869</v>
      </c>
    </row>
    <row r="315" spans="9:13" x14ac:dyDescent="0.3">
      <c r="I315">
        <v>311</v>
      </c>
      <c r="J315" s="23">
        <f>'$ Portfolio Loss'!P315</f>
        <v>148.35981160301344</v>
      </c>
      <c r="L315">
        <v>161</v>
      </c>
      <c r="M315" s="23">
        <v>-28.16301842215762</v>
      </c>
    </row>
    <row r="316" spans="9:13" x14ac:dyDescent="0.3">
      <c r="I316">
        <v>312</v>
      </c>
      <c r="J316" s="23">
        <f>'$ Portfolio Loss'!P316</f>
        <v>65.442250766938741</v>
      </c>
      <c r="L316">
        <v>163</v>
      </c>
      <c r="M316" s="23">
        <v>-29.010528001514103</v>
      </c>
    </row>
    <row r="317" spans="9:13" x14ac:dyDescent="0.3">
      <c r="I317">
        <v>313</v>
      </c>
      <c r="J317" s="23">
        <f>'$ Portfolio Loss'!P317</f>
        <v>71.213317762561928</v>
      </c>
      <c r="L317">
        <v>264</v>
      </c>
      <c r="M317" s="23">
        <v>-29.036673953758509</v>
      </c>
    </row>
    <row r="318" spans="9:13" x14ac:dyDescent="0.3">
      <c r="I318">
        <v>314</v>
      </c>
      <c r="J318" s="23">
        <f>'$ Portfolio Loss'!P318</f>
        <v>118.01198535061849</v>
      </c>
      <c r="L318">
        <v>53</v>
      </c>
      <c r="M318" s="23">
        <v>-29.056974134075062</v>
      </c>
    </row>
    <row r="319" spans="9:13" x14ac:dyDescent="0.3">
      <c r="I319">
        <v>315</v>
      </c>
      <c r="J319" s="23">
        <f>'$ Portfolio Loss'!P319</f>
        <v>-11.899681596962182</v>
      </c>
      <c r="L319">
        <v>45</v>
      </c>
      <c r="M319" s="23">
        <v>-29.532715783610911</v>
      </c>
    </row>
    <row r="320" spans="9:13" x14ac:dyDescent="0.3">
      <c r="I320">
        <v>316</v>
      </c>
      <c r="J320" s="23">
        <f>'$ Portfolio Loss'!P320</f>
        <v>131.22681431817909</v>
      </c>
      <c r="L320">
        <v>340</v>
      </c>
      <c r="M320" s="23">
        <v>-30.009037800353326</v>
      </c>
    </row>
    <row r="321" spans="9:13" x14ac:dyDescent="0.3">
      <c r="I321">
        <v>317</v>
      </c>
      <c r="J321" s="23">
        <f>'$ Portfolio Loss'!P321</f>
        <v>-5.5279141175051336</v>
      </c>
      <c r="L321">
        <v>158</v>
      </c>
      <c r="M321" s="23">
        <v>-30.237860242097668</v>
      </c>
    </row>
    <row r="322" spans="9:13" x14ac:dyDescent="0.3">
      <c r="I322">
        <v>318</v>
      </c>
      <c r="J322" s="23">
        <f>'$ Portfolio Loss'!P322</f>
        <v>-66.840456465444731</v>
      </c>
      <c r="L322">
        <v>91</v>
      </c>
      <c r="M322" s="23">
        <v>-30.354514659193228</v>
      </c>
    </row>
    <row r="323" spans="9:13" x14ac:dyDescent="0.3">
      <c r="I323">
        <v>319</v>
      </c>
      <c r="J323" s="23">
        <f>'$ Portfolio Loss'!P323</f>
        <v>-6.72847324054419</v>
      </c>
      <c r="L323">
        <v>49</v>
      </c>
      <c r="M323" s="23">
        <v>-30.354713149718009</v>
      </c>
    </row>
    <row r="324" spans="9:13" x14ac:dyDescent="0.3">
      <c r="I324">
        <v>320</v>
      </c>
      <c r="J324" s="23">
        <f>'$ Portfolio Loss'!P324</f>
        <v>54.093013986324877</v>
      </c>
      <c r="L324">
        <v>275</v>
      </c>
      <c r="M324" s="23">
        <v>-30.508755038787058</v>
      </c>
    </row>
    <row r="325" spans="9:13" x14ac:dyDescent="0.3">
      <c r="I325">
        <v>321</v>
      </c>
      <c r="J325" s="23">
        <f>'$ Portfolio Loss'!P325</f>
        <v>53.273848375334637</v>
      </c>
      <c r="L325">
        <v>387</v>
      </c>
      <c r="M325" s="23">
        <v>-30.636991289376965</v>
      </c>
    </row>
    <row r="326" spans="9:13" x14ac:dyDescent="0.3">
      <c r="I326">
        <v>322</v>
      </c>
      <c r="J326" s="23">
        <f>'$ Portfolio Loss'!P326</f>
        <v>-21.177109074047621</v>
      </c>
      <c r="L326">
        <v>97</v>
      </c>
      <c r="M326" s="23">
        <v>-30.665729418145929</v>
      </c>
    </row>
    <row r="327" spans="9:13" x14ac:dyDescent="0.3">
      <c r="I327">
        <v>323</v>
      </c>
      <c r="J327" s="23">
        <f>'$ Portfolio Loss'!P327</f>
        <v>20.034431456484526</v>
      </c>
      <c r="L327">
        <v>86</v>
      </c>
      <c r="M327" s="23">
        <v>-30.692508565602111</v>
      </c>
    </row>
    <row r="328" spans="9:13" x14ac:dyDescent="0.3">
      <c r="I328">
        <v>324</v>
      </c>
      <c r="J328" s="23">
        <f>'$ Portfolio Loss'!P328</f>
        <v>103.24903214799815</v>
      </c>
      <c r="L328">
        <v>39</v>
      </c>
      <c r="M328" s="23">
        <v>-30.718953504145247</v>
      </c>
    </row>
    <row r="329" spans="9:13" x14ac:dyDescent="0.3">
      <c r="I329">
        <v>325</v>
      </c>
      <c r="J329" s="23">
        <f>'$ Portfolio Loss'!P329</f>
        <v>-24.091495004433455</v>
      </c>
      <c r="L329">
        <v>113</v>
      </c>
      <c r="M329" s="23">
        <v>-31.479918573591931</v>
      </c>
    </row>
    <row r="330" spans="9:13" x14ac:dyDescent="0.3">
      <c r="I330">
        <v>326</v>
      </c>
      <c r="J330" s="23">
        <f>'$ Portfolio Loss'!P330</f>
        <v>58.912575328900857</v>
      </c>
      <c r="L330">
        <v>184</v>
      </c>
      <c r="M330" s="23">
        <v>-31.527477930518216</v>
      </c>
    </row>
    <row r="331" spans="9:13" x14ac:dyDescent="0.3">
      <c r="I331">
        <v>327</v>
      </c>
      <c r="J331" s="23">
        <f>'$ Portfolio Loss'!P331</f>
        <v>31.543246450291917</v>
      </c>
      <c r="L331">
        <v>130</v>
      </c>
      <c r="M331" s="23">
        <v>-31.613709141718573</v>
      </c>
    </row>
    <row r="332" spans="9:13" x14ac:dyDescent="0.3">
      <c r="I332">
        <v>328</v>
      </c>
      <c r="J332" s="23">
        <f>'$ Portfolio Loss'!P332</f>
        <v>9.2399462853300065</v>
      </c>
      <c r="L332">
        <v>224</v>
      </c>
      <c r="M332" s="23">
        <v>-32.265038773743072</v>
      </c>
    </row>
    <row r="333" spans="9:13" x14ac:dyDescent="0.3">
      <c r="I333">
        <v>329</v>
      </c>
      <c r="J333" s="23">
        <f>'$ Portfolio Loss'!P333</f>
        <v>-6.9518506001149944</v>
      </c>
      <c r="L333">
        <v>411</v>
      </c>
      <c r="M333" s="23">
        <v>-32.549451291259174</v>
      </c>
    </row>
    <row r="334" spans="9:13" x14ac:dyDescent="0.3">
      <c r="I334">
        <v>330</v>
      </c>
      <c r="J334" s="23">
        <f>'$ Portfolio Loss'!P334</f>
        <v>62.542507324087637</v>
      </c>
      <c r="L334">
        <v>80</v>
      </c>
      <c r="M334" s="23">
        <v>-33.403954754152437</v>
      </c>
    </row>
    <row r="335" spans="9:13" x14ac:dyDescent="0.3">
      <c r="I335">
        <v>331</v>
      </c>
      <c r="J335" s="23">
        <f>'$ Portfolio Loss'!P335</f>
        <v>-63.239636382711979</v>
      </c>
      <c r="L335">
        <v>118</v>
      </c>
      <c r="M335" s="23">
        <v>-33.783181555247211</v>
      </c>
    </row>
    <row r="336" spans="9:13" x14ac:dyDescent="0.3">
      <c r="I336">
        <v>332</v>
      </c>
      <c r="J336" s="23">
        <f>'$ Portfolio Loss'!P336</f>
        <v>-18.719046196336421</v>
      </c>
      <c r="L336">
        <v>456</v>
      </c>
      <c r="M336" s="23">
        <v>-33.959334209002918</v>
      </c>
    </row>
    <row r="337" spans="9:13" x14ac:dyDescent="0.3">
      <c r="I337">
        <v>333</v>
      </c>
      <c r="J337" s="23">
        <f>'$ Portfolio Loss'!P337</f>
        <v>-78.5593046463473</v>
      </c>
      <c r="L337">
        <v>267</v>
      </c>
      <c r="M337" s="23">
        <v>-34.128894425808539</v>
      </c>
    </row>
    <row r="338" spans="9:13" x14ac:dyDescent="0.3">
      <c r="I338">
        <v>334</v>
      </c>
      <c r="J338" s="23">
        <f>'$ Portfolio Loss'!P338</f>
        <v>-71.370085995065892</v>
      </c>
      <c r="L338">
        <v>129</v>
      </c>
      <c r="M338" s="23">
        <v>-34.153395280160112</v>
      </c>
    </row>
    <row r="339" spans="9:13" x14ac:dyDescent="0.3">
      <c r="I339">
        <v>335</v>
      </c>
      <c r="J339" s="23">
        <f>'$ Portfolio Loss'!P339</f>
        <v>-146.15318819911408</v>
      </c>
      <c r="L339">
        <v>122</v>
      </c>
      <c r="M339" s="23">
        <v>-34.202845761765275</v>
      </c>
    </row>
    <row r="340" spans="9:13" x14ac:dyDescent="0.3">
      <c r="I340">
        <v>336</v>
      </c>
      <c r="J340" s="23">
        <f>'$ Portfolio Loss'!P340</f>
        <v>-42.986773908603936</v>
      </c>
      <c r="L340">
        <v>462</v>
      </c>
      <c r="M340" s="23">
        <v>-34.357751776678924</v>
      </c>
    </row>
    <row r="341" spans="9:13" x14ac:dyDescent="0.3">
      <c r="I341">
        <v>337</v>
      </c>
      <c r="J341" s="23">
        <f>'$ Portfolio Loss'!P341</f>
        <v>57.93807964230291</v>
      </c>
      <c r="L341">
        <v>172</v>
      </c>
      <c r="M341" s="23">
        <v>-34.640081170209669</v>
      </c>
    </row>
    <row r="342" spans="9:13" x14ac:dyDescent="0.3">
      <c r="I342">
        <v>338</v>
      </c>
      <c r="J342" s="23">
        <f>'$ Portfolio Loss'!P342</f>
        <v>-2.2007859069690312</v>
      </c>
      <c r="L342">
        <v>215</v>
      </c>
      <c r="M342" s="23">
        <v>-35.975568635960371</v>
      </c>
    </row>
    <row r="343" spans="9:13" x14ac:dyDescent="0.3">
      <c r="I343">
        <v>339</v>
      </c>
      <c r="J343" s="23">
        <f>'$ Portfolio Loss'!P343</f>
        <v>37.496635907196833</v>
      </c>
      <c r="L343">
        <v>407</v>
      </c>
      <c r="M343" s="23">
        <v>-36.498168872129099</v>
      </c>
    </row>
    <row r="344" spans="9:13" x14ac:dyDescent="0.3">
      <c r="I344">
        <v>340</v>
      </c>
      <c r="J344" s="23">
        <f>'$ Portfolio Loss'!P344</f>
        <v>-65.706545562494284</v>
      </c>
      <c r="L344">
        <v>214</v>
      </c>
      <c r="M344" s="23">
        <v>-36.875677484218613</v>
      </c>
    </row>
    <row r="345" spans="9:13" x14ac:dyDescent="0.3">
      <c r="I345">
        <v>341</v>
      </c>
      <c r="J345" s="23">
        <f>'$ Portfolio Loss'!P345</f>
        <v>-47.821081958229115</v>
      </c>
      <c r="L345">
        <v>187</v>
      </c>
      <c r="M345" s="23">
        <v>-37.80919532673397</v>
      </c>
    </row>
    <row r="346" spans="9:13" x14ac:dyDescent="0.3">
      <c r="I346">
        <v>342</v>
      </c>
      <c r="J346" s="23">
        <f>'$ Portfolio Loss'!P346</f>
        <v>-69.907869799681066</v>
      </c>
      <c r="L346">
        <v>48</v>
      </c>
      <c r="M346" s="23">
        <v>-38.648464319790946</v>
      </c>
    </row>
    <row r="347" spans="9:13" x14ac:dyDescent="0.3">
      <c r="I347">
        <v>343</v>
      </c>
      <c r="J347" s="23">
        <f>'$ Portfolio Loss'!P347</f>
        <v>-123.44505447413394</v>
      </c>
      <c r="L347">
        <v>77</v>
      </c>
      <c r="M347" s="23">
        <v>-39.16113813710399</v>
      </c>
    </row>
    <row r="348" spans="9:13" x14ac:dyDescent="0.3">
      <c r="I348">
        <v>344</v>
      </c>
      <c r="J348" s="23">
        <f>'$ Portfolio Loss'!P348</f>
        <v>2.318591569282944</v>
      </c>
      <c r="L348">
        <v>354</v>
      </c>
      <c r="M348" s="23">
        <v>-39.368034350552989</v>
      </c>
    </row>
    <row r="349" spans="9:13" x14ac:dyDescent="0.3">
      <c r="I349">
        <v>345</v>
      </c>
      <c r="J349" s="23">
        <f>'$ Portfolio Loss'!P349</f>
        <v>30.969467443077519</v>
      </c>
      <c r="L349">
        <v>388</v>
      </c>
      <c r="M349" s="23">
        <v>-39.490674680917436</v>
      </c>
    </row>
    <row r="350" spans="9:13" x14ac:dyDescent="0.3">
      <c r="I350">
        <v>346</v>
      </c>
      <c r="J350" s="23">
        <f>'$ Portfolio Loss'!P350</f>
        <v>51.148101873071937</v>
      </c>
      <c r="L350">
        <v>51</v>
      </c>
      <c r="M350" s="23">
        <v>-39.990846268887253</v>
      </c>
    </row>
    <row r="351" spans="9:13" x14ac:dyDescent="0.3">
      <c r="I351">
        <v>347</v>
      </c>
      <c r="J351" s="23">
        <f>'$ Portfolio Loss'!P351</f>
        <v>6.7941941750032129</v>
      </c>
      <c r="L351">
        <v>196</v>
      </c>
      <c r="M351" s="23">
        <v>-40.625824018541607</v>
      </c>
    </row>
    <row r="352" spans="9:13" x14ac:dyDescent="0.3">
      <c r="I352">
        <v>348</v>
      </c>
      <c r="J352" s="23">
        <f>'$ Portfolio Loss'!P352</f>
        <v>-47.992830127421257</v>
      </c>
      <c r="L352">
        <v>29</v>
      </c>
      <c r="M352" s="23">
        <v>-40.800685004453044</v>
      </c>
    </row>
    <row r="353" spans="9:13" x14ac:dyDescent="0.3">
      <c r="I353">
        <v>349</v>
      </c>
      <c r="J353" s="23">
        <f>'$ Portfolio Loss'!P353</f>
        <v>-46.490236621384611</v>
      </c>
      <c r="L353">
        <v>79</v>
      </c>
      <c r="M353" s="23">
        <v>-41.554448926759505</v>
      </c>
    </row>
    <row r="354" spans="9:13" x14ac:dyDescent="0.3">
      <c r="I354">
        <v>350</v>
      </c>
      <c r="J354" s="23">
        <f>'$ Portfolio Loss'!P354</f>
        <v>-56.072363333432804</v>
      </c>
      <c r="L354">
        <v>124</v>
      </c>
      <c r="M354" s="23">
        <v>-41.630820383274113</v>
      </c>
    </row>
    <row r="355" spans="9:13" x14ac:dyDescent="0.3">
      <c r="I355">
        <v>351</v>
      </c>
      <c r="J355" s="23">
        <f>'$ Portfolio Loss'!P355</f>
        <v>-61.986227575675002</v>
      </c>
      <c r="L355">
        <v>209</v>
      </c>
      <c r="M355" s="23">
        <v>-41.854274050367167</v>
      </c>
    </row>
    <row r="356" spans="9:13" x14ac:dyDescent="0.3">
      <c r="I356">
        <v>352</v>
      </c>
      <c r="J356" s="23">
        <f>'$ Portfolio Loss'!P356</f>
        <v>-11.748956064722734</v>
      </c>
      <c r="L356">
        <v>60</v>
      </c>
      <c r="M356" s="23">
        <v>-42.253586212715163</v>
      </c>
    </row>
    <row r="357" spans="9:13" x14ac:dyDescent="0.3">
      <c r="I357">
        <v>353</v>
      </c>
      <c r="J357" s="23">
        <f>'$ Portfolio Loss'!P357</f>
        <v>24.480307340751096</v>
      </c>
      <c r="L357">
        <v>479</v>
      </c>
      <c r="M357" s="23">
        <v>-42.643079682384268</v>
      </c>
    </row>
    <row r="358" spans="9:13" x14ac:dyDescent="0.3">
      <c r="I358">
        <v>354</v>
      </c>
      <c r="J358" s="23">
        <f>'$ Portfolio Loss'!P358</f>
        <v>82.351789582846322</v>
      </c>
      <c r="L358">
        <v>54</v>
      </c>
      <c r="M358" s="23">
        <v>-42.755986519845464</v>
      </c>
    </row>
    <row r="359" spans="9:13" x14ac:dyDescent="0.3">
      <c r="I359">
        <v>355</v>
      </c>
      <c r="J359" s="23">
        <f>'$ Portfolio Loss'!P359</f>
        <v>21.486835573465214</v>
      </c>
      <c r="L359">
        <v>251</v>
      </c>
      <c r="M359" s="23">
        <v>-42.876090784016924</v>
      </c>
    </row>
    <row r="360" spans="9:13" x14ac:dyDescent="0.3">
      <c r="I360">
        <v>356</v>
      </c>
      <c r="J360" s="23">
        <f>'$ Portfolio Loss'!P360</f>
        <v>-12.665358205827943</v>
      </c>
      <c r="L360">
        <v>174</v>
      </c>
      <c r="M360" s="23">
        <v>-43.574626298803196</v>
      </c>
    </row>
    <row r="361" spans="9:13" x14ac:dyDescent="0.3">
      <c r="I361">
        <v>357</v>
      </c>
      <c r="J361" s="23">
        <f>'$ Portfolio Loss'!P361</f>
        <v>-38.13463916701221</v>
      </c>
      <c r="L361">
        <v>210</v>
      </c>
      <c r="M361" s="23">
        <v>-43.592971778736683</v>
      </c>
    </row>
    <row r="362" spans="9:13" x14ac:dyDescent="0.3">
      <c r="I362">
        <v>358</v>
      </c>
      <c r="J362" s="23">
        <f>'$ Portfolio Loss'!P362</f>
        <v>-10.239649408225887</v>
      </c>
      <c r="L362">
        <v>176</v>
      </c>
      <c r="M362" s="23">
        <v>-44.188821497291428</v>
      </c>
    </row>
    <row r="363" spans="9:13" x14ac:dyDescent="0.3">
      <c r="I363">
        <v>359</v>
      </c>
      <c r="J363" s="23">
        <f>'$ Portfolio Loss'!P363</f>
        <v>-36.044709850335494</v>
      </c>
      <c r="L363">
        <v>26</v>
      </c>
      <c r="M363" s="23">
        <v>-44.431147138187953</v>
      </c>
    </row>
    <row r="364" spans="9:13" x14ac:dyDescent="0.3">
      <c r="I364">
        <v>360</v>
      </c>
      <c r="J364" s="23">
        <f>'$ Portfolio Loss'!P364</f>
        <v>-9.7707250556213694</v>
      </c>
      <c r="L364">
        <v>108</v>
      </c>
      <c r="M364" s="23">
        <v>-44.488959818489093</v>
      </c>
    </row>
    <row r="365" spans="9:13" x14ac:dyDescent="0.3">
      <c r="I365">
        <v>361</v>
      </c>
      <c r="J365" s="23">
        <f>'$ Portfolio Loss'!P365</f>
        <v>75.639754229416212</v>
      </c>
      <c r="L365">
        <v>212</v>
      </c>
      <c r="M365" s="23">
        <v>-45.074079105233977</v>
      </c>
    </row>
    <row r="366" spans="9:13" x14ac:dyDescent="0.3">
      <c r="I366">
        <v>362</v>
      </c>
      <c r="J366" s="23">
        <f>'$ Portfolio Loss'!P366</f>
        <v>5.1240437290980481</v>
      </c>
      <c r="L366">
        <v>156</v>
      </c>
      <c r="M366" s="23">
        <v>-45.905282390114735</v>
      </c>
    </row>
    <row r="367" spans="9:13" x14ac:dyDescent="0.3">
      <c r="I367">
        <v>363</v>
      </c>
      <c r="J367" s="23">
        <f>'$ Portfolio Loss'!P367</f>
        <v>3.9210081967721635</v>
      </c>
      <c r="L367">
        <v>66</v>
      </c>
      <c r="M367" s="23">
        <v>-46.517793514769437</v>
      </c>
    </row>
    <row r="368" spans="9:13" x14ac:dyDescent="0.3">
      <c r="I368">
        <v>364</v>
      </c>
      <c r="J368" s="23">
        <f>'$ Portfolio Loss'!P368</f>
        <v>-21.98160118375381</v>
      </c>
      <c r="L368">
        <v>230</v>
      </c>
      <c r="M368" s="23">
        <v>-47.126729810268444</v>
      </c>
    </row>
    <row r="369" spans="9:13" x14ac:dyDescent="0.3">
      <c r="I369">
        <v>365</v>
      </c>
      <c r="J369" s="23">
        <f>'$ Portfolio Loss'!P369</f>
        <v>-80.721208106333506</v>
      </c>
      <c r="L369">
        <v>301</v>
      </c>
      <c r="M369" s="23">
        <v>-47.275092825513639</v>
      </c>
    </row>
    <row r="370" spans="9:13" x14ac:dyDescent="0.3">
      <c r="I370">
        <v>366</v>
      </c>
      <c r="J370" s="23">
        <f>'$ Portfolio Loss'!P370</f>
        <v>-54.682773939590334</v>
      </c>
      <c r="L370">
        <v>274</v>
      </c>
      <c r="M370" s="23">
        <v>-48.730538840065492</v>
      </c>
    </row>
    <row r="371" spans="9:13" x14ac:dyDescent="0.3">
      <c r="I371">
        <v>367</v>
      </c>
      <c r="J371" s="23">
        <f>'$ Portfolio Loss'!P371</f>
        <v>7.6359337618996506</v>
      </c>
      <c r="L371">
        <v>169</v>
      </c>
      <c r="M371" s="23">
        <v>-48.761662085873468</v>
      </c>
    </row>
    <row r="372" spans="9:13" x14ac:dyDescent="0.3">
      <c r="I372">
        <v>368</v>
      </c>
      <c r="J372" s="23">
        <f>'$ Portfolio Loss'!P372</f>
        <v>3.5425946430150361</v>
      </c>
      <c r="L372">
        <v>414</v>
      </c>
      <c r="M372" s="23">
        <v>-48.954795306113738</v>
      </c>
    </row>
    <row r="373" spans="9:13" x14ac:dyDescent="0.3">
      <c r="I373">
        <v>369</v>
      </c>
      <c r="J373" s="23">
        <f>'$ Portfolio Loss'!P373</f>
        <v>31.832818162431067</v>
      </c>
      <c r="L373">
        <v>355</v>
      </c>
      <c r="M373" s="23">
        <v>-49.039497274665337</v>
      </c>
    </row>
    <row r="374" spans="9:13" x14ac:dyDescent="0.3">
      <c r="I374">
        <v>370</v>
      </c>
      <c r="J374" s="23">
        <f>'$ Portfolio Loss'!P374</f>
        <v>27.63698473570912</v>
      </c>
      <c r="L374">
        <v>277</v>
      </c>
      <c r="M374" s="23">
        <v>-49.126327506590314</v>
      </c>
    </row>
    <row r="375" spans="9:13" x14ac:dyDescent="0.3">
      <c r="I375">
        <v>371</v>
      </c>
      <c r="J375" s="23">
        <f>'$ Portfolio Loss'!P375</f>
        <v>46.881997397573286</v>
      </c>
      <c r="L375">
        <v>37</v>
      </c>
      <c r="M375" s="23">
        <v>-49.14354850359814</v>
      </c>
    </row>
    <row r="376" spans="9:13" x14ac:dyDescent="0.3">
      <c r="I376">
        <v>372</v>
      </c>
      <c r="J376" s="23">
        <f>'$ Portfolio Loss'!P376</f>
        <v>97.491790212785418</v>
      </c>
      <c r="L376">
        <v>386</v>
      </c>
      <c r="M376" s="23">
        <v>-49.309537910001382</v>
      </c>
    </row>
    <row r="377" spans="9:13" x14ac:dyDescent="0.3">
      <c r="I377">
        <v>373</v>
      </c>
      <c r="J377" s="23">
        <f>'$ Portfolio Loss'!P377</f>
        <v>120.13492984050026</v>
      </c>
      <c r="L377">
        <v>470</v>
      </c>
      <c r="M377" s="23">
        <v>-49.350959462975879</v>
      </c>
    </row>
    <row r="378" spans="9:13" x14ac:dyDescent="0.3">
      <c r="I378">
        <v>374</v>
      </c>
      <c r="J378" s="23">
        <f>'$ Portfolio Loss'!P378</f>
        <v>226.9763257771483</v>
      </c>
      <c r="L378">
        <v>474</v>
      </c>
      <c r="M378" s="23">
        <v>-50.812771020027867</v>
      </c>
    </row>
    <row r="379" spans="9:13" x14ac:dyDescent="0.3">
      <c r="I379">
        <v>375</v>
      </c>
      <c r="J379" s="23">
        <f>'$ Portfolio Loss'!P379</f>
        <v>-4.8215970909950556</v>
      </c>
      <c r="L379">
        <v>190</v>
      </c>
      <c r="M379" s="23">
        <v>-51.633162864827682</v>
      </c>
    </row>
    <row r="380" spans="9:13" x14ac:dyDescent="0.3">
      <c r="I380">
        <v>376</v>
      </c>
      <c r="J380" s="23">
        <f>'$ Portfolio Loss'!P380</f>
        <v>-66.845870180441125</v>
      </c>
      <c r="L380">
        <v>234</v>
      </c>
      <c r="M380" s="23">
        <v>-51.636043203981899</v>
      </c>
    </row>
    <row r="381" spans="9:13" x14ac:dyDescent="0.3">
      <c r="I381">
        <v>377</v>
      </c>
      <c r="J381" s="23">
        <f>'$ Portfolio Loss'!P381</f>
        <v>-73.785546109198549</v>
      </c>
      <c r="L381">
        <v>478</v>
      </c>
      <c r="M381" s="23">
        <v>-51.849046228880979</v>
      </c>
    </row>
    <row r="382" spans="9:13" x14ac:dyDescent="0.3">
      <c r="I382">
        <v>378</v>
      </c>
      <c r="J382" s="23">
        <f>'$ Portfolio Loss'!P382</f>
        <v>77.340378506802153</v>
      </c>
      <c r="L382">
        <v>19</v>
      </c>
      <c r="M382" s="23">
        <v>-51.870780668539737</v>
      </c>
    </row>
    <row r="383" spans="9:13" x14ac:dyDescent="0.3">
      <c r="I383">
        <v>379</v>
      </c>
      <c r="J383" s="23">
        <f>'$ Portfolio Loss'!P383</f>
        <v>67.711990227668139</v>
      </c>
      <c r="L383">
        <v>16</v>
      </c>
      <c r="M383" s="23">
        <v>-51.929993037734675</v>
      </c>
    </row>
    <row r="384" spans="9:13" x14ac:dyDescent="0.3">
      <c r="I384">
        <v>380</v>
      </c>
      <c r="J384" s="23">
        <f>'$ Portfolio Loss'!P384</f>
        <v>-0.92461317281413358</v>
      </c>
      <c r="L384">
        <v>189</v>
      </c>
      <c r="M384" s="23">
        <v>-52.192617955526657</v>
      </c>
    </row>
    <row r="385" spans="9:13" x14ac:dyDescent="0.3">
      <c r="I385">
        <v>381</v>
      </c>
      <c r="J385" s="23">
        <f>'$ Portfolio Loss'!P385</f>
        <v>135.72321012450811</v>
      </c>
      <c r="L385">
        <v>421</v>
      </c>
      <c r="M385" s="23">
        <v>-52.625510077576109</v>
      </c>
    </row>
    <row r="386" spans="9:13" x14ac:dyDescent="0.3">
      <c r="I386">
        <v>382</v>
      </c>
      <c r="J386" s="23">
        <f>'$ Portfolio Loss'!P386</f>
        <v>-1.5264783645034186</v>
      </c>
      <c r="L386">
        <v>181</v>
      </c>
      <c r="M386" s="23">
        <v>-52.638077186262308</v>
      </c>
    </row>
    <row r="387" spans="9:13" x14ac:dyDescent="0.3">
      <c r="I387">
        <v>383</v>
      </c>
      <c r="J387" s="23">
        <f>'$ Portfolio Loss'!P387</f>
        <v>-101.16648459841599</v>
      </c>
      <c r="L387">
        <v>413</v>
      </c>
      <c r="M387" s="23">
        <v>-53.103458921050333</v>
      </c>
    </row>
    <row r="388" spans="9:13" x14ac:dyDescent="0.3">
      <c r="I388">
        <v>384</v>
      </c>
      <c r="J388" s="23">
        <f>'$ Portfolio Loss'!P388</f>
        <v>-94.314899560125923</v>
      </c>
      <c r="L388">
        <v>443</v>
      </c>
      <c r="M388" s="23">
        <v>-53.31587297360602</v>
      </c>
    </row>
    <row r="389" spans="9:13" x14ac:dyDescent="0.3">
      <c r="I389">
        <v>385</v>
      </c>
      <c r="J389" s="23">
        <f>'$ Portfolio Loss'!P389</f>
        <v>50.882254436219228</v>
      </c>
      <c r="L389">
        <v>426</v>
      </c>
      <c r="M389" s="23">
        <v>-53.925840280364355</v>
      </c>
    </row>
    <row r="390" spans="9:13" x14ac:dyDescent="0.3">
      <c r="I390">
        <v>386</v>
      </c>
      <c r="J390" s="23">
        <f>'$ Portfolio Loss'!P390</f>
        <v>-54.296571668201068</v>
      </c>
      <c r="L390">
        <v>308</v>
      </c>
      <c r="M390" s="23">
        <v>-53.929405415899964</v>
      </c>
    </row>
    <row r="391" spans="9:13" x14ac:dyDescent="0.3">
      <c r="I391">
        <v>387</v>
      </c>
      <c r="J391" s="23">
        <f>'$ Portfolio Loss'!P391</f>
        <v>18.128821944152151</v>
      </c>
      <c r="L391">
        <v>311</v>
      </c>
      <c r="M391" s="23">
        <v>-54.160290329495183</v>
      </c>
    </row>
    <row r="392" spans="9:13" x14ac:dyDescent="0.3">
      <c r="I392">
        <v>388</v>
      </c>
      <c r="J392" s="23">
        <f>'$ Portfolio Loss'!P392</f>
        <v>111.6685927713097</v>
      </c>
      <c r="L392">
        <v>33</v>
      </c>
      <c r="M392" s="23">
        <v>-54.388348120268347</v>
      </c>
    </row>
    <row r="393" spans="9:13" x14ac:dyDescent="0.3">
      <c r="I393">
        <v>389</v>
      </c>
      <c r="J393" s="23">
        <f>'$ Portfolio Loss'!P393</f>
        <v>47.658805699786171</v>
      </c>
      <c r="L393">
        <v>46</v>
      </c>
      <c r="M393" s="23">
        <v>-54.468400729452696</v>
      </c>
    </row>
    <row r="394" spans="9:13" x14ac:dyDescent="0.3">
      <c r="I394">
        <v>390</v>
      </c>
      <c r="J394" s="23">
        <f>'$ Portfolio Loss'!P394</f>
        <v>-12.196408355042877</v>
      </c>
      <c r="L394">
        <v>260</v>
      </c>
      <c r="M394" s="23">
        <v>-54.56320213721483</v>
      </c>
    </row>
    <row r="395" spans="9:13" x14ac:dyDescent="0.3">
      <c r="I395">
        <v>391</v>
      </c>
      <c r="J395" s="23">
        <f>'$ Portfolio Loss'!P395</f>
        <v>-45.456983885202135</v>
      </c>
      <c r="L395">
        <v>316</v>
      </c>
      <c r="M395" s="23">
        <v>-54.64850474900777</v>
      </c>
    </row>
    <row r="396" spans="9:13" x14ac:dyDescent="0.3">
      <c r="I396">
        <v>392</v>
      </c>
      <c r="J396" s="23">
        <f>'$ Portfolio Loss'!P396</f>
        <v>-67.673864083053559</v>
      </c>
      <c r="L396">
        <v>87</v>
      </c>
      <c r="M396" s="23">
        <v>-54.83099058980406</v>
      </c>
    </row>
    <row r="397" spans="9:13" x14ac:dyDescent="0.3">
      <c r="I397">
        <v>393</v>
      </c>
      <c r="J397" s="23">
        <f>'$ Portfolio Loss'!P397</f>
        <v>-42.502698805903492</v>
      </c>
      <c r="L397">
        <v>287</v>
      </c>
      <c r="M397" s="23">
        <v>-55.69907411186432</v>
      </c>
    </row>
    <row r="398" spans="9:13" x14ac:dyDescent="0.3">
      <c r="I398">
        <v>394</v>
      </c>
      <c r="J398" s="23">
        <f>'$ Portfolio Loss'!P398</f>
        <v>65.230333076477109</v>
      </c>
      <c r="L398">
        <v>18</v>
      </c>
      <c r="M398" s="23">
        <v>-56.357542835272397</v>
      </c>
    </row>
    <row r="399" spans="9:13" x14ac:dyDescent="0.3">
      <c r="I399">
        <v>395</v>
      </c>
      <c r="J399" s="23">
        <f>'$ Portfolio Loss'!P399</f>
        <v>-29.04128729428885</v>
      </c>
      <c r="L399">
        <v>101</v>
      </c>
      <c r="M399" s="23">
        <v>-56.5370993110173</v>
      </c>
    </row>
    <row r="400" spans="9:13" x14ac:dyDescent="0.3">
      <c r="I400">
        <v>396</v>
      </c>
      <c r="J400" s="23">
        <f>'$ Portfolio Loss'!P400</f>
        <v>-159.82527856132583</v>
      </c>
      <c r="L400">
        <v>72</v>
      </c>
      <c r="M400" s="23">
        <v>-56.734803804652984</v>
      </c>
    </row>
    <row r="401" spans="9:13" x14ac:dyDescent="0.3">
      <c r="I401">
        <v>397</v>
      </c>
      <c r="J401" s="23">
        <f>'$ Portfolio Loss'!P401</f>
        <v>-18.562607575804577</v>
      </c>
      <c r="L401">
        <v>15</v>
      </c>
      <c r="M401" s="23">
        <v>-57.041293595386378</v>
      </c>
    </row>
    <row r="402" spans="9:13" x14ac:dyDescent="0.3">
      <c r="I402">
        <v>398</v>
      </c>
      <c r="J402" s="23">
        <f>'$ Portfolio Loss'!P402</f>
        <v>-61.697542276444437</v>
      </c>
      <c r="L402">
        <v>235</v>
      </c>
      <c r="M402" s="23">
        <v>-57.361210607934481</v>
      </c>
    </row>
    <row r="403" spans="9:13" x14ac:dyDescent="0.3">
      <c r="I403">
        <v>399</v>
      </c>
      <c r="J403" s="23">
        <f>'$ Portfolio Loss'!P403</f>
        <v>-12.917521512114035</v>
      </c>
      <c r="L403">
        <v>368</v>
      </c>
      <c r="M403" s="23">
        <v>-57.59784257080355</v>
      </c>
    </row>
    <row r="404" spans="9:13" x14ac:dyDescent="0.3">
      <c r="I404">
        <v>400</v>
      </c>
      <c r="J404" s="23">
        <f>'$ Portfolio Loss'!P404</f>
        <v>-32.972840392661965</v>
      </c>
      <c r="L404">
        <v>247</v>
      </c>
      <c r="M404" s="23">
        <v>-58.087907901919607</v>
      </c>
    </row>
    <row r="405" spans="9:13" x14ac:dyDescent="0.3">
      <c r="I405">
        <v>401</v>
      </c>
      <c r="J405" s="23">
        <f>'$ Portfolio Loss'!P405</f>
        <v>-82.787975343178914</v>
      </c>
      <c r="L405">
        <v>44</v>
      </c>
      <c r="M405" s="23">
        <v>-61.699657502689661</v>
      </c>
    </row>
    <row r="406" spans="9:13" x14ac:dyDescent="0.3">
      <c r="I406">
        <v>402</v>
      </c>
      <c r="J406" s="23">
        <f>'$ Portfolio Loss'!P406</f>
        <v>-3.3921996143089928</v>
      </c>
      <c r="L406">
        <v>255</v>
      </c>
      <c r="M406" s="23">
        <v>-61.820294132339768</v>
      </c>
    </row>
    <row r="407" spans="9:13" x14ac:dyDescent="0.3">
      <c r="I407">
        <v>403</v>
      </c>
      <c r="J407" s="23">
        <f>'$ Portfolio Loss'!P407</f>
        <v>-40.768016787827946</v>
      </c>
      <c r="L407">
        <v>219</v>
      </c>
      <c r="M407" s="23">
        <v>-61.839156814225134</v>
      </c>
    </row>
    <row r="408" spans="9:13" x14ac:dyDescent="0.3">
      <c r="I408">
        <v>404</v>
      </c>
      <c r="J408" s="23">
        <f>'$ Portfolio Loss'!P408</f>
        <v>20.160332983850822</v>
      </c>
      <c r="L408">
        <v>109</v>
      </c>
      <c r="M408" s="23">
        <v>-61.854301423270954</v>
      </c>
    </row>
    <row r="409" spans="9:13" x14ac:dyDescent="0.3">
      <c r="I409">
        <v>405</v>
      </c>
      <c r="J409" s="23">
        <f>'$ Portfolio Loss'!P409</f>
        <v>62.040037966264208</v>
      </c>
      <c r="L409">
        <v>295</v>
      </c>
      <c r="M409" s="23">
        <v>-62.108956579337246</v>
      </c>
    </row>
    <row r="410" spans="9:13" x14ac:dyDescent="0.3">
      <c r="I410">
        <v>406</v>
      </c>
      <c r="J410" s="23">
        <f>'$ Portfolio Loss'!P410</f>
        <v>-11.028375910926115</v>
      </c>
      <c r="L410">
        <v>327</v>
      </c>
      <c r="M410" s="23">
        <v>-63.098206046608539</v>
      </c>
    </row>
    <row r="411" spans="9:13" x14ac:dyDescent="0.3">
      <c r="I411">
        <v>407</v>
      </c>
      <c r="J411" s="23">
        <f>'$ Portfolio Loss'!P411</f>
        <v>14.122441934709059</v>
      </c>
      <c r="L411">
        <v>5</v>
      </c>
      <c r="M411" s="23">
        <v>-63.635125298076673</v>
      </c>
    </row>
    <row r="412" spans="9:13" x14ac:dyDescent="0.3">
      <c r="I412">
        <v>408</v>
      </c>
      <c r="J412" s="23">
        <f>'$ Portfolio Loss'!P412</f>
        <v>-8.0178639760870283</v>
      </c>
      <c r="L412">
        <v>433</v>
      </c>
      <c r="M412" s="23">
        <v>-64.430016567246639</v>
      </c>
    </row>
    <row r="413" spans="9:13" x14ac:dyDescent="0.3">
      <c r="I413">
        <v>409</v>
      </c>
      <c r="J413" s="23">
        <f>'$ Portfolio Loss'!P413</f>
        <v>85.948748993903791</v>
      </c>
      <c r="L413">
        <v>317</v>
      </c>
      <c r="M413" s="23">
        <v>-64.506650788591287</v>
      </c>
    </row>
    <row r="414" spans="9:13" x14ac:dyDescent="0.3">
      <c r="I414">
        <v>410</v>
      </c>
      <c r="J414" s="23">
        <f>'$ Portfolio Loss'!P414</f>
        <v>-14.455337339792095</v>
      </c>
      <c r="L414">
        <v>244</v>
      </c>
      <c r="M414" s="23">
        <v>-65.244727420282288</v>
      </c>
    </row>
    <row r="415" spans="9:13" x14ac:dyDescent="0.3">
      <c r="I415">
        <v>411</v>
      </c>
      <c r="J415" s="23">
        <f>'$ Portfolio Loss'!P415</f>
        <v>82.784639291330677</v>
      </c>
      <c r="L415">
        <v>482</v>
      </c>
      <c r="M415" s="23">
        <v>-65.382288528113349</v>
      </c>
    </row>
    <row r="416" spans="9:13" x14ac:dyDescent="0.3">
      <c r="I416">
        <v>412</v>
      </c>
      <c r="J416" s="23">
        <f>'$ Portfolio Loss'!P416</f>
        <v>14.83914786366222</v>
      </c>
      <c r="L416">
        <v>211</v>
      </c>
      <c r="M416" s="23">
        <v>-65.823117159405228</v>
      </c>
    </row>
    <row r="417" spans="9:13" x14ac:dyDescent="0.3">
      <c r="I417">
        <v>413</v>
      </c>
      <c r="J417" s="23">
        <f>'$ Portfolio Loss'!P417</f>
        <v>-42.023480715561163</v>
      </c>
      <c r="L417">
        <v>198</v>
      </c>
      <c r="M417" s="23">
        <v>-66.175228287527716</v>
      </c>
    </row>
    <row r="418" spans="9:13" x14ac:dyDescent="0.3">
      <c r="I418">
        <v>414</v>
      </c>
      <c r="J418" s="23">
        <f>'$ Portfolio Loss'!P418</f>
        <v>45.41588796790893</v>
      </c>
      <c r="L418">
        <v>468</v>
      </c>
      <c r="M418" s="23">
        <v>-66.715413849906327</v>
      </c>
    </row>
    <row r="419" spans="9:13" x14ac:dyDescent="0.3">
      <c r="I419">
        <v>415</v>
      </c>
      <c r="J419" s="23">
        <f>'$ Portfolio Loss'!P419</f>
        <v>122.17676990102154</v>
      </c>
      <c r="L419">
        <v>432</v>
      </c>
      <c r="M419" s="23">
        <v>-68.949333618164019</v>
      </c>
    </row>
    <row r="420" spans="9:13" x14ac:dyDescent="0.3">
      <c r="I420">
        <v>416</v>
      </c>
      <c r="J420" s="23">
        <f>'$ Portfolio Loss'!P420</f>
        <v>-32.235273064254216</v>
      </c>
      <c r="L420">
        <v>232</v>
      </c>
      <c r="M420" s="23">
        <v>-69.73312924108177</v>
      </c>
    </row>
    <row r="421" spans="9:13" x14ac:dyDescent="0.3">
      <c r="I421">
        <v>417</v>
      </c>
      <c r="J421" s="23">
        <f>'$ Portfolio Loss'!P421</f>
        <v>-17.226117058848104</v>
      </c>
      <c r="L421">
        <v>40</v>
      </c>
      <c r="M421" s="23">
        <v>-69.73347489632215</v>
      </c>
    </row>
    <row r="422" spans="9:13" x14ac:dyDescent="0.3">
      <c r="I422">
        <v>418</v>
      </c>
      <c r="J422" s="23">
        <f>'$ Portfolio Loss'!P422</f>
        <v>-29.493453907487492</v>
      </c>
      <c r="L422">
        <v>458</v>
      </c>
      <c r="M422" s="23">
        <v>-70.121141757776059</v>
      </c>
    </row>
    <row r="423" spans="9:13" x14ac:dyDescent="0.3">
      <c r="I423">
        <v>419</v>
      </c>
      <c r="J423" s="23">
        <f>'$ Portfolio Loss'!P423</f>
        <v>122.27976669996679</v>
      </c>
      <c r="L423">
        <v>250</v>
      </c>
      <c r="M423" s="23">
        <v>-70.661347876699438</v>
      </c>
    </row>
    <row r="424" spans="9:13" x14ac:dyDescent="0.3">
      <c r="I424">
        <v>420</v>
      </c>
      <c r="J424" s="23">
        <f>'$ Portfolio Loss'!P424</f>
        <v>-45.425148246118624</v>
      </c>
      <c r="L424">
        <v>248</v>
      </c>
      <c r="M424" s="23">
        <v>-70.899575864106737</v>
      </c>
    </row>
    <row r="425" spans="9:13" x14ac:dyDescent="0.3">
      <c r="I425">
        <v>421</v>
      </c>
      <c r="J425" s="23">
        <f>'$ Portfolio Loss'!P425</f>
        <v>-110.39226092801437</v>
      </c>
      <c r="L425">
        <v>315</v>
      </c>
      <c r="M425" s="23">
        <v>-71.381076541454604</v>
      </c>
    </row>
    <row r="426" spans="9:13" x14ac:dyDescent="0.3">
      <c r="I426">
        <v>422</v>
      </c>
      <c r="J426" s="23">
        <f>'$ Portfolio Loss'!P426</f>
        <v>-132.72137228944484</v>
      </c>
      <c r="L426">
        <v>454</v>
      </c>
      <c r="M426" s="23">
        <v>-71.403934052552358</v>
      </c>
    </row>
    <row r="427" spans="9:13" x14ac:dyDescent="0.3">
      <c r="I427">
        <v>423</v>
      </c>
      <c r="J427" s="23">
        <f>'$ Portfolio Loss'!P427</f>
        <v>-37.005160831489775</v>
      </c>
      <c r="L427">
        <v>289</v>
      </c>
      <c r="M427" s="23">
        <v>-73.109402634596336</v>
      </c>
    </row>
    <row r="428" spans="9:13" x14ac:dyDescent="0.3">
      <c r="I428">
        <v>424</v>
      </c>
      <c r="J428" s="23">
        <f>'$ Portfolio Loss'!P428</f>
        <v>-57.308360526807519</v>
      </c>
      <c r="L428">
        <v>222</v>
      </c>
      <c r="M428" s="23">
        <v>-74.574024710238518</v>
      </c>
    </row>
    <row r="429" spans="9:13" x14ac:dyDescent="0.3">
      <c r="I429">
        <v>425</v>
      </c>
      <c r="J429" s="23">
        <f>'$ Portfolio Loss'!P429</f>
        <v>-22.580773548461366</v>
      </c>
      <c r="L429">
        <v>310</v>
      </c>
      <c r="M429" s="23">
        <v>-74.876668628279731</v>
      </c>
    </row>
    <row r="430" spans="9:13" x14ac:dyDescent="0.3">
      <c r="I430">
        <v>426</v>
      </c>
      <c r="J430" s="23">
        <f>'$ Portfolio Loss'!P430</f>
        <v>19.50450231179093</v>
      </c>
      <c r="L430">
        <v>34</v>
      </c>
      <c r="M430" s="23">
        <v>-76.53321535586656</v>
      </c>
    </row>
    <row r="431" spans="9:13" x14ac:dyDescent="0.3">
      <c r="I431">
        <v>427</v>
      </c>
      <c r="J431" s="23">
        <f>'$ Portfolio Loss'!P431</f>
        <v>-16.742582179693272</v>
      </c>
      <c r="L431">
        <v>61</v>
      </c>
      <c r="M431" s="23">
        <v>-78.696693547492032</v>
      </c>
    </row>
    <row r="432" spans="9:13" x14ac:dyDescent="0.3">
      <c r="I432">
        <v>428</v>
      </c>
      <c r="J432" s="23">
        <f>'$ Portfolio Loss'!P432</f>
        <v>-44.919579372890439</v>
      </c>
      <c r="L432">
        <v>102</v>
      </c>
      <c r="M432" s="23">
        <v>-79.105912814644398</v>
      </c>
    </row>
    <row r="433" spans="9:13" x14ac:dyDescent="0.3">
      <c r="I433">
        <v>429</v>
      </c>
      <c r="J433" s="23">
        <f>'$ Portfolio Loss'!P433</f>
        <v>51.615710198466331</v>
      </c>
      <c r="L433">
        <v>199</v>
      </c>
      <c r="M433" s="23">
        <v>-79.640877844030911</v>
      </c>
    </row>
    <row r="434" spans="9:13" x14ac:dyDescent="0.3">
      <c r="I434">
        <v>430</v>
      </c>
      <c r="J434" s="23">
        <f>'$ Portfolio Loss'!P434</f>
        <v>-53.189006605929535</v>
      </c>
      <c r="L434">
        <v>24</v>
      </c>
      <c r="M434" s="23">
        <v>-82.827667048259173</v>
      </c>
    </row>
    <row r="435" spans="9:13" x14ac:dyDescent="0.3">
      <c r="I435">
        <v>431</v>
      </c>
      <c r="J435" s="23">
        <f>'$ Portfolio Loss'!P435</f>
        <v>17.59512494003684</v>
      </c>
      <c r="L435">
        <v>412</v>
      </c>
      <c r="M435" s="23">
        <v>-83.197260851640749</v>
      </c>
    </row>
    <row r="436" spans="9:13" x14ac:dyDescent="0.3">
      <c r="I436">
        <v>432</v>
      </c>
      <c r="J436" s="23">
        <f>'$ Portfolio Loss'!P436</f>
        <v>-33.256625880991123</v>
      </c>
      <c r="L436">
        <v>146</v>
      </c>
      <c r="M436" s="23">
        <v>-83.506856424844955</v>
      </c>
    </row>
    <row r="437" spans="9:13" x14ac:dyDescent="0.3">
      <c r="I437">
        <v>433</v>
      </c>
      <c r="J437" s="23">
        <f>'$ Portfolio Loss'!P437</f>
        <v>-14.331018736556871</v>
      </c>
      <c r="L437">
        <v>409</v>
      </c>
      <c r="M437" s="23">
        <v>-83.888508856587578</v>
      </c>
    </row>
    <row r="438" spans="9:13" x14ac:dyDescent="0.3">
      <c r="I438">
        <v>434</v>
      </c>
      <c r="J438" s="23">
        <f>'$ Portfolio Loss'!P438</f>
        <v>23.327611057649847</v>
      </c>
      <c r="L438">
        <v>6</v>
      </c>
      <c r="M438" s="23">
        <v>-85.833581737253553</v>
      </c>
    </row>
    <row r="439" spans="9:13" x14ac:dyDescent="0.3">
      <c r="I439">
        <v>435</v>
      </c>
      <c r="J439" s="23">
        <f>'$ Portfolio Loss'!P439</f>
        <v>-79.074290302931331</v>
      </c>
      <c r="L439">
        <v>347</v>
      </c>
      <c r="M439" s="23">
        <v>-85.98337029958202</v>
      </c>
    </row>
    <row r="440" spans="9:13" x14ac:dyDescent="0.3">
      <c r="I440">
        <v>436</v>
      </c>
      <c r="J440" s="23">
        <f>'$ Portfolio Loss'!P440</f>
        <v>-10.139285442501205</v>
      </c>
      <c r="L440">
        <v>7</v>
      </c>
      <c r="M440" s="23">
        <v>-86.960119385001235</v>
      </c>
    </row>
    <row r="441" spans="9:13" x14ac:dyDescent="0.3">
      <c r="I441">
        <v>437</v>
      </c>
      <c r="J441" s="23">
        <f>'$ Portfolio Loss'!P441</f>
        <v>-111.67337930629947</v>
      </c>
      <c r="L441">
        <v>166</v>
      </c>
      <c r="M441" s="23">
        <v>-87.313202594199538</v>
      </c>
    </row>
    <row r="442" spans="9:13" x14ac:dyDescent="0.3">
      <c r="I442">
        <v>438</v>
      </c>
      <c r="J442" s="23">
        <f>'$ Portfolio Loss'!P442</f>
        <v>-38.67712411568391</v>
      </c>
      <c r="L442">
        <v>363</v>
      </c>
      <c r="M442" s="23">
        <v>-87.375104154838482</v>
      </c>
    </row>
    <row r="443" spans="9:13" x14ac:dyDescent="0.3">
      <c r="I443">
        <v>439</v>
      </c>
      <c r="J443" s="23">
        <f>'$ Portfolio Loss'!P443</f>
        <v>2.6014912486716639</v>
      </c>
      <c r="L443">
        <v>155</v>
      </c>
      <c r="M443" s="23">
        <v>-87.38756892881247</v>
      </c>
    </row>
    <row r="444" spans="9:13" x14ac:dyDescent="0.3">
      <c r="I444">
        <v>440</v>
      </c>
      <c r="J444" s="23">
        <f>'$ Portfolio Loss'!P444</f>
        <v>-26.524383193824178</v>
      </c>
      <c r="L444">
        <v>239</v>
      </c>
      <c r="M444" s="23">
        <v>-88.340040657720238</v>
      </c>
    </row>
    <row r="445" spans="9:13" x14ac:dyDescent="0.3">
      <c r="I445">
        <v>441</v>
      </c>
      <c r="J445" s="23">
        <f>'$ Portfolio Loss'!P445</f>
        <v>5.5833371419648756</v>
      </c>
      <c r="L445">
        <v>270</v>
      </c>
      <c r="M445" s="23">
        <v>-89.261676532634738</v>
      </c>
    </row>
    <row r="446" spans="9:13" x14ac:dyDescent="0.3">
      <c r="I446">
        <v>442</v>
      </c>
      <c r="J446" s="23">
        <f>'$ Portfolio Loss'!P446</f>
        <v>68.972944468960122</v>
      </c>
      <c r="L446">
        <v>480</v>
      </c>
      <c r="M446" s="23">
        <v>-89.561242389332619</v>
      </c>
    </row>
    <row r="447" spans="9:13" x14ac:dyDescent="0.3">
      <c r="I447">
        <v>443</v>
      </c>
      <c r="J447" s="23">
        <f>'$ Portfolio Loss'!P447</f>
        <v>-19.972206654865658</v>
      </c>
      <c r="L447">
        <v>359</v>
      </c>
      <c r="M447" s="23">
        <v>-89.974467416182961</v>
      </c>
    </row>
    <row r="448" spans="9:13" x14ac:dyDescent="0.3">
      <c r="I448">
        <v>444</v>
      </c>
      <c r="J448" s="23">
        <f>'$ Portfolio Loss'!P448</f>
        <v>34.841622106498107</v>
      </c>
      <c r="L448">
        <v>457</v>
      </c>
      <c r="M448" s="23">
        <v>-92.288139743031934</v>
      </c>
    </row>
    <row r="449" spans="9:13" x14ac:dyDescent="0.3">
      <c r="I449">
        <v>445</v>
      </c>
      <c r="J449" s="23">
        <f>'$ Portfolio Loss'!P449</f>
        <v>40.451092404658993</v>
      </c>
      <c r="L449">
        <v>200</v>
      </c>
      <c r="M449" s="23">
        <v>-92.301513271502699</v>
      </c>
    </row>
    <row r="450" spans="9:13" x14ac:dyDescent="0.3">
      <c r="I450">
        <v>446</v>
      </c>
      <c r="J450" s="23">
        <f>'$ Portfolio Loss'!P450</f>
        <v>25.148402235814501</v>
      </c>
      <c r="L450">
        <v>138</v>
      </c>
      <c r="M450" s="23">
        <v>-92.979971152588405</v>
      </c>
    </row>
    <row r="451" spans="9:13" x14ac:dyDescent="0.3">
      <c r="I451">
        <v>447</v>
      </c>
      <c r="J451" s="23">
        <f>'$ Portfolio Loss'!P451</f>
        <v>-49.871650892429898</v>
      </c>
      <c r="L451">
        <v>285</v>
      </c>
      <c r="M451" s="23">
        <v>-94.248271111107897</v>
      </c>
    </row>
    <row r="452" spans="9:13" x14ac:dyDescent="0.3">
      <c r="I452">
        <v>448</v>
      </c>
      <c r="J452" s="23">
        <f>'$ Portfolio Loss'!P452</f>
        <v>-63.950998369680747</v>
      </c>
      <c r="L452">
        <v>291</v>
      </c>
      <c r="M452" s="23">
        <v>-94.43648862853297</v>
      </c>
    </row>
    <row r="453" spans="9:13" x14ac:dyDescent="0.3">
      <c r="I453">
        <v>449</v>
      </c>
      <c r="J453" s="23">
        <f>'$ Portfolio Loss'!P453</f>
        <v>16.506464299269282</v>
      </c>
      <c r="L453">
        <v>173</v>
      </c>
      <c r="M453" s="23">
        <v>-96.415462354798365</v>
      </c>
    </row>
    <row r="454" spans="9:13" x14ac:dyDescent="0.3">
      <c r="I454">
        <v>450</v>
      </c>
      <c r="J454" s="23">
        <f>'$ Portfolio Loss'!P454</f>
        <v>70.009758010754013</v>
      </c>
      <c r="L454">
        <v>362</v>
      </c>
      <c r="M454" s="23">
        <v>-96.709907885089706</v>
      </c>
    </row>
    <row r="455" spans="9:13" x14ac:dyDescent="0.3">
      <c r="I455">
        <v>451</v>
      </c>
      <c r="J455" s="23">
        <f>'$ Portfolio Loss'!P455</f>
        <v>-29.360698986305579</v>
      </c>
      <c r="L455">
        <v>471</v>
      </c>
      <c r="M455" s="23">
        <v>-101.13409368716384</v>
      </c>
    </row>
    <row r="456" spans="9:13" x14ac:dyDescent="0.3">
      <c r="I456">
        <v>452</v>
      </c>
      <c r="J456" s="23">
        <f>'$ Portfolio Loss'!P456</f>
        <v>-62.666293150788988</v>
      </c>
      <c r="L456">
        <v>145</v>
      </c>
      <c r="M456" s="23">
        <v>-103.59611941634466</v>
      </c>
    </row>
    <row r="457" spans="9:13" x14ac:dyDescent="0.3">
      <c r="I457">
        <v>453</v>
      </c>
      <c r="J457" s="23">
        <f>'$ Portfolio Loss'!P457</f>
        <v>-73.508171390427378</v>
      </c>
      <c r="L457">
        <v>314</v>
      </c>
      <c r="M457" s="23">
        <v>-103.734615107016</v>
      </c>
    </row>
    <row r="458" spans="9:13" x14ac:dyDescent="0.3">
      <c r="I458">
        <v>454</v>
      </c>
      <c r="J458" s="23">
        <f>'$ Portfolio Loss'!P458</f>
        <v>-5.7935405258122046</v>
      </c>
      <c r="L458">
        <v>143</v>
      </c>
      <c r="M458" s="23">
        <v>-104.577393267964</v>
      </c>
    </row>
    <row r="459" spans="9:13" x14ac:dyDescent="0.3">
      <c r="I459">
        <v>455</v>
      </c>
      <c r="J459" s="23">
        <f>'$ Portfolio Loss'!P459</f>
        <v>4.6693785776733421</v>
      </c>
      <c r="L459">
        <v>385</v>
      </c>
      <c r="M459" s="23">
        <v>-104.75020755703372</v>
      </c>
    </row>
    <row r="460" spans="9:13" x14ac:dyDescent="0.3">
      <c r="I460">
        <v>456</v>
      </c>
      <c r="J460" s="23">
        <f>'$ Portfolio Loss'!P460</f>
        <v>109.67352871222283</v>
      </c>
      <c r="L460">
        <v>76</v>
      </c>
      <c r="M460" s="23">
        <v>-105.52932995235642</v>
      </c>
    </row>
    <row r="461" spans="9:13" x14ac:dyDescent="0.3">
      <c r="I461">
        <v>457</v>
      </c>
      <c r="J461" s="23">
        <f>'$ Portfolio Loss'!P461</f>
        <v>8.5524906651262427</v>
      </c>
      <c r="L461">
        <v>94</v>
      </c>
      <c r="M461" s="23">
        <v>-105.61996593252297</v>
      </c>
    </row>
    <row r="462" spans="9:13" x14ac:dyDescent="0.3">
      <c r="I462">
        <v>458</v>
      </c>
      <c r="J462" s="23">
        <f>'$ Portfolio Loss'!P462</f>
        <v>78.468832576483692</v>
      </c>
      <c r="L462">
        <v>268</v>
      </c>
      <c r="M462" s="23">
        <v>-106.24029863249598</v>
      </c>
    </row>
    <row r="463" spans="9:13" x14ac:dyDescent="0.3">
      <c r="I463">
        <v>459</v>
      </c>
      <c r="J463" s="23">
        <f>'$ Portfolio Loss'!P463</f>
        <v>26.968299304957327</v>
      </c>
      <c r="L463">
        <v>162</v>
      </c>
      <c r="M463" s="23">
        <v>-107.42657340114602</v>
      </c>
    </row>
    <row r="464" spans="9:13" x14ac:dyDescent="0.3">
      <c r="I464">
        <v>460</v>
      </c>
      <c r="J464" s="23">
        <f>'$ Portfolio Loss'!P464</f>
        <v>-47.658911320102561</v>
      </c>
      <c r="L464">
        <v>397</v>
      </c>
      <c r="M464" s="23">
        <v>-109.59086693698191</v>
      </c>
    </row>
    <row r="465" spans="9:13" x14ac:dyDescent="0.3">
      <c r="I465">
        <v>461</v>
      </c>
      <c r="J465" s="23">
        <f>'$ Portfolio Loss'!P465</f>
        <v>-75.488547441018454</v>
      </c>
      <c r="L465">
        <v>300</v>
      </c>
      <c r="M465" s="23">
        <v>-109.82742441342816</v>
      </c>
    </row>
    <row r="466" spans="9:13" x14ac:dyDescent="0.3">
      <c r="I466">
        <v>462</v>
      </c>
      <c r="J466" s="23">
        <f>'$ Portfolio Loss'!P466</f>
        <v>5.4075800788705237</v>
      </c>
      <c r="L466">
        <v>115</v>
      </c>
      <c r="M466" s="23">
        <v>-109.97030305324552</v>
      </c>
    </row>
    <row r="467" spans="9:13" x14ac:dyDescent="0.3">
      <c r="I467">
        <v>463</v>
      </c>
      <c r="J467" s="23">
        <f>'$ Portfolio Loss'!P467</f>
        <v>17.89160130541859</v>
      </c>
      <c r="L467">
        <v>402</v>
      </c>
      <c r="M467" s="23">
        <v>-110.3941495597519</v>
      </c>
    </row>
    <row r="468" spans="9:13" x14ac:dyDescent="0.3">
      <c r="I468">
        <v>464</v>
      </c>
      <c r="J468" s="23">
        <f>'$ Portfolio Loss'!P468</f>
        <v>-35.566780533506972</v>
      </c>
      <c r="L468">
        <v>243</v>
      </c>
      <c r="M468" s="23">
        <v>-110.83699916832848</v>
      </c>
    </row>
    <row r="469" spans="9:13" x14ac:dyDescent="0.3">
      <c r="I469">
        <v>465</v>
      </c>
      <c r="J469" s="23">
        <f>'$ Portfolio Loss'!P469</f>
        <v>-92.704740292765564</v>
      </c>
      <c r="L469">
        <v>218</v>
      </c>
      <c r="M469" s="23">
        <v>-112.25882303735489</v>
      </c>
    </row>
    <row r="470" spans="9:13" x14ac:dyDescent="0.3">
      <c r="I470">
        <v>466</v>
      </c>
      <c r="J470" s="23">
        <f>'$ Portfolio Loss'!P470</f>
        <v>-122.99075109720616</v>
      </c>
      <c r="L470">
        <v>123</v>
      </c>
      <c r="M470" s="23">
        <v>-113.43222126451474</v>
      </c>
    </row>
    <row r="471" spans="9:13" x14ac:dyDescent="0.3">
      <c r="I471">
        <v>467</v>
      </c>
      <c r="J471" s="23">
        <f>'$ Portfolio Loss'!P471</f>
        <v>-7.013120770072419</v>
      </c>
      <c r="L471">
        <v>307</v>
      </c>
      <c r="M471" s="23">
        <v>-114.00879925697154</v>
      </c>
    </row>
    <row r="472" spans="9:13" x14ac:dyDescent="0.3">
      <c r="I472">
        <v>468</v>
      </c>
      <c r="J472" s="23">
        <f>'$ Portfolio Loss'!P472</f>
        <v>-32.333962758788402</v>
      </c>
      <c r="L472">
        <v>246</v>
      </c>
      <c r="M472" s="23">
        <v>-118.91029100954074</v>
      </c>
    </row>
    <row r="473" spans="9:13" x14ac:dyDescent="0.3">
      <c r="I473">
        <v>469</v>
      </c>
      <c r="J473" s="23">
        <f>'$ Portfolio Loss'!P473</f>
        <v>23.893183116668297</v>
      </c>
      <c r="L473">
        <v>357</v>
      </c>
      <c r="M473" s="23">
        <v>-120.3057466587743</v>
      </c>
    </row>
    <row r="474" spans="9:13" x14ac:dyDescent="0.3">
      <c r="I474">
        <v>470</v>
      </c>
      <c r="J474" s="23">
        <f>'$ Portfolio Loss'!P474</f>
        <v>13.502199969872891</v>
      </c>
      <c r="L474">
        <v>136</v>
      </c>
      <c r="M474" s="23">
        <v>-121.229195178792</v>
      </c>
    </row>
    <row r="475" spans="9:13" x14ac:dyDescent="0.3">
      <c r="I475">
        <v>471</v>
      </c>
      <c r="J475" s="23">
        <f>'$ Portfolio Loss'!P475</f>
        <v>-27.698499162819644</v>
      </c>
      <c r="L475">
        <v>288</v>
      </c>
      <c r="M475" s="23">
        <v>-122.8295610603036</v>
      </c>
    </row>
    <row r="476" spans="9:13" x14ac:dyDescent="0.3">
      <c r="I476">
        <v>472</v>
      </c>
      <c r="J476" s="23">
        <f>'$ Portfolio Loss'!P476</f>
        <v>-20.627131358325641</v>
      </c>
      <c r="L476">
        <v>373</v>
      </c>
      <c r="M476" s="23">
        <v>-123.89287551661437</v>
      </c>
    </row>
    <row r="477" spans="9:13" x14ac:dyDescent="0.3">
      <c r="I477">
        <v>473</v>
      </c>
      <c r="J477" s="23">
        <f>'$ Portfolio Loss'!P477</f>
        <v>-21.491818802924172</v>
      </c>
      <c r="L477">
        <v>500</v>
      </c>
      <c r="M477" s="23">
        <v>-126.43896718726137</v>
      </c>
    </row>
    <row r="478" spans="9:13" x14ac:dyDescent="0.3">
      <c r="I478">
        <v>474</v>
      </c>
      <c r="J478" s="23">
        <f>'$ Portfolio Loss'!P478</f>
        <v>-42.337281221785815</v>
      </c>
      <c r="L478">
        <v>483</v>
      </c>
      <c r="M478" s="23">
        <v>-127.951464586984</v>
      </c>
    </row>
    <row r="479" spans="9:13" x14ac:dyDescent="0.3">
      <c r="I479">
        <v>475</v>
      </c>
      <c r="J479" s="23">
        <f>'$ Portfolio Loss'!P479</f>
        <v>-1.8337507828091475</v>
      </c>
      <c r="L479">
        <v>496</v>
      </c>
      <c r="M479" s="23">
        <v>-129.78058522602987</v>
      </c>
    </row>
    <row r="480" spans="9:13" x14ac:dyDescent="0.3">
      <c r="I480">
        <v>476</v>
      </c>
      <c r="J480" s="23">
        <f>'$ Portfolio Loss'!P480</f>
        <v>35.780308145516756</v>
      </c>
      <c r="L480">
        <v>236</v>
      </c>
      <c r="M480" s="23">
        <v>-131.00500554685641</v>
      </c>
    </row>
    <row r="481" spans="9:13" x14ac:dyDescent="0.3">
      <c r="I481">
        <v>477</v>
      </c>
      <c r="J481" s="23">
        <f>'$ Portfolio Loss'!P481</f>
        <v>-12.539629671722651</v>
      </c>
      <c r="L481">
        <v>305</v>
      </c>
      <c r="M481" s="23">
        <v>-131.96805083459549</v>
      </c>
    </row>
    <row r="482" spans="9:13" x14ac:dyDescent="0.3">
      <c r="I482">
        <v>478</v>
      </c>
      <c r="J482" s="23">
        <f>'$ Portfolio Loss'!P482</f>
        <v>-6.4255922076281422</v>
      </c>
      <c r="L482">
        <v>326</v>
      </c>
      <c r="M482" s="23">
        <v>-138.65604476265617</v>
      </c>
    </row>
    <row r="483" spans="9:13" x14ac:dyDescent="0.3">
      <c r="I483">
        <v>479</v>
      </c>
      <c r="J483" s="23">
        <f>'$ Portfolio Loss'!P483</f>
        <v>-28.028253685497475</v>
      </c>
      <c r="L483">
        <v>252</v>
      </c>
      <c r="M483" s="23">
        <v>-144.04172982201271</v>
      </c>
    </row>
    <row r="484" spans="9:13" x14ac:dyDescent="0.3">
      <c r="I484">
        <v>480</v>
      </c>
      <c r="J484" s="23">
        <f>'$ Portfolio Loss'!P484</f>
        <v>66.743037878131872</v>
      </c>
      <c r="L484">
        <v>346</v>
      </c>
      <c r="M484" s="23">
        <v>-145.47521045654139</v>
      </c>
    </row>
    <row r="485" spans="9:13" x14ac:dyDescent="0.3">
      <c r="I485">
        <v>481</v>
      </c>
      <c r="J485" s="23">
        <f>'$ Portfolio Loss'!P485</f>
        <v>-36.45878635076042</v>
      </c>
      <c r="L485">
        <v>405</v>
      </c>
      <c r="M485" s="23">
        <v>-146.29342979794274</v>
      </c>
    </row>
    <row r="486" spans="9:13" x14ac:dyDescent="0.3">
      <c r="I486">
        <v>482</v>
      </c>
      <c r="J486" s="23">
        <f>'$ Portfolio Loss'!P486</f>
        <v>-20.022615070331085</v>
      </c>
      <c r="L486">
        <v>258</v>
      </c>
      <c r="M486" s="23">
        <v>-149.5501741129865</v>
      </c>
    </row>
    <row r="487" spans="9:13" x14ac:dyDescent="0.3">
      <c r="I487">
        <v>483</v>
      </c>
      <c r="J487" s="23">
        <f>'$ Portfolio Loss'!P487</f>
        <v>-95.535747797157455</v>
      </c>
      <c r="L487">
        <v>493</v>
      </c>
      <c r="M487" s="23">
        <v>-155.02247434568926</v>
      </c>
    </row>
    <row r="488" spans="9:13" x14ac:dyDescent="0.3">
      <c r="I488">
        <v>484</v>
      </c>
      <c r="J488" s="23">
        <f>'$ Portfolio Loss'!P488</f>
        <v>-27.413056304234487</v>
      </c>
      <c r="L488">
        <v>344</v>
      </c>
      <c r="M488" s="23">
        <v>-155.54047619443372</v>
      </c>
    </row>
    <row r="489" spans="9:13" x14ac:dyDescent="0.3">
      <c r="I489">
        <v>485</v>
      </c>
      <c r="J489" s="23">
        <f>'$ Portfolio Loss'!P489</f>
        <v>-46.187955856754343</v>
      </c>
      <c r="L489">
        <v>147</v>
      </c>
      <c r="M489" s="23">
        <v>-162.94083828421026</v>
      </c>
    </row>
    <row r="490" spans="9:13" x14ac:dyDescent="0.3">
      <c r="I490">
        <v>486</v>
      </c>
      <c r="J490" s="23">
        <f>'$ Portfolio Loss'!P490</f>
        <v>5.8969759222982248</v>
      </c>
      <c r="L490">
        <v>372</v>
      </c>
      <c r="M490" s="23">
        <v>-165.04413540546375</v>
      </c>
    </row>
    <row r="491" spans="9:13" x14ac:dyDescent="0.3">
      <c r="I491">
        <v>487</v>
      </c>
      <c r="J491" s="23">
        <f>'$ Portfolio Loss'!P491</f>
        <v>-14.380401273407188</v>
      </c>
      <c r="L491">
        <v>309</v>
      </c>
      <c r="M491" s="23">
        <v>-167.15159190420309</v>
      </c>
    </row>
    <row r="492" spans="9:13" x14ac:dyDescent="0.3">
      <c r="I492">
        <v>488</v>
      </c>
      <c r="J492" s="23">
        <f>'$ Portfolio Loss'!P492</f>
        <v>-80.313251589239371</v>
      </c>
      <c r="L492">
        <v>463</v>
      </c>
      <c r="M492" s="23">
        <v>-167.8823659226091</v>
      </c>
    </row>
    <row r="493" spans="9:13" x14ac:dyDescent="0.3">
      <c r="I493">
        <v>489</v>
      </c>
      <c r="J493" s="23">
        <f>'$ Portfolio Loss'!P493</f>
        <v>11.210985196823458</v>
      </c>
      <c r="L493">
        <v>361</v>
      </c>
      <c r="M493" s="23">
        <v>-179.87323824558371</v>
      </c>
    </row>
    <row r="494" spans="9:13" x14ac:dyDescent="0.3">
      <c r="I494">
        <v>490</v>
      </c>
      <c r="J494" s="23">
        <f>'$ Portfolio Loss'!P494</f>
        <v>16.928266969009201</v>
      </c>
      <c r="L494">
        <v>384</v>
      </c>
      <c r="M494" s="23">
        <v>-180.23579095732021</v>
      </c>
    </row>
    <row r="495" spans="9:13" x14ac:dyDescent="0.3">
      <c r="I495">
        <v>491</v>
      </c>
      <c r="J495" s="23">
        <f>'$ Portfolio Loss'!P495</f>
        <v>117.49099864514392</v>
      </c>
      <c r="L495">
        <v>353</v>
      </c>
      <c r="M495" s="23">
        <v>-185.88264424074259</v>
      </c>
    </row>
    <row r="496" spans="9:13" x14ac:dyDescent="0.3">
      <c r="I496">
        <v>492</v>
      </c>
      <c r="J496" s="23">
        <f>'$ Portfolio Loss'!P496</f>
        <v>-76.684384230396972</v>
      </c>
      <c r="L496">
        <v>467</v>
      </c>
      <c r="M496" s="23">
        <v>-188.98647754204467</v>
      </c>
    </row>
    <row r="497" spans="9:13" x14ac:dyDescent="0.3">
      <c r="I497">
        <v>493</v>
      </c>
      <c r="J497" s="23">
        <f>'$ Portfolio Loss'!P497</f>
        <v>165.26531208639426</v>
      </c>
      <c r="L497">
        <v>455</v>
      </c>
      <c r="M497" s="23">
        <v>-205.51035918357775</v>
      </c>
    </row>
    <row r="498" spans="9:13" x14ac:dyDescent="0.3">
      <c r="I498">
        <v>494</v>
      </c>
      <c r="J498" s="23">
        <f>'$ Portfolio Loss'!P498</f>
        <v>15.090537042637152</v>
      </c>
      <c r="L498">
        <v>263</v>
      </c>
      <c r="M498" s="23">
        <v>-214.9094175198843</v>
      </c>
    </row>
    <row r="499" spans="9:13" x14ac:dyDescent="0.3">
      <c r="I499">
        <v>495</v>
      </c>
      <c r="J499" s="23">
        <f>'$ Portfolio Loss'!P499</f>
        <v>26.445632558526995</v>
      </c>
      <c r="L499">
        <v>395</v>
      </c>
      <c r="M499" s="23">
        <v>-224.5146280105364</v>
      </c>
    </row>
    <row r="500" spans="9:13" x14ac:dyDescent="0.3">
      <c r="I500">
        <v>496</v>
      </c>
      <c r="J500" s="23">
        <f>'$ Portfolio Loss'!P500</f>
        <v>131.22854906940665</v>
      </c>
      <c r="L500">
        <v>489</v>
      </c>
      <c r="M500" s="23">
        <v>-284.92469158141466</v>
      </c>
    </row>
    <row r="501" spans="9:13" x14ac:dyDescent="0.3">
      <c r="I501">
        <v>497</v>
      </c>
      <c r="J501" s="23">
        <f>'$ Portfolio Loss'!P501</f>
        <v>27.583760532148517</v>
      </c>
      <c r="L501">
        <v>341</v>
      </c>
      <c r="M501" s="23">
        <v>-307.93011510920951</v>
      </c>
    </row>
    <row r="502" spans="9:13" x14ac:dyDescent="0.3">
      <c r="I502">
        <v>498</v>
      </c>
      <c r="J502" s="23">
        <f>'$ Portfolio Loss'!P502</f>
        <v>82.803764222195241</v>
      </c>
      <c r="L502">
        <v>377</v>
      </c>
      <c r="M502" s="23">
        <v>-316.48933902174576</v>
      </c>
    </row>
    <row r="503" spans="9:13" x14ac:dyDescent="0.3">
      <c r="I503">
        <v>499</v>
      </c>
      <c r="J503" s="23">
        <f>'$ Portfolio Loss'!P503</f>
        <v>-105.55205215652313</v>
      </c>
      <c r="L503">
        <v>379</v>
      </c>
      <c r="M503" s="23">
        <v>-333.02184034411766</v>
      </c>
    </row>
    <row r="504" spans="9:13" x14ac:dyDescent="0.3">
      <c r="I504">
        <v>500</v>
      </c>
      <c r="J504" s="23">
        <f>'$ Portfolio Loss'!P504</f>
        <v>-95.629317915525462</v>
      </c>
      <c r="L504">
        <v>497</v>
      </c>
      <c r="M504" s="23">
        <v>-555.7954114142467</v>
      </c>
    </row>
    <row r="505" spans="9:13" x14ac:dyDescent="0.3">
      <c r="J505" s="23"/>
    </row>
  </sheetData>
  <sortState xmlns:xlrd2="http://schemas.microsoft.com/office/spreadsheetml/2017/richdata2" ref="L5:M504">
    <sortCondition descending="1" ref="M5:M504"/>
  </sortState>
  <pageMargins left="0.7" right="0.7" top="0.75" bottom="0.75" header="0.3" footer="0.3"/>
  <pageSetup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U505"/>
  <sheetViews>
    <sheetView zoomScale="65" zoomScaleNormal="90" zoomScalePageLayoutView="90" workbookViewId="0">
      <selection activeCell="J13" sqref="J13"/>
    </sheetView>
  </sheetViews>
  <sheetFormatPr defaultColWidth="8.88671875" defaultRowHeight="14.4" x14ac:dyDescent="0.3"/>
  <cols>
    <col min="1" max="1" width="14.109375" customWidth="1"/>
    <col min="2" max="2" width="11.44140625" bestFit="1" customWidth="1"/>
    <col min="3" max="3" width="12" customWidth="1"/>
    <col min="4" max="4" width="12.6640625" bestFit="1" customWidth="1"/>
    <col min="5" max="5" width="11.44140625" bestFit="1" customWidth="1"/>
    <col min="6" max="11" width="11.44140625" customWidth="1"/>
    <col min="12" max="12" width="2.88671875" style="29" customWidth="1"/>
    <col min="15" max="15" width="2.44140625" style="29" customWidth="1"/>
    <col min="17" max="17" width="8.88671875" style="23"/>
    <col min="18" max="18" width="3.109375" style="29" customWidth="1"/>
    <col min="20" max="20" width="11" customWidth="1"/>
    <col min="21" max="21" width="22.77734375" customWidth="1"/>
  </cols>
  <sheetData>
    <row r="1" spans="1:21" x14ac:dyDescent="0.3">
      <c r="A1" s="9" t="s">
        <v>15</v>
      </c>
      <c r="B1" s="4">
        <v>43138</v>
      </c>
    </row>
    <row r="3" spans="1:21" x14ac:dyDescent="0.3">
      <c r="A3" s="9" t="s">
        <v>21</v>
      </c>
      <c r="P3" s="27" t="s">
        <v>23</v>
      </c>
      <c r="T3" s="27" t="s">
        <v>29</v>
      </c>
    </row>
    <row r="4" spans="1:21" x14ac:dyDescent="0.3">
      <c r="A4" s="27" t="s">
        <v>17</v>
      </c>
      <c r="B4" s="27" t="s">
        <v>18</v>
      </c>
      <c r="C4" s="27" t="s">
        <v>19</v>
      </c>
      <c r="D4" s="27" t="s">
        <v>20</v>
      </c>
      <c r="E4" s="27"/>
      <c r="F4" s="27"/>
      <c r="G4" s="27"/>
      <c r="H4" s="27"/>
      <c r="I4" s="27"/>
      <c r="J4" s="27"/>
      <c r="K4" s="27"/>
      <c r="M4" s="27" t="s">
        <v>2</v>
      </c>
      <c r="N4" s="27" t="s">
        <v>29</v>
      </c>
      <c r="O4" s="30"/>
      <c r="P4" s="27" t="s">
        <v>2</v>
      </c>
      <c r="Q4" s="28" t="s">
        <v>29</v>
      </c>
      <c r="S4" s="27" t="s">
        <v>26</v>
      </c>
      <c r="T4" s="27" t="s">
        <v>27</v>
      </c>
      <c r="U4" s="27" t="s">
        <v>41</v>
      </c>
    </row>
    <row r="5" spans="1:21" x14ac:dyDescent="0.3">
      <c r="A5" t="s">
        <v>102</v>
      </c>
      <c r="B5" s="23">
        <v>4000</v>
      </c>
      <c r="C5" s="24">
        <v>11022.06</v>
      </c>
      <c r="D5" s="31">
        <f>B5/C5</f>
        <v>0.36290856700108692</v>
      </c>
      <c r="E5" s="31"/>
      <c r="F5" s="31"/>
      <c r="G5" s="31"/>
      <c r="H5" s="31"/>
      <c r="I5" s="31"/>
      <c r="J5" s="31"/>
      <c r="K5" s="31"/>
      <c r="M5" s="3">
        <f>Data!A3</f>
        <v>1</v>
      </c>
      <c r="N5" s="23">
        <f>'$ Portfolio Loss'!P5</f>
        <v>148.27449625830559</v>
      </c>
      <c r="P5">
        <v>494</v>
      </c>
      <c r="Q5" s="23">
        <v>477.84100103359742</v>
      </c>
      <c r="S5">
        <v>-600</v>
      </c>
      <c r="T5">
        <f t="array" ref="T5:T27">FREQUENCY($Q$5:$Q$504,S5:S27)</f>
        <v>0</v>
      </c>
      <c r="U5" s="40">
        <f>T5/$B$12</f>
        <v>0</v>
      </c>
    </row>
    <row r="6" spans="1:21" x14ac:dyDescent="0.3">
      <c r="A6" t="s">
        <v>108</v>
      </c>
      <c r="B6" s="23">
        <v>3000</v>
      </c>
      <c r="C6" s="25">
        <v>9599.8984</v>
      </c>
      <c r="D6" s="31">
        <f t="shared" ref="D6:D8" si="0">B6/C6</f>
        <v>0.3125033073266692</v>
      </c>
      <c r="E6" s="31"/>
      <c r="F6" s="31"/>
      <c r="G6" s="31"/>
      <c r="H6" s="31"/>
      <c r="I6" s="31"/>
      <c r="J6" s="31"/>
      <c r="K6" s="31"/>
      <c r="M6">
        <v>2</v>
      </c>
      <c r="N6" s="23">
        <f>'$ Portfolio Loss'!P6</f>
        <v>96.491509347586543</v>
      </c>
      <c r="P6">
        <v>339</v>
      </c>
      <c r="Q6" s="23">
        <v>345.43507527311704</v>
      </c>
      <c r="S6">
        <v>-550</v>
      </c>
      <c r="T6">
        <v>1</v>
      </c>
      <c r="U6" s="40">
        <f t="shared" ref="U6:U27" si="1">T6/$B$12</f>
        <v>2E-3</v>
      </c>
    </row>
    <row r="7" spans="1:21" x14ac:dyDescent="0.3">
      <c r="A7" t="s">
        <v>106</v>
      </c>
      <c r="B7" s="23">
        <v>1000</v>
      </c>
      <c r="C7" s="23">
        <v>6200.3960686519004</v>
      </c>
      <c r="D7" s="31">
        <f t="shared" si="0"/>
        <v>0.16128001968387506</v>
      </c>
      <c r="E7" s="31"/>
      <c r="F7" s="31"/>
      <c r="G7" s="31"/>
      <c r="H7" s="31"/>
      <c r="I7" s="31"/>
      <c r="J7" s="31"/>
      <c r="K7" s="31"/>
      <c r="M7">
        <v>3</v>
      </c>
      <c r="N7" s="23">
        <f>'$ Portfolio Loss'!P7</f>
        <v>-65.775320899459985</v>
      </c>
      <c r="P7">
        <v>349</v>
      </c>
      <c r="Q7" s="23">
        <v>282.20384520461448</v>
      </c>
      <c r="S7">
        <v>-500</v>
      </c>
      <c r="T7">
        <v>0</v>
      </c>
      <c r="U7" s="40">
        <f t="shared" si="1"/>
        <v>0</v>
      </c>
    </row>
    <row r="8" spans="1:21" x14ac:dyDescent="0.3">
      <c r="A8" t="s">
        <v>10</v>
      </c>
      <c r="B8" s="23">
        <v>2000</v>
      </c>
      <c r="C8" s="23">
        <v>112.82211990227401</v>
      </c>
      <c r="D8" s="31">
        <f t="shared" si="0"/>
        <v>17.727020213167336</v>
      </c>
      <c r="E8" s="31"/>
      <c r="F8" s="31"/>
      <c r="G8" s="31"/>
      <c r="H8" s="31"/>
      <c r="I8" s="31"/>
      <c r="J8" s="31"/>
      <c r="K8" s="31"/>
      <c r="M8">
        <v>4</v>
      </c>
      <c r="N8" s="23">
        <f>'$ Portfolio Loss'!P8</f>
        <v>-23.50448540245452</v>
      </c>
      <c r="P8">
        <v>329</v>
      </c>
      <c r="Q8" s="23">
        <v>277.04129403526349</v>
      </c>
      <c r="S8">
        <v>-450</v>
      </c>
      <c r="T8">
        <v>0</v>
      </c>
      <c r="U8" s="40">
        <f t="shared" si="1"/>
        <v>0</v>
      </c>
    </row>
    <row r="9" spans="1:21" x14ac:dyDescent="0.3">
      <c r="B9" s="26">
        <f>SUM(B5:B8)</f>
        <v>10000</v>
      </c>
      <c r="C9" s="23"/>
      <c r="M9">
        <v>5</v>
      </c>
      <c r="N9" s="23">
        <f>'$ Portfolio Loss'!P9</f>
        <v>-118.58631800325747</v>
      </c>
      <c r="P9">
        <v>487</v>
      </c>
      <c r="Q9" s="23">
        <v>253.38495609979509</v>
      </c>
      <c r="S9">
        <v>-400</v>
      </c>
      <c r="T9">
        <v>0</v>
      </c>
      <c r="U9" s="40">
        <f t="shared" si="1"/>
        <v>0</v>
      </c>
    </row>
    <row r="10" spans="1:21" x14ac:dyDescent="0.3">
      <c r="M10">
        <v>6</v>
      </c>
      <c r="N10" s="23">
        <f>'$ Portfolio Loss'!P10</f>
        <v>-150.56444115341947</v>
      </c>
      <c r="P10">
        <v>227</v>
      </c>
      <c r="Q10" s="23">
        <v>217.97395897909701</v>
      </c>
      <c r="S10">
        <v>-350</v>
      </c>
      <c r="T10">
        <v>0</v>
      </c>
      <c r="U10" s="40">
        <f t="shared" si="1"/>
        <v>0</v>
      </c>
    </row>
    <row r="11" spans="1:21" x14ac:dyDescent="0.3">
      <c r="A11" s="9" t="s">
        <v>29</v>
      </c>
      <c r="M11">
        <v>7</v>
      </c>
      <c r="N11" s="23">
        <f>'$ Portfolio Loss'!P11</f>
        <v>-14.973300534576993</v>
      </c>
      <c r="P11">
        <v>131</v>
      </c>
      <c r="Q11" s="23">
        <v>202.25553909110386</v>
      </c>
      <c r="S11">
        <v>-300</v>
      </c>
      <c r="T11">
        <v>3</v>
      </c>
      <c r="U11" s="40">
        <f t="shared" si="1"/>
        <v>6.0000000000000001E-3</v>
      </c>
    </row>
    <row r="12" spans="1:21" x14ac:dyDescent="0.3">
      <c r="A12" s="9" t="s">
        <v>36</v>
      </c>
      <c r="B12" s="39">
        <f>COUNT($Q$5:$Q$504)</f>
        <v>500</v>
      </c>
      <c r="M12">
        <v>8</v>
      </c>
      <c r="N12" s="23">
        <f>'$ Portfolio Loss'!P12</f>
        <v>-69.431549180715592</v>
      </c>
      <c r="P12">
        <v>238</v>
      </c>
      <c r="Q12" s="23">
        <v>201.38921638536704</v>
      </c>
      <c r="S12">
        <v>-250</v>
      </c>
      <c r="T12">
        <v>1</v>
      </c>
      <c r="U12" s="40">
        <f t="shared" si="1"/>
        <v>2E-3</v>
      </c>
    </row>
    <row r="13" spans="1:21" x14ac:dyDescent="0.3">
      <c r="A13" s="9" t="s">
        <v>25</v>
      </c>
      <c r="B13" s="38">
        <f>MIN($N$5:$N$504)</f>
        <v>-159.82527856132583</v>
      </c>
      <c r="M13">
        <v>9</v>
      </c>
      <c r="N13" s="23">
        <f>'$ Portfolio Loss'!P13</f>
        <v>91.300137142372478</v>
      </c>
      <c r="P13">
        <v>473</v>
      </c>
      <c r="Q13" s="23">
        <v>191.26906641746609</v>
      </c>
      <c r="S13">
        <v>-200</v>
      </c>
      <c r="T13">
        <v>3</v>
      </c>
      <c r="U13" s="40">
        <f t="shared" si="1"/>
        <v>6.0000000000000001E-3</v>
      </c>
    </row>
    <row r="14" spans="1:21" x14ac:dyDescent="0.3">
      <c r="A14" s="9" t="s">
        <v>24</v>
      </c>
      <c r="B14" s="38">
        <f>MAX($N$5:$N$504)</f>
        <v>237.67317481744431</v>
      </c>
      <c r="M14">
        <v>10</v>
      </c>
      <c r="N14" s="23">
        <f>'$ Portfolio Loss'!P14</f>
        <v>-37.026300411896955</v>
      </c>
      <c r="P14">
        <v>306</v>
      </c>
      <c r="Q14" s="23">
        <v>191.04965748705217</v>
      </c>
      <c r="S14">
        <v>-150</v>
      </c>
      <c r="T14">
        <v>10</v>
      </c>
      <c r="U14" s="40">
        <f t="shared" si="1"/>
        <v>0.02</v>
      </c>
    </row>
    <row r="15" spans="1:21" x14ac:dyDescent="0.3">
      <c r="A15" s="9" t="s">
        <v>3</v>
      </c>
      <c r="B15" s="38">
        <f>AVERAGE($N$5:$N$504)</f>
        <v>-2.0143944008631296</v>
      </c>
      <c r="M15">
        <v>11</v>
      </c>
      <c r="N15" s="23">
        <f>'$ Portfolio Loss'!P15</f>
        <v>-61.255034663041442</v>
      </c>
      <c r="P15">
        <v>477</v>
      </c>
      <c r="Q15" s="23">
        <v>185.12694936397929</v>
      </c>
      <c r="S15">
        <v>-100</v>
      </c>
      <c r="T15">
        <v>32</v>
      </c>
      <c r="U15" s="40">
        <f t="shared" si="1"/>
        <v>6.4000000000000001E-2</v>
      </c>
    </row>
    <row r="16" spans="1:21" x14ac:dyDescent="0.3">
      <c r="A16" s="9" t="s">
        <v>28</v>
      </c>
      <c r="B16" s="38">
        <f>_xlfn.STDEV.S($N$5:$N$504)</f>
        <v>61.668444402402322</v>
      </c>
      <c r="M16">
        <v>12</v>
      </c>
      <c r="N16" s="23">
        <f>'$ Portfolio Loss'!P16</f>
        <v>-39.824610230856706</v>
      </c>
      <c r="P16">
        <v>495</v>
      </c>
      <c r="Q16" s="23">
        <v>184.44962935786134</v>
      </c>
      <c r="S16">
        <v>-50</v>
      </c>
      <c r="T16">
        <v>77</v>
      </c>
      <c r="U16" s="40">
        <f t="shared" si="1"/>
        <v>0.154</v>
      </c>
    </row>
    <row r="17" spans="1:21" x14ac:dyDescent="0.3">
      <c r="A17" s="9" t="s">
        <v>4</v>
      </c>
      <c r="B17" s="38">
        <f>SKEW($N$5:$N$504)</f>
        <v>0.42840607464062852</v>
      </c>
      <c r="M17">
        <v>13</v>
      </c>
      <c r="N17" s="23">
        <f>'$ Portfolio Loss'!P17</f>
        <v>72.558275954686906</v>
      </c>
      <c r="P17">
        <v>376</v>
      </c>
      <c r="Q17" s="23">
        <v>182.70721906115796</v>
      </c>
      <c r="S17">
        <v>0</v>
      </c>
      <c r="T17">
        <v>145</v>
      </c>
      <c r="U17" s="40">
        <f t="shared" si="1"/>
        <v>0.28999999999999998</v>
      </c>
    </row>
    <row r="18" spans="1:21" x14ac:dyDescent="0.3">
      <c r="A18" s="9" t="s">
        <v>5</v>
      </c>
      <c r="B18" s="38">
        <f>KURT($N$5:$N$504)</f>
        <v>0.56807805591012128</v>
      </c>
      <c r="C18" s="23"/>
      <c r="E18" s="1"/>
      <c r="F18" s="1"/>
      <c r="M18">
        <v>14</v>
      </c>
      <c r="N18" s="23">
        <f>'$ Portfolio Loss'!P18</f>
        <v>35.767826695031545</v>
      </c>
      <c r="P18">
        <v>237</v>
      </c>
      <c r="Q18" s="23">
        <v>180.10475010029586</v>
      </c>
      <c r="S18">
        <v>50</v>
      </c>
      <c r="T18">
        <v>101</v>
      </c>
      <c r="U18" s="40">
        <f t="shared" si="1"/>
        <v>0.20200000000000001</v>
      </c>
    </row>
    <row r="19" spans="1:21" x14ac:dyDescent="0.3">
      <c r="M19">
        <v>15</v>
      </c>
      <c r="N19" s="23">
        <f>'$ Portfolio Loss'!P19</f>
        <v>81.492869819576299</v>
      </c>
      <c r="P19">
        <v>365</v>
      </c>
      <c r="Q19" s="23">
        <v>172.22374096282692</v>
      </c>
      <c r="S19">
        <v>100</v>
      </c>
      <c r="T19">
        <v>56</v>
      </c>
      <c r="U19" s="40">
        <f t="shared" si="1"/>
        <v>0.112</v>
      </c>
    </row>
    <row r="20" spans="1:21" x14ac:dyDescent="0.3">
      <c r="M20">
        <v>16</v>
      </c>
      <c r="N20" s="23">
        <f>'$ Portfolio Loss'!P20</f>
        <v>87.058226931147146</v>
      </c>
      <c r="P20">
        <v>283</v>
      </c>
      <c r="Q20" s="23">
        <v>172.21194565829319</v>
      </c>
      <c r="S20">
        <v>150</v>
      </c>
      <c r="T20">
        <v>43</v>
      </c>
      <c r="U20" s="40">
        <f t="shared" si="1"/>
        <v>8.5999999999999993E-2</v>
      </c>
    </row>
    <row r="21" spans="1:21" x14ac:dyDescent="0.3">
      <c r="A21" s="9" t="s">
        <v>37</v>
      </c>
      <c r="B21" s="3">
        <v>0.95</v>
      </c>
      <c r="M21">
        <v>17</v>
      </c>
      <c r="N21" s="23">
        <f>'$ Portfolio Loss'!P21</f>
        <v>56.88225094142399</v>
      </c>
      <c r="P21">
        <v>378</v>
      </c>
      <c r="Q21" s="23">
        <v>167.10418072299581</v>
      </c>
      <c r="S21">
        <v>200</v>
      </c>
      <c r="T21">
        <v>20</v>
      </c>
      <c r="U21" s="40">
        <f t="shared" si="1"/>
        <v>0.04</v>
      </c>
    </row>
    <row r="22" spans="1:21" x14ac:dyDescent="0.3">
      <c r="A22" s="9" t="s">
        <v>30</v>
      </c>
      <c r="B22" s="9" t="s">
        <v>32</v>
      </c>
      <c r="C22" s="27" t="s">
        <v>6</v>
      </c>
      <c r="D22" s="27" t="s">
        <v>34</v>
      </c>
      <c r="E22" s="27" t="s">
        <v>35</v>
      </c>
      <c r="F22" s="27" t="s">
        <v>48</v>
      </c>
      <c r="G22" s="27" t="s">
        <v>31</v>
      </c>
      <c r="H22" s="27" t="s">
        <v>51</v>
      </c>
      <c r="I22" s="27" t="s">
        <v>49</v>
      </c>
      <c r="J22" s="27" t="s">
        <v>50</v>
      </c>
      <c r="K22" s="27" t="s">
        <v>52</v>
      </c>
      <c r="M22">
        <v>18</v>
      </c>
      <c r="N22" s="23">
        <f>'$ Portfolio Loss'!P22</f>
        <v>-59.339269308005896</v>
      </c>
      <c r="P22">
        <v>320</v>
      </c>
      <c r="Q22" s="23">
        <v>167.06585266724323</v>
      </c>
      <c r="S22">
        <v>250</v>
      </c>
      <c r="T22">
        <v>3</v>
      </c>
      <c r="U22" s="40">
        <f t="shared" si="1"/>
        <v>6.0000000000000001E-3</v>
      </c>
    </row>
    <row r="23" spans="1:21" x14ac:dyDescent="0.3">
      <c r="A23" s="2">
        <v>0.995</v>
      </c>
      <c r="B23" s="1">
        <f>_xlfn.PERCENTILE.EXC($N$5:$N$504,A23)</f>
        <v>196.96382663103071</v>
      </c>
      <c r="C23" s="1">
        <f>SQRT(A23*(1-A23)/$B$12)/_xlfn.NORM.DIST(_xlfn.NORM.INV(A23,$B$15,$B$16),$B$15,$B$16,FALSE)</f>
        <v>13.452839438821224</v>
      </c>
      <c r="D23" s="1">
        <f>B23-_xlfn.NORM.S.INV($B$21)*C23</f>
        <v>174.83587488728983</v>
      </c>
      <c r="E23" s="1">
        <f>B23+_xlfn.NORM.S.INV($B$21)*C23</f>
        <v>219.09177837477159</v>
      </c>
      <c r="F23" s="1">
        <f>E23-D23</f>
        <v>44.25590348748176</v>
      </c>
      <c r="G23" s="1">
        <f>SUMIF($N$5:$N$504,"&gt;"&amp;B23)/COUNTIF($N$5:$N$504,"&gt;"&amp;B23)</f>
        <v>232.3247502972963</v>
      </c>
      <c r="H23" s="1">
        <f>B23/G23</f>
        <v>0.84779527957733436</v>
      </c>
      <c r="I23" s="1">
        <f>_xlfn.NORM.INV($A23,$B$15,$B$16)</f>
        <v>156.8329917951209</v>
      </c>
      <c r="J23" s="1">
        <f>$B$15+_xlfn.NORM.DIST(I23,$B$15,$B$16,FALSE)*$B$16^2/(1-A23)</f>
        <v>176.32757738483318</v>
      </c>
      <c r="K23" s="1">
        <f>I23/J23</f>
        <v>0.88944108528658827</v>
      </c>
      <c r="M23">
        <v>19</v>
      </c>
      <c r="N23" s="23">
        <f>'$ Portfolio Loss'!P23</f>
        <v>-39.43281075685627</v>
      </c>
      <c r="P23">
        <v>242</v>
      </c>
      <c r="Q23" s="23">
        <v>166.79971104959259</v>
      </c>
      <c r="S23">
        <v>300</v>
      </c>
      <c r="T23">
        <v>3</v>
      </c>
      <c r="U23" s="40">
        <f t="shared" si="1"/>
        <v>6.0000000000000001E-3</v>
      </c>
    </row>
    <row r="24" spans="1:21" x14ac:dyDescent="0.3">
      <c r="A24" s="2">
        <v>0.99</v>
      </c>
      <c r="B24" s="1">
        <f t="shared" ref="B24:B42" si="2">_xlfn.PERCENTILE.EXC($N$5:$N$504,A24)</f>
        <v>155.89542405713226</v>
      </c>
      <c r="C24" s="1">
        <f t="shared" ref="C24:C42" si="3">SQRT(A24*(1-A24)/$B$12)/_xlfn.NORM.DIST(_xlfn.NORM.INV(A24,$B$15,$B$16),$B$15,$B$16,FALSE)</f>
        <v>10.295879871584194</v>
      </c>
      <c r="D24" s="1">
        <f t="shared" ref="D24:D42" si="4">B24-_xlfn.NORM.S.INV($B$21)*C24</f>
        <v>138.96020870770036</v>
      </c>
      <c r="E24" s="1">
        <f t="shared" ref="E24:E42" si="5">B24+_xlfn.NORM.S.INV($B$21)*C24</f>
        <v>172.83063940656416</v>
      </c>
      <c r="F24" s="1">
        <f t="shared" ref="F24:F42" si="6">E24-D24</f>
        <v>33.8704306988638</v>
      </c>
      <c r="G24" s="1">
        <f t="shared" ref="G24:G42" si="7">SUMIF($N$5:$N$504,"&gt;"&amp;B24)/COUNTIF($N$5:$N$504,"&gt;"&amp;B24)</f>
        <v>190.67280901173035</v>
      </c>
      <c r="H24" s="1">
        <f t="shared" ref="H24:H42" si="8">B24/G24</f>
        <v>0.81760700366847505</v>
      </c>
      <c r="I24" s="1">
        <f t="shared" ref="I24:I42" si="9">_xlfn.NORM.INV($A24,$B$15,$B$16)</f>
        <v>141.44786013007129</v>
      </c>
      <c r="J24" s="1">
        <f t="shared" ref="J24:J42" si="10">$B$15+_xlfn.NORM.DIST(I24,$B$15,$B$16,FALSE)*$B$16^2/(1-A24)</f>
        <v>162.34522056702423</v>
      </c>
      <c r="K24" s="1">
        <f t="shared" ref="K24:K42" si="11">I24/J24</f>
        <v>0.8712782528246622</v>
      </c>
      <c r="M24">
        <v>20</v>
      </c>
      <c r="N24" s="23">
        <f>'$ Portfolio Loss'!P24</f>
        <v>-55.64056134970815</v>
      </c>
      <c r="P24">
        <v>322</v>
      </c>
      <c r="Q24" s="23">
        <v>166.5165397828132</v>
      </c>
      <c r="S24">
        <v>350</v>
      </c>
      <c r="T24">
        <v>1</v>
      </c>
      <c r="U24" s="40">
        <f t="shared" si="1"/>
        <v>2E-3</v>
      </c>
    </row>
    <row r="25" spans="1:21" x14ac:dyDescent="0.3">
      <c r="A25" s="2">
        <v>0.98499999999999999</v>
      </c>
      <c r="B25" s="1">
        <f t="shared" si="2"/>
        <v>149.55511986915934</v>
      </c>
      <c r="C25" s="1">
        <f t="shared" si="3"/>
        <v>8.8520016955484699</v>
      </c>
      <c r="D25" s="1">
        <f t="shared" si="4"/>
        <v>134.99487277445587</v>
      </c>
      <c r="E25" s="1">
        <f t="shared" si="5"/>
        <v>164.11536696386281</v>
      </c>
      <c r="F25" s="1">
        <f t="shared" si="6"/>
        <v>29.120494189406941</v>
      </c>
      <c r="G25" s="1">
        <f t="shared" si="7"/>
        <v>179.89637365473573</v>
      </c>
      <c r="H25" s="1">
        <f t="shared" si="8"/>
        <v>0.83134038130302434</v>
      </c>
      <c r="I25" s="1">
        <f t="shared" si="9"/>
        <v>131.81170339739859</v>
      </c>
      <c r="J25" s="1">
        <f t="shared" si="10"/>
        <v>153.67964342071676</v>
      </c>
      <c r="K25" s="1">
        <f t="shared" si="11"/>
        <v>0.85770438077181099</v>
      </c>
      <c r="M25">
        <v>21</v>
      </c>
      <c r="N25" s="23">
        <f>'$ Portfolio Loss'!P25</f>
        <v>-112.10616656601997</v>
      </c>
      <c r="P25">
        <v>441</v>
      </c>
      <c r="Q25" s="23">
        <v>164.07487392111034</v>
      </c>
      <c r="S25">
        <v>400</v>
      </c>
      <c r="T25">
        <v>0</v>
      </c>
      <c r="U25" s="40">
        <f t="shared" si="1"/>
        <v>0</v>
      </c>
    </row>
    <row r="26" spans="1:21" x14ac:dyDescent="0.3">
      <c r="A26" s="2">
        <v>0.98</v>
      </c>
      <c r="B26" s="1">
        <f t="shared" si="2"/>
        <v>142.52361130594082</v>
      </c>
      <c r="C26" s="1">
        <f t="shared" si="3"/>
        <v>7.9743990031387515</v>
      </c>
      <c r="D26" s="1">
        <f t="shared" si="4"/>
        <v>129.40689218286985</v>
      </c>
      <c r="E26" s="1">
        <f t="shared" si="5"/>
        <v>155.64033042901178</v>
      </c>
      <c r="F26" s="1">
        <f t="shared" si="6"/>
        <v>26.23343824614193</v>
      </c>
      <c r="G26" s="1">
        <f t="shared" si="7"/>
        <v>169.857131844799</v>
      </c>
      <c r="H26" s="1">
        <f t="shared" si="8"/>
        <v>0.8390793472020166</v>
      </c>
      <c r="I26" s="1">
        <f t="shared" si="9"/>
        <v>124.63710611092974</v>
      </c>
      <c r="J26" s="1">
        <f t="shared" si="10"/>
        <v>147.27916163061204</v>
      </c>
      <c r="K26" s="1">
        <f t="shared" si="11"/>
        <v>0.84626436442875475</v>
      </c>
      <c r="M26">
        <v>22</v>
      </c>
      <c r="N26" s="23">
        <f>'$ Portfolio Loss'!P26</f>
        <v>-55.451828801084048</v>
      </c>
      <c r="P26">
        <v>304</v>
      </c>
      <c r="Q26" s="23">
        <v>160.77775746024599</v>
      </c>
      <c r="S26">
        <v>450</v>
      </c>
      <c r="T26">
        <v>0</v>
      </c>
      <c r="U26" s="40">
        <f t="shared" si="1"/>
        <v>0</v>
      </c>
    </row>
    <row r="27" spans="1:21" x14ac:dyDescent="0.3">
      <c r="A27" s="2">
        <v>0.97499999999999998</v>
      </c>
      <c r="B27" s="1">
        <f t="shared" si="2"/>
        <v>132.94389701629018</v>
      </c>
      <c r="C27" s="1">
        <f t="shared" si="3"/>
        <v>7.3671993517473009</v>
      </c>
      <c r="D27" s="1">
        <f t="shared" si="4"/>
        <v>120.8259324420941</v>
      </c>
      <c r="E27" s="1">
        <f t="shared" si="5"/>
        <v>145.06186159048625</v>
      </c>
      <c r="F27" s="1">
        <f t="shared" si="6"/>
        <v>24.235929148392145</v>
      </c>
      <c r="G27" s="1">
        <f t="shared" si="7"/>
        <v>164.09452803978743</v>
      </c>
      <c r="H27" s="1">
        <f t="shared" si="8"/>
        <v>0.81016654610235228</v>
      </c>
      <c r="I27" s="1">
        <f t="shared" si="9"/>
        <v>118.85353561045609</v>
      </c>
      <c r="J27" s="1">
        <f t="shared" si="10"/>
        <v>142.15426711379075</v>
      </c>
      <c r="K27" s="1">
        <f t="shared" si="11"/>
        <v>0.83608841312738758</v>
      </c>
      <c r="M27">
        <v>23</v>
      </c>
      <c r="N27" s="23">
        <f>'$ Portfolio Loss'!P27</f>
        <v>25.203174980855692</v>
      </c>
      <c r="P27">
        <v>292</v>
      </c>
      <c r="Q27" s="23">
        <v>157.59697152135959</v>
      </c>
      <c r="S27">
        <v>500</v>
      </c>
      <c r="T27">
        <v>1</v>
      </c>
      <c r="U27" s="40">
        <f t="shared" si="1"/>
        <v>2E-3</v>
      </c>
    </row>
    <row r="28" spans="1:21" x14ac:dyDescent="0.3">
      <c r="A28" s="2">
        <v>0.97</v>
      </c>
      <c r="B28" s="1">
        <f t="shared" si="2"/>
        <v>129.94808580125098</v>
      </c>
      <c r="C28" s="1">
        <f t="shared" si="3"/>
        <v>6.9142921397137798</v>
      </c>
      <c r="D28" s="1">
        <f t="shared" si="4"/>
        <v>118.57508729744072</v>
      </c>
      <c r="E28" s="1">
        <f t="shared" si="5"/>
        <v>141.32108430506125</v>
      </c>
      <c r="F28" s="1">
        <f t="shared" si="6"/>
        <v>22.745997007620531</v>
      </c>
      <c r="G28" s="1">
        <f t="shared" si="7"/>
        <v>157.44453587042869</v>
      </c>
      <c r="H28" s="1">
        <f t="shared" si="8"/>
        <v>0.82535786385240884</v>
      </c>
      <c r="I28" s="1">
        <f t="shared" si="9"/>
        <v>113.97122165580592</v>
      </c>
      <c r="J28" s="1">
        <f t="shared" si="10"/>
        <v>137.85364886433092</v>
      </c>
      <c r="K28" s="1">
        <f t="shared" si="11"/>
        <v>0.82675520448480144</v>
      </c>
      <c r="M28">
        <v>24</v>
      </c>
      <c r="N28" s="23">
        <f>'$ Portfolio Loss'!P28</f>
        <v>23.094865730034144</v>
      </c>
      <c r="P28">
        <v>485</v>
      </c>
      <c r="Q28" s="23">
        <v>156.82985649326292</v>
      </c>
    </row>
    <row r="29" spans="1:21" x14ac:dyDescent="0.3">
      <c r="A29" s="2">
        <v>0.96499999999999997</v>
      </c>
      <c r="B29" s="1">
        <f t="shared" si="2"/>
        <v>122.22466341253107</v>
      </c>
      <c r="C29" s="1">
        <f t="shared" si="3"/>
        <v>6.5594043199490146</v>
      </c>
      <c r="D29" s="1">
        <f t="shared" si="4"/>
        <v>111.43540342622178</v>
      </c>
      <c r="E29" s="1">
        <f t="shared" si="5"/>
        <v>133.01392339884035</v>
      </c>
      <c r="F29" s="1">
        <f t="shared" si="6"/>
        <v>21.578519972618565</v>
      </c>
      <c r="G29" s="1">
        <f t="shared" si="7"/>
        <v>153.51084685939145</v>
      </c>
      <c r="H29" s="1">
        <f t="shared" si="8"/>
        <v>0.79619561687704699</v>
      </c>
      <c r="I29" s="1">
        <f t="shared" si="9"/>
        <v>109.72331819623349</v>
      </c>
      <c r="J29" s="1">
        <f t="shared" si="10"/>
        <v>134.13202298568009</v>
      </c>
      <c r="K29" s="1">
        <f t="shared" si="11"/>
        <v>0.8180247770358875</v>
      </c>
      <c r="M29">
        <v>25</v>
      </c>
      <c r="N29" s="23">
        <f>'$ Portfolio Loss'!P29</f>
        <v>1.7622115508602292</v>
      </c>
      <c r="P29">
        <v>490</v>
      </c>
      <c r="Q29" s="23">
        <v>156.51117493912352</v>
      </c>
    </row>
    <row r="30" spans="1:21" x14ac:dyDescent="0.3">
      <c r="A30" s="2">
        <v>0.96</v>
      </c>
      <c r="B30" s="1">
        <f t="shared" si="2"/>
        <v>120.07404964620034</v>
      </c>
      <c r="C30" s="1">
        <f t="shared" si="3"/>
        <v>6.2714575922396341</v>
      </c>
      <c r="D30" s="1">
        <f t="shared" si="4"/>
        <v>109.75841987933264</v>
      </c>
      <c r="E30" s="1">
        <f t="shared" si="5"/>
        <v>130.38967941306805</v>
      </c>
      <c r="F30" s="1">
        <f t="shared" si="6"/>
        <v>20.631259533735417</v>
      </c>
      <c r="G30" s="1">
        <f t="shared" si="7"/>
        <v>148.69853827819142</v>
      </c>
      <c r="H30" s="1">
        <f t="shared" si="8"/>
        <v>0.80749986540930752</v>
      </c>
      <c r="I30" s="1">
        <f t="shared" si="9"/>
        <v>105.94769225021143</v>
      </c>
      <c r="J30" s="1">
        <f t="shared" si="10"/>
        <v>130.84067041079709</v>
      </c>
      <c r="K30" s="1">
        <f t="shared" si="11"/>
        <v>0.80974586814306426</v>
      </c>
      <c r="M30">
        <v>26</v>
      </c>
      <c r="N30" s="23">
        <f>'$ Portfolio Loss'!P30</f>
        <v>-11.092839921404448</v>
      </c>
      <c r="P30">
        <v>249</v>
      </c>
      <c r="Q30" s="23">
        <v>152.98155537234743</v>
      </c>
    </row>
    <row r="31" spans="1:21" x14ac:dyDescent="0.3">
      <c r="A31" s="2">
        <v>0.95499999999999996</v>
      </c>
      <c r="B31" s="1">
        <f t="shared" si="2"/>
        <v>117.72804759613484</v>
      </c>
      <c r="C31" s="1">
        <f t="shared" si="3"/>
        <v>6.0316776076924379</v>
      </c>
      <c r="D31" s="1">
        <f t="shared" si="4"/>
        <v>107.80682080651997</v>
      </c>
      <c r="E31" s="1">
        <f t="shared" si="5"/>
        <v>127.64927438574972</v>
      </c>
      <c r="F31" s="1">
        <f t="shared" si="6"/>
        <v>19.842453579229755</v>
      </c>
      <c r="G31" s="1">
        <f t="shared" si="7"/>
        <v>145.93616708624771</v>
      </c>
      <c r="H31" s="1">
        <f t="shared" si="8"/>
        <v>0.80670919311289047</v>
      </c>
      <c r="I31" s="1">
        <f t="shared" si="9"/>
        <v>102.53814503501428</v>
      </c>
      <c r="J31" s="1">
        <f t="shared" si="10"/>
        <v>127.88235794155278</v>
      </c>
      <c r="K31" s="1">
        <f t="shared" si="11"/>
        <v>0.80181619017283212</v>
      </c>
      <c r="M31">
        <v>27</v>
      </c>
      <c r="N31" s="23">
        <f>'$ Portfolio Loss'!P31</f>
        <v>83.47111815237804</v>
      </c>
      <c r="P31">
        <v>370</v>
      </c>
      <c r="Q31" s="23">
        <v>152.58539501708401</v>
      </c>
    </row>
    <row r="32" spans="1:21" x14ac:dyDescent="0.3">
      <c r="A32" s="2">
        <v>0.95</v>
      </c>
      <c r="B32" s="1">
        <f t="shared" si="2"/>
        <v>109.73128310811953</v>
      </c>
      <c r="C32" s="1">
        <f t="shared" si="3"/>
        <v>5.8279528101716709</v>
      </c>
      <c r="D32" s="1">
        <f t="shared" si="4"/>
        <v>100.14515379060663</v>
      </c>
      <c r="E32" s="1">
        <f t="shared" si="5"/>
        <v>119.31741242563243</v>
      </c>
      <c r="F32" s="1">
        <f t="shared" si="6"/>
        <v>19.172258635025798</v>
      </c>
      <c r="G32" s="1">
        <f t="shared" si="7"/>
        <v>141.97958360508281</v>
      </c>
      <c r="H32" s="1">
        <f t="shared" si="8"/>
        <v>0.77286663562373759</v>
      </c>
      <c r="I32" s="1">
        <f t="shared" si="9"/>
        <v>99.421170042883503</v>
      </c>
      <c r="J32" s="1">
        <f t="shared" si="10"/>
        <v>125.18989568703192</v>
      </c>
      <c r="K32" s="1">
        <f t="shared" si="11"/>
        <v>0.79416289547385788</v>
      </c>
      <c r="M32">
        <v>28</v>
      </c>
      <c r="N32" s="23">
        <f>'$ Portfolio Loss'!P32</f>
        <v>-1.6298478305016033</v>
      </c>
      <c r="P32">
        <v>228</v>
      </c>
      <c r="Q32" s="23">
        <v>151.05667825214732</v>
      </c>
    </row>
    <row r="33" spans="1:17" x14ac:dyDescent="0.3">
      <c r="A33" s="2">
        <v>0.94499999999999995</v>
      </c>
      <c r="B33" s="1">
        <f t="shared" si="2"/>
        <v>107.75725166548226</v>
      </c>
      <c r="C33" s="1">
        <f t="shared" si="3"/>
        <v>5.6520667897519337</v>
      </c>
      <c r="D33" s="1">
        <f t="shared" si="4"/>
        <v>98.46042910658683</v>
      </c>
      <c r="E33" s="1">
        <f t="shared" si="5"/>
        <v>117.05407422437769</v>
      </c>
      <c r="F33" s="1">
        <f t="shared" si="6"/>
        <v>18.593645117790857</v>
      </c>
      <c r="G33" s="1">
        <f t="shared" si="7"/>
        <v>139.54193096193032</v>
      </c>
      <c r="H33" s="1">
        <f t="shared" si="8"/>
        <v>0.77222130239032216</v>
      </c>
      <c r="I33" s="1">
        <f t="shared" si="9"/>
        <v>96.5436903927679</v>
      </c>
      <c r="J33" s="1">
        <f t="shared" si="10"/>
        <v>122.71484066993057</v>
      </c>
      <c r="K33" s="1">
        <f t="shared" si="11"/>
        <v>0.78673198665876187</v>
      </c>
      <c r="M33">
        <v>29</v>
      </c>
      <c r="N33" s="23">
        <f>'$ Portfolio Loss'!P33</f>
        <v>26.017542645062349</v>
      </c>
      <c r="P33">
        <v>336</v>
      </c>
      <c r="Q33" s="23">
        <v>145.72147568348373</v>
      </c>
    </row>
    <row r="34" spans="1:17" x14ac:dyDescent="0.3">
      <c r="A34" s="2">
        <v>0.94</v>
      </c>
      <c r="B34" s="1">
        <f t="shared" si="2"/>
        <v>104.25253582970373</v>
      </c>
      <c r="C34" s="1">
        <f t="shared" si="3"/>
        <v>5.498219173237354</v>
      </c>
      <c r="D34" s="1">
        <f t="shared" si="4"/>
        <v>95.208770080830149</v>
      </c>
      <c r="E34" s="1">
        <f t="shared" si="5"/>
        <v>113.29630157857731</v>
      </c>
      <c r="F34" s="1">
        <f t="shared" si="6"/>
        <v>18.087531497747165</v>
      </c>
      <c r="G34" s="1">
        <f t="shared" si="7"/>
        <v>136.2094641033562</v>
      </c>
      <c r="H34" s="1">
        <f t="shared" si="8"/>
        <v>0.76538393654200532</v>
      </c>
      <c r="I34" s="1">
        <f t="shared" si="9"/>
        <v>93.866074575856103</v>
      </c>
      <c r="J34" s="1">
        <f t="shared" si="10"/>
        <v>120.42107153301779</v>
      </c>
      <c r="K34" s="1">
        <f t="shared" si="11"/>
        <v>0.77948214030066421</v>
      </c>
      <c r="M34">
        <v>30</v>
      </c>
      <c r="N34" s="23">
        <f>'$ Portfolio Loss'!P34</f>
        <v>130.07833819139523</v>
      </c>
      <c r="P34">
        <v>499</v>
      </c>
      <c r="Q34" s="23">
        <v>142.53549443205702</v>
      </c>
    </row>
    <row r="35" spans="1:17" x14ac:dyDescent="0.3">
      <c r="A35" s="2">
        <v>0.93500000000000005</v>
      </c>
      <c r="B35" s="1">
        <f t="shared" si="2"/>
        <v>99.539487292416354</v>
      </c>
      <c r="C35" s="1">
        <f t="shared" si="3"/>
        <v>5.3621806594279624</v>
      </c>
      <c r="D35" s="1">
        <f t="shared" si="4"/>
        <v>90.719484986387243</v>
      </c>
      <c r="E35" s="1">
        <f t="shared" si="5"/>
        <v>108.35948959844546</v>
      </c>
      <c r="F35" s="1">
        <f t="shared" si="6"/>
        <v>17.64000461205822</v>
      </c>
      <c r="G35" s="1">
        <f t="shared" si="7"/>
        <v>134.06398119775406</v>
      </c>
      <c r="H35" s="1">
        <f t="shared" si="8"/>
        <v>0.74247748278926928</v>
      </c>
      <c r="I35" s="1">
        <f t="shared" si="9"/>
        <v>91.357913675359129</v>
      </c>
      <c r="J35" s="1">
        <f t="shared" si="10"/>
        <v>118.28090845665622</v>
      </c>
      <c r="K35" s="1">
        <f t="shared" si="11"/>
        <v>0.77238089280348265</v>
      </c>
      <c r="M35">
        <v>31</v>
      </c>
      <c r="N35" s="23">
        <f>'$ Portfolio Loss'!P35</f>
        <v>155.08620579541093</v>
      </c>
      <c r="P35">
        <v>135</v>
      </c>
      <c r="Q35" s="23">
        <v>139.7373309141276</v>
      </c>
    </row>
    <row r="36" spans="1:17" x14ac:dyDescent="0.3">
      <c r="A36" s="2">
        <v>0.93</v>
      </c>
      <c r="B36" s="1">
        <f t="shared" si="2"/>
        <v>96.861200030373169</v>
      </c>
      <c r="C36" s="1">
        <f t="shared" si="3"/>
        <v>5.2407837757821687</v>
      </c>
      <c r="D36" s="1">
        <f t="shared" si="4"/>
        <v>88.240877828709444</v>
      </c>
      <c r="E36" s="1">
        <f t="shared" si="5"/>
        <v>105.48152223203689</v>
      </c>
      <c r="F36" s="1">
        <f t="shared" si="6"/>
        <v>17.240644403327451</v>
      </c>
      <c r="G36" s="1">
        <f t="shared" si="7"/>
        <v>130.94905921049684</v>
      </c>
      <c r="H36" s="1">
        <f t="shared" si="8"/>
        <v>0.73968610858571793</v>
      </c>
      <c r="I36" s="1">
        <f t="shared" si="9"/>
        <v>88.995342569968258</v>
      </c>
      <c r="J36" s="1">
        <f t="shared" si="10"/>
        <v>116.27265452344324</v>
      </c>
      <c r="K36" s="1">
        <f t="shared" si="11"/>
        <v>0.76540217418038525</v>
      </c>
      <c r="M36">
        <v>32</v>
      </c>
      <c r="N36" s="23">
        <f>'$ Portfolio Loss'!P36</f>
        <v>-32.206177312229556</v>
      </c>
      <c r="P36">
        <v>437</v>
      </c>
      <c r="Q36" s="23">
        <v>136.98427225466185</v>
      </c>
    </row>
    <row r="37" spans="1:17" x14ac:dyDescent="0.3">
      <c r="A37" s="2">
        <v>0.92500000000000004</v>
      </c>
      <c r="B37" s="1">
        <f t="shared" si="2"/>
        <v>91.242870247424619</v>
      </c>
      <c r="C37" s="1">
        <f t="shared" si="3"/>
        <v>5.1316021614079688</v>
      </c>
      <c r="D37" s="1">
        <f t="shared" si="4"/>
        <v>82.802135820160714</v>
      </c>
      <c r="E37" s="1">
        <f t="shared" si="5"/>
        <v>99.683604674688524</v>
      </c>
      <c r="F37" s="1">
        <f t="shared" si="6"/>
        <v>16.88146885452781</v>
      </c>
      <c r="G37" s="1">
        <f t="shared" si="7"/>
        <v>128.94618159073917</v>
      </c>
      <c r="H37" s="1">
        <f t="shared" si="8"/>
        <v>0.70760428204860948</v>
      </c>
      <c r="I37" s="1">
        <f t="shared" si="9"/>
        <v>86.759272080213506</v>
      </c>
      <c r="J37" s="1">
        <f t="shared" si="10"/>
        <v>114.37897484951174</v>
      </c>
      <c r="K37" s="1">
        <f t="shared" si="11"/>
        <v>0.75852465188084228</v>
      </c>
      <c r="M37">
        <v>33</v>
      </c>
      <c r="N37" s="23">
        <f>'$ Portfolio Loss'!P37</f>
        <v>27.475564070495238</v>
      </c>
      <c r="P37">
        <v>408</v>
      </c>
      <c r="Q37" s="23">
        <v>136.62167548815887</v>
      </c>
    </row>
    <row r="38" spans="1:17" x14ac:dyDescent="0.3">
      <c r="A38" s="2">
        <v>0.92</v>
      </c>
      <c r="B38" s="1">
        <f t="shared" si="2"/>
        <v>86.993617099999625</v>
      </c>
      <c r="C38" s="1">
        <f t="shared" si="3"/>
        <v>5.0327410009998719</v>
      </c>
      <c r="D38" s="1">
        <f t="shared" si="4"/>
        <v>78.715494810997612</v>
      </c>
      <c r="E38" s="1">
        <f t="shared" si="5"/>
        <v>95.271739389001638</v>
      </c>
      <c r="F38" s="1">
        <f t="shared" si="6"/>
        <v>16.556244578004026</v>
      </c>
      <c r="G38" s="1">
        <f t="shared" si="7"/>
        <v>126.00605373327912</v>
      </c>
      <c r="H38" s="1">
        <f t="shared" si="8"/>
        <v>0.6903923622919077</v>
      </c>
      <c r="I38" s="1">
        <f t="shared" si="9"/>
        <v>84.634182997488153</v>
      </c>
      <c r="J38" s="1">
        <f t="shared" si="10"/>
        <v>112.5857919582819</v>
      </c>
      <c r="K38" s="1">
        <f t="shared" si="11"/>
        <v>0.75173058274394799</v>
      </c>
      <c r="M38">
        <v>34</v>
      </c>
      <c r="N38" s="23">
        <f>'$ Portfolio Loss'!P38</f>
        <v>41.076332986156558</v>
      </c>
      <c r="P38">
        <v>256</v>
      </c>
      <c r="Q38" s="23">
        <v>133.91624239557677</v>
      </c>
    </row>
    <row r="39" spans="1:17" x14ac:dyDescent="0.3">
      <c r="A39" s="2">
        <v>0.91500000000000004</v>
      </c>
      <c r="B39" s="1">
        <f t="shared" si="2"/>
        <v>85.07203760967478</v>
      </c>
      <c r="C39" s="1">
        <f t="shared" si="3"/>
        <v>4.9426957302798264</v>
      </c>
      <c r="D39" s="1">
        <f t="shared" si="4"/>
        <v>76.942026610806451</v>
      </c>
      <c r="E39" s="1">
        <f t="shared" si="5"/>
        <v>93.202048608543109</v>
      </c>
      <c r="F39" s="1">
        <f t="shared" si="6"/>
        <v>16.260021997736658</v>
      </c>
      <c r="G39" s="1">
        <f t="shared" si="7"/>
        <v>124.10575005635408</v>
      </c>
      <c r="H39" s="1">
        <f t="shared" si="8"/>
        <v>0.68548022610592318</v>
      </c>
      <c r="I39" s="1">
        <f t="shared" si="9"/>
        <v>82.607279903139499</v>
      </c>
      <c r="J39" s="1">
        <f t="shared" si="10"/>
        <v>110.88151141787019</v>
      </c>
      <c r="K39" s="1">
        <f t="shared" si="11"/>
        <v>0.74500499539390408</v>
      </c>
      <c r="M39">
        <v>35</v>
      </c>
      <c r="N39" s="23">
        <f>'$ Portfolio Loss'!P39</f>
        <v>-43.392817476582422</v>
      </c>
      <c r="P39">
        <v>459</v>
      </c>
      <c r="Q39" s="23">
        <v>133.87470779802788</v>
      </c>
    </row>
    <row r="40" spans="1:17" x14ac:dyDescent="0.3">
      <c r="A40" s="2">
        <v>0.91</v>
      </c>
      <c r="B40" s="1">
        <f t="shared" si="2"/>
        <v>83.411056298661606</v>
      </c>
      <c r="C40" s="1">
        <f t="shared" si="3"/>
        <v>4.8602541668787573</v>
      </c>
      <c r="D40" s="1">
        <f t="shared" si="4"/>
        <v>75.416649604365077</v>
      </c>
      <c r="E40" s="1">
        <f t="shared" si="5"/>
        <v>91.405462992958135</v>
      </c>
      <c r="F40" s="1">
        <f t="shared" si="6"/>
        <v>15.988813388593059</v>
      </c>
      <c r="G40" s="1">
        <f t="shared" si="7"/>
        <v>121.43028142275948</v>
      </c>
      <c r="H40" s="1">
        <f t="shared" si="8"/>
        <v>0.68690490807862037</v>
      </c>
      <c r="I40" s="1">
        <f t="shared" si="9"/>
        <v>80.667882851503023</v>
      </c>
      <c r="J40" s="1">
        <f t="shared" si="10"/>
        <v>109.25646563460826</v>
      </c>
      <c r="K40" s="1">
        <f t="shared" si="11"/>
        <v>0.73833509424773602</v>
      </c>
      <c r="M40">
        <v>36</v>
      </c>
      <c r="N40" s="23">
        <f>'$ Portfolio Loss'!P40</f>
        <v>81.319532510622594</v>
      </c>
      <c r="P40">
        <v>498</v>
      </c>
      <c r="Q40" s="23">
        <v>133.74437618429511</v>
      </c>
    </row>
    <row r="41" spans="1:17" x14ac:dyDescent="0.3">
      <c r="A41" s="2">
        <v>0.90500000000000003</v>
      </c>
      <c r="B41" s="1">
        <f t="shared" si="2"/>
        <v>82.543854124078678</v>
      </c>
      <c r="C41" s="1">
        <f t="shared" si="3"/>
        <v>4.7844271096161295</v>
      </c>
      <c r="D41" s="1">
        <f t="shared" si="4"/>
        <v>74.674171839941636</v>
      </c>
      <c r="E41" s="1">
        <f t="shared" si="5"/>
        <v>90.41353640821572</v>
      </c>
      <c r="F41" s="1">
        <f t="shared" si="6"/>
        <v>15.739364568274084</v>
      </c>
      <c r="G41" s="1">
        <f t="shared" si="7"/>
        <v>119.7861929263341</v>
      </c>
      <c r="H41" s="1">
        <f t="shared" si="8"/>
        <v>0.68909322608525803</v>
      </c>
      <c r="I41" s="1">
        <f t="shared" si="9"/>
        <v>78.806980712827013</v>
      </c>
      <c r="J41" s="1">
        <f t="shared" si="10"/>
        <v>107.70250579218427</v>
      </c>
      <c r="K41" s="1">
        <f t="shared" si="11"/>
        <v>0.73170981615681085</v>
      </c>
      <c r="M41">
        <v>37</v>
      </c>
      <c r="N41" s="23">
        <f>'$ Portfolio Loss'!P41</f>
        <v>-15.751944281506439</v>
      </c>
      <c r="P41">
        <v>366</v>
      </c>
      <c r="Q41" s="23">
        <v>131.2871219465178</v>
      </c>
    </row>
    <row r="42" spans="1:17" x14ac:dyDescent="0.3">
      <c r="A42" s="2">
        <v>0.9</v>
      </c>
      <c r="B42" s="1">
        <f t="shared" si="2"/>
        <v>82.130682785245</v>
      </c>
      <c r="C42" s="1">
        <f t="shared" si="3"/>
        <v>4.714398099355793</v>
      </c>
      <c r="D42" s="1">
        <f t="shared" si="4"/>
        <v>74.376187972626497</v>
      </c>
      <c r="E42" s="1">
        <f t="shared" si="5"/>
        <v>89.885177597863503</v>
      </c>
      <c r="F42" s="1">
        <f t="shared" si="6"/>
        <v>15.508989625237007</v>
      </c>
      <c r="G42" s="1">
        <f t="shared" si="7"/>
        <v>117.53768732702112</v>
      </c>
      <c r="H42" s="1">
        <f t="shared" si="8"/>
        <v>0.6987604116859607</v>
      </c>
      <c r="I42" s="1">
        <f t="shared" si="9"/>
        <v>77.016897067735727</v>
      </c>
      <c r="J42" s="1">
        <f t="shared" si="10"/>
        <v>106.21269685406598</v>
      </c>
      <c r="K42" s="1">
        <f t="shared" si="11"/>
        <v>0.725119494645309</v>
      </c>
      <c r="M42">
        <v>38</v>
      </c>
      <c r="N42" s="23">
        <f>'$ Portfolio Loss'!P42</f>
        <v>-97.387233190371262</v>
      </c>
      <c r="P42">
        <v>415</v>
      </c>
      <c r="Q42" s="23">
        <v>131.03039933957552</v>
      </c>
    </row>
    <row r="43" spans="1:17" x14ac:dyDescent="0.3">
      <c r="A43" s="2"/>
      <c r="M43">
        <v>39</v>
      </c>
      <c r="N43" s="23">
        <f>'$ Portfolio Loss'!P43</f>
        <v>-45.240596867106433</v>
      </c>
      <c r="P43">
        <v>375</v>
      </c>
      <c r="Q43" s="23">
        <v>129.24069165022593</v>
      </c>
    </row>
    <row r="44" spans="1:17" x14ac:dyDescent="0.3">
      <c r="A44" s="2"/>
      <c r="M44">
        <v>40</v>
      </c>
      <c r="N44" s="23">
        <f>'$ Portfolio Loss'!P44</f>
        <v>35.174552520771613</v>
      </c>
      <c r="P44">
        <v>298</v>
      </c>
      <c r="Q44" s="23">
        <v>128.27438934693964</v>
      </c>
    </row>
    <row r="45" spans="1:17" x14ac:dyDescent="0.3">
      <c r="A45" s="2"/>
      <c r="M45">
        <v>41</v>
      </c>
      <c r="N45" s="23">
        <f>'$ Portfolio Loss'!P45</f>
        <v>-51.852351654193626</v>
      </c>
      <c r="P45">
        <v>241</v>
      </c>
      <c r="Q45" s="23">
        <v>127.9211213055969</v>
      </c>
    </row>
    <row r="46" spans="1:17" x14ac:dyDescent="0.3">
      <c r="M46">
        <v>42</v>
      </c>
      <c r="N46" s="23">
        <f>'$ Portfolio Loss'!P46</f>
        <v>-28.987070945604501</v>
      </c>
      <c r="P46">
        <v>142</v>
      </c>
      <c r="Q46" s="23">
        <v>127.69298705638721</v>
      </c>
    </row>
    <row r="47" spans="1:17" x14ac:dyDescent="0.3">
      <c r="M47">
        <v>43</v>
      </c>
      <c r="N47" s="23">
        <f>'$ Portfolio Loss'!P47</f>
        <v>9.0124274134759617</v>
      </c>
      <c r="P47">
        <v>429</v>
      </c>
      <c r="Q47" s="23">
        <v>125.46235599386819</v>
      </c>
    </row>
    <row r="48" spans="1:17" x14ac:dyDescent="0.3">
      <c r="M48">
        <v>44</v>
      </c>
      <c r="N48" s="23">
        <f>'$ Portfolio Loss'!P48</f>
        <v>-0.76697302039065107</v>
      </c>
      <c r="P48">
        <v>98</v>
      </c>
      <c r="Q48" s="23">
        <v>124.43121451282423</v>
      </c>
    </row>
    <row r="49" spans="13:17" x14ac:dyDescent="0.3">
      <c r="M49">
        <v>45</v>
      </c>
      <c r="N49" s="23">
        <f>'$ Portfolio Loss'!P49</f>
        <v>59.84980215948417</v>
      </c>
      <c r="P49">
        <v>481</v>
      </c>
      <c r="Q49" s="23">
        <v>123.34256543069023</v>
      </c>
    </row>
    <row r="50" spans="13:17" x14ac:dyDescent="0.3">
      <c r="M50">
        <v>46</v>
      </c>
      <c r="N50" s="23">
        <f>'$ Portfolio Loss'!P50</f>
        <v>-70.807302666375108</v>
      </c>
      <c r="P50">
        <v>488</v>
      </c>
      <c r="Q50" s="23">
        <v>123.0999335494671</v>
      </c>
    </row>
    <row r="51" spans="13:17" x14ac:dyDescent="0.3">
      <c r="M51">
        <v>47</v>
      </c>
      <c r="N51" s="23">
        <f>'$ Portfolio Loss'!P51</f>
        <v>-101.25381715687399</v>
      </c>
      <c r="P51">
        <v>451</v>
      </c>
      <c r="Q51" s="23">
        <v>123.04408139780935</v>
      </c>
    </row>
    <row r="52" spans="13:17" x14ac:dyDescent="0.3">
      <c r="M52">
        <v>48</v>
      </c>
      <c r="N52" s="23">
        <f>'$ Portfolio Loss'!P52</f>
        <v>24.048701912724937</v>
      </c>
      <c r="P52">
        <v>240</v>
      </c>
      <c r="Q52" s="23">
        <v>122.93748785324351</v>
      </c>
    </row>
    <row r="53" spans="13:17" x14ac:dyDescent="0.3">
      <c r="M53">
        <v>49</v>
      </c>
      <c r="N53" s="23">
        <f>'$ Portfolio Loss'!P53</f>
        <v>29.747836032629493</v>
      </c>
      <c r="P53">
        <v>141</v>
      </c>
      <c r="Q53" s="23">
        <v>122.608223349529</v>
      </c>
    </row>
    <row r="54" spans="13:17" x14ac:dyDescent="0.3">
      <c r="M54">
        <v>50</v>
      </c>
      <c r="N54" s="23">
        <f>'$ Portfolio Loss'!P54</f>
        <v>-23.652915855562242</v>
      </c>
      <c r="P54">
        <v>296</v>
      </c>
      <c r="Q54" s="23">
        <v>121.03198824976062</v>
      </c>
    </row>
    <row r="55" spans="13:17" x14ac:dyDescent="0.3">
      <c r="M55">
        <v>51</v>
      </c>
      <c r="N55" s="23">
        <f>'$ Portfolio Loss'!P55</f>
        <v>43.190384607334636</v>
      </c>
      <c r="P55">
        <v>427</v>
      </c>
      <c r="Q55" s="23">
        <v>121.01042413684809</v>
      </c>
    </row>
    <row r="56" spans="13:17" x14ac:dyDescent="0.3">
      <c r="M56">
        <v>52</v>
      </c>
      <c r="N56" s="23">
        <f>'$ Portfolio Loss'!P56</f>
        <v>84.450097055050719</v>
      </c>
      <c r="P56">
        <v>469</v>
      </c>
      <c r="Q56" s="23">
        <v>120.23273209612489</v>
      </c>
    </row>
    <row r="57" spans="13:17" x14ac:dyDescent="0.3">
      <c r="M57">
        <v>53</v>
      </c>
      <c r="N57" s="23">
        <f>'$ Portfolio Loss'!P57</f>
        <v>-2.4106247774107032</v>
      </c>
      <c r="P57">
        <v>358</v>
      </c>
      <c r="Q57" s="23">
        <v>119.18281433402262</v>
      </c>
    </row>
    <row r="58" spans="13:17" x14ac:dyDescent="0.3">
      <c r="M58">
        <v>54</v>
      </c>
      <c r="N58" s="23">
        <f>'$ Portfolio Loss'!P58</f>
        <v>-75.519634658701762</v>
      </c>
      <c r="P58">
        <v>445</v>
      </c>
      <c r="Q58" s="23">
        <v>118.11657607364032</v>
      </c>
    </row>
    <row r="59" spans="13:17" x14ac:dyDescent="0.3">
      <c r="M59">
        <v>55</v>
      </c>
      <c r="N59" s="23">
        <f>'$ Portfolio Loss'!P59</f>
        <v>-45.211974040936184</v>
      </c>
      <c r="P59">
        <v>21</v>
      </c>
      <c r="Q59" s="23">
        <v>118.08934495997346</v>
      </c>
    </row>
    <row r="60" spans="13:17" x14ac:dyDescent="0.3">
      <c r="M60">
        <v>56</v>
      </c>
      <c r="N60" s="23">
        <f>'$ Portfolio Loss'!P60</f>
        <v>-38.067827783341272</v>
      </c>
      <c r="P60">
        <v>302</v>
      </c>
      <c r="Q60" s="23">
        <v>117.99525083352819</v>
      </c>
    </row>
    <row r="61" spans="13:17" x14ac:dyDescent="0.3">
      <c r="M61">
        <v>57</v>
      </c>
      <c r="N61" s="23">
        <f>'$ Portfolio Loss'!P61</f>
        <v>-12.17901148486817</v>
      </c>
      <c r="P61">
        <v>225</v>
      </c>
      <c r="Q61" s="23">
        <v>117.81808259283571</v>
      </c>
    </row>
    <row r="62" spans="13:17" x14ac:dyDescent="0.3">
      <c r="M62">
        <v>58</v>
      </c>
      <c r="N62" s="23">
        <f>'$ Portfolio Loss'!P62</f>
        <v>18.049147858888318</v>
      </c>
      <c r="P62">
        <v>334</v>
      </c>
      <c r="Q62" s="23">
        <v>117.38142640045953</v>
      </c>
    </row>
    <row r="63" spans="13:17" x14ac:dyDescent="0.3">
      <c r="M63">
        <v>59</v>
      </c>
      <c r="N63" s="23">
        <f>'$ Portfolio Loss'!P63</f>
        <v>41.47714379673198</v>
      </c>
      <c r="P63">
        <v>132</v>
      </c>
      <c r="Q63" s="23">
        <v>113.97078774600413</v>
      </c>
    </row>
    <row r="64" spans="13:17" x14ac:dyDescent="0.3">
      <c r="M64">
        <v>60</v>
      </c>
      <c r="N64" s="23">
        <f>'$ Portfolio Loss'!P64</f>
        <v>14.292364227270809</v>
      </c>
      <c r="P64">
        <v>465</v>
      </c>
      <c r="Q64" s="23">
        <v>113.09410090882193</v>
      </c>
    </row>
    <row r="65" spans="13:17" x14ac:dyDescent="0.3">
      <c r="M65">
        <v>61</v>
      </c>
      <c r="N65" s="23">
        <f>'$ Portfolio Loss'!P65</f>
        <v>-39.02391067921053</v>
      </c>
      <c r="P65">
        <v>371</v>
      </c>
      <c r="Q65" s="23">
        <v>112.44478436864847</v>
      </c>
    </row>
    <row r="66" spans="13:17" x14ac:dyDescent="0.3">
      <c r="M66">
        <v>62</v>
      </c>
      <c r="N66" s="23">
        <f>'$ Portfolio Loss'!P66</f>
        <v>-31.425997423397348</v>
      </c>
      <c r="P66">
        <v>254</v>
      </c>
      <c r="Q66" s="23">
        <v>112.42275590582722</v>
      </c>
    </row>
    <row r="67" spans="13:17" x14ac:dyDescent="0.3">
      <c r="M67">
        <v>63</v>
      </c>
      <c r="N67" s="23">
        <f>'$ Portfolio Loss'!P67</f>
        <v>-45.503498612602925</v>
      </c>
      <c r="P67">
        <v>233</v>
      </c>
      <c r="Q67" s="23">
        <v>108.81012583367192</v>
      </c>
    </row>
    <row r="68" spans="13:17" x14ac:dyDescent="0.3">
      <c r="M68">
        <v>64</v>
      </c>
      <c r="N68" s="23">
        <f>'$ Portfolio Loss'!P68</f>
        <v>-75.332368974681231</v>
      </c>
      <c r="P68">
        <v>194</v>
      </c>
      <c r="Q68" s="23">
        <v>106.08073291957771</v>
      </c>
    </row>
    <row r="69" spans="13:17" x14ac:dyDescent="0.3">
      <c r="M69">
        <v>65</v>
      </c>
      <c r="N69" s="23">
        <f>'$ Portfolio Loss'!P69</f>
        <v>-13.703420104413453</v>
      </c>
      <c r="P69">
        <v>350</v>
      </c>
      <c r="Q69" s="23">
        <v>105.65210020491941</v>
      </c>
    </row>
    <row r="70" spans="13:17" x14ac:dyDescent="0.3">
      <c r="M70">
        <v>66</v>
      </c>
      <c r="N70" s="23">
        <f>'$ Portfolio Loss'!P70</f>
        <v>-52.041807418727331</v>
      </c>
      <c r="P70">
        <v>364</v>
      </c>
      <c r="Q70" s="23">
        <v>104.89806083192889</v>
      </c>
    </row>
    <row r="71" spans="13:17" x14ac:dyDescent="0.3">
      <c r="M71">
        <v>67</v>
      </c>
      <c r="N71" s="23">
        <f>'$ Portfolio Loss'!P71</f>
        <v>27.793594823559033</v>
      </c>
      <c r="P71">
        <v>472</v>
      </c>
      <c r="Q71" s="23">
        <v>103.14199662658939</v>
      </c>
    </row>
    <row r="72" spans="13:17" x14ac:dyDescent="0.3">
      <c r="M72">
        <v>68</v>
      </c>
      <c r="N72" s="23">
        <f>'$ Portfolio Loss'!P72</f>
        <v>-21.149687750057637</v>
      </c>
      <c r="P72">
        <v>453</v>
      </c>
      <c r="Q72" s="23">
        <v>102.16532099117103</v>
      </c>
    </row>
    <row r="73" spans="13:17" x14ac:dyDescent="0.3">
      <c r="M73">
        <v>69</v>
      </c>
      <c r="N73" s="23">
        <f>'$ Portfolio Loss'!P73</f>
        <v>14.972752358245998</v>
      </c>
      <c r="P73">
        <v>20</v>
      </c>
      <c r="Q73" s="23">
        <v>101.20088325966572</v>
      </c>
    </row>
    <row r="74" spans="13:17" x14ac:dyDescent="0.3">
      <c r="M74">
        <v>70</v>
      </c>
      <c r="N74" s="23">
        <f>'$ Portfolio Loss'!P74</f>
        <v>10.577998784774536</v>
      </c>
      <c r="P74">
        <v>461</v>
      </c>
      <c r="Q74" s="23">
        <v>100.80099496688126</v>
      </c>
    </row>
    <row r="75" spans="13:17" x14ac:dyDescent="0.3">
      <c r="M75">
        <v>71</v>
      </c>
      <c r="N75" s="23">
        <f>'$ Portfolio Loss'!P75</f>
        <v>-49.688514878745991</v>
      </c>
      <c r="P75">
        <v>351</v>
      </c>
      <c r="Q75" s="23">
        <v>100.48137997735466</v>
      </c>
    </row>
    <row r="76" spans="13:17" x14ac:dyDescent="0.3">
      <c r="M76">
        <v>72</v>
      </c>
      <c r="N76" s="23">
        <f>'$ Portfolio Loss'!P76</f>
        <v>42.140566460897389</v>
      </c>
      <c r="P76">
        <v>193</v>
      </c>
      <c r="Q76" s="23">
        <v>99.966077181925357</v>
      </c>
    </row>
    <row r="77" spans="13:17" x14ac:dyDescent="0.3">
      <c r="M77">
        <v>73</v>
      </c>
      <c r="N77" s="23">
        <f>'$ Portfolio Loss'!P77</f>
        <v>-52.090910776058081</v>
      </c>
      <c r="P77">
        <v>175</v>
      </c>
      <c r="Q77" s="23">
        <v>99.588270163307243</v>
      </c>
    </row>
    <row r="78" spans="13:17" x14ac:dyDescent="0.3">
      <c r="M78">
        <v>74</v>
      </c>
      <c r="N78" s="23">
        <f>'$ Portfolio Loss'!P78</f>
        <v>42.062891708150346</v>
      </c>
      <c r="P78">
        <v>318</v>
      </c>
      <c r="Q78" s="23">
        <v>98.372581884141255</v>
      </c>
    </row>
    <row r="79" spans="13:17" x14ac:dyDescent="0.3">
      <c r="M79">
        <v>75</v>
      </c>
      <c r="N79" s="23">
        <f>'$ Portfolio Loss'!P79</f>
        <v>29.492935027308704</v>
      </c>
      <c r="P79">
        <v>321</v>
      </c>
      <c r="Q79" s="23">
        <v>97.34824603116067</v>
      </c>
    </row>
    <row r="80" spans="13:17" x14ac:dyDescent="0.3">
      <c r="M80">
        <v>76</v>
      </c>
      <c r="N80" s="23">
        <f>'$ Portfolio Loss'!P80</f>
        <v>90.974661000205742</v>
      </c>
      <c r="P80">
        <v>335</v>
      </c>
      <c r="Q80" s="23">
        <v>96.385817169086295</v>
      </c>
    </row>
    <row r="81" spans="13:17" x14ac:dyDescent="0.3">
      <c r="M81">
        <v>77</v>
      </c>
      <c r="N81" s="23">
        <f>'$ Portfolio Loss'!P81</f>
        <v>-7.7669676584409899</v>
      </c>
      <c r="P81">
        <v>284</v>
      </c>
      <c r="Q81" s="23">
        <v>95.038025661946449</v>
      </c>
    </row>
    <row r="82" spans="13:17" x14ac:dyDescent="0.3">
      <c r="M82">
        <v>78</v>
      </c>
      <c r="N82" s="23">
        <f>'$ Portfolio Loss'!P82</f>
        <v>-18.078819578435287</v>
      </c>
      <c r="P82">
        <v>416</v>
      </c>
      <c r="Q82" s="23">
        <v>93.601425174438191</v>
      </c>
    </row>
    <row r="83" spans="13:17" x14ac:dyDescent="0.3">
      <c r="M83">
        <v>79</v>
      </c>
      <c r="N83" s="23">
        <f>'$ Portfolio Loss'!P83</f>
        <v>-35.439429521753482</v>
      </c>
      <c r="P83">
        <v>389</v>
      </c>
      <c r="Q83" s="23">
        <v>93.099163924864115</v>
      </c>
    </row>
    <row r="84" spans="13:17" x14ac:dyDescent="0.3">
      <c r="M84">
        <v>80</v>
      </c>
      <c r="N84" s="23">
        <f>'$ Portfolio Loss'!P84</f>
        <v>-44.390868681701249</v>
      </c>
      <c r="P84">
        <v>430</v>
      </c>
      <c r="Q84" s="23">
        <v>90.567430256933221</v>
      </c>
    </row>
    <row r="85" spans="13:17" x14ac:dyDescent="0.3">
      <c r="M85">
        <v>81</v>
      </c>
      <c r="N85" s="23">
        <f>'$ Portfolio Loss'!P85</f>
        <v>-31.677569586667232</v>
      </c>
      <c r="P85">
        <v>418</v>
      </c>
      <c r="Q85" s="23">
        <v>90.533427239264711</v>
      </c>
    </row>
    <row r="86" spans="13:17" x14ac:dyDescent="0.3">
      <c r="M86">
        <v>82</v>
      </c>
      <c r="N86" s="23">
        <f>'$ Portfolio Loss'!P86</f>
        <v>-42.637269321383428</v>
      </c>
      <c r="P86">
        <v>444</v>
      </c>
      <c r="Q86" s="23">
        <v>88.545575824464322</v>
      </c>
    </row>
    <row r="87" spans="13:17" x14ac:dyDescent="0.3">
      <c r="M87">
        <v>83</v>
      </c>
      <c r="N87" s="23">
        <f>'$ Portfolio Loss'!P87</f>
        <v>-42.78123194343425</v>
      </c>
      <c r="P87">
        <v>299</v>
      </c>
      <c r="Q87" s="23">
        <v>86.96428468583872</v>
      </c>
    </row>
    <row r="88" spans="13:17" x14ac:dyDescent="0.3">
      <c r="M88">
        <v>84</v>
      </c>
      <c r="N88" s="23">
        <f>'$ Portfolio Loss'!P88</f>
        <v>52.159878670374383</v>
      </c>
      <c r="P88">
        <v>466</v>
      </c>
      <c r="Q88" s="23">
        <v>84.359650178445008</v>
      </c>
    </row>
    <row r="89" spans="13:17" x14ac:dyDescent="0.3">
      <c r="M89">
        <v>85</v>
      </c>
      <c r="N89" s="23">
        <f>'$ Portfolio Loss'!P89</f>
        <v>-25.871490935322072</v>
      </c>
      <c r="P89">
        <v>435</v>
      </c>
      <c r="Q89" s="23">
        <v>82.771221278409939</v>
      </c>
    </row>
    <row r="90" spans="13:17" x14ac:dyDescent="0.3">
      <c r="M90">
        <v>86</v>
      </c>
      <c r="N90" s="23">
        <f>'$ Portfolio Loss'!P90</f>
        <v>-23.92512322683433</v>
      </c>
      <c r="P90">
        <v>134</v>
      </c>
      <c r="Q90" s="23">
        <v>81.942326419741221</v>
      </c>
    </row>
    <row r="91" spans="13:17" x14ac:dyDescent="0.3">
      <c r="M91">
        <v>87</v>
      </c>
      <c r="N91" s="23">
        <f>'$ Portfolio Loss'!P91</f>
        <v>62.287658887842554</v>
      </c>
      <c r="P91">
        <v>392</v>
      </c>
      <c r="Q91" s="23">
        <v>81.909793142953276</v>
      </c>
    </row>
    <row r="92" spans="13:17" x14ac:dyDescent="0.3">
      <c r="M92">
        <v>88</v>
      </c>
      <c r="N92" s="23">
        <f>'$ Portfolio Loss'!P92</f>
        <v>15.815665313972204</v>
      </c>
      <c r="P92">
        <v>294</v>
      </c>
      <c r="Q92" s="23">
        <v>81.74057500199342</v>
      </c>
    </row>
    <row r="93" spans="13:17" x14ac:dyDescent="0.3">
      <c r="M93">
        <v>89</v>
      </c>
      <c r="N93" s="23">
        <f>'$ Portfolio Loss'!P93</f>
        <v>21.396406804200524</v>
      </c>
      <c r="P93">
        <v>406</v>
      </c>
      <c r="Q93" s="23">
        <v>81.162557870480668</v>
      </c>
    </row>
    <row r="94" spans="13:17" x14ac:dyDescent="0.3">
      <c r="M94">
        <v>90</v>
      </c>
      <c r="N94" s="23">
        <f>'$ Portfolio Loss'!P94</f>
        <v>98.788857615676534</v>
      </c>
      <c r="P94">
        <v>393</v>
      </c>
      <c r="Q94" s="23">
        <v>80.53876630713421</v>
      </c>
    </row>
    <row r="95" spans="13:17" x14ac:dyDescent="0.3">
      <c r="M95">
        <v>91</v>
      </c>
      <c r="N95" s="23">
        <f>'$ Portfolio Loss'!P95</f>
        <v>14.180501838131022</v>
      </c>
      <c r="P95">
        <v>486</v>
      </c>
      <c r="Q95" s="23">
        <v>79.353220281544054</v>
      </c>
    </row>
    <row r="96" spans="13:17" x14ac:dyDescent="0.3">
      <c r="M96">
        <v>92</v>
      </c>
      <c r="N96" s="23">
        <f>'$ Portfolio Loss'!P96</f>
        <v>40.34537678045308</v>
      </c>
      <c r="P96">
        <v>337</v>
      </c>
      <c r="Q96" s="23">
        <v>77.734542978660102</v>
      </c>
    </row>
    <row r="97" spans="13:17" x14ac:dyDescent="0.3">
      <c r="M97">
        <v>93</v>
      </c>
      <c r="N97" s="23">
        <f>'$ Portfolio Loss'!P97</f>
        <v>33.763832907512551</v>
      </c>
      <c r="P97">
        <v>313</v>
      </c>
      <c r="Q97" s="23">
        <v>77.697118357044019</v>
      </c>
    </row>
    <row r="98" spans="13:17" x14ac:dyDescent="0.3">
      <c r="M98">
        <v>94</v>
      </c>
      <c r="N98" s="23">
        <f>'$ Portfolio Loss'!P98</f>
        <v>83.999946449876006</v>
      </c>
      <c r="P98">
        <v>221</v>
      </c>
      <c r="Q98" s="23">
        <v>76.827023197807648</v>
      </c>
    </row>
    <row r="99" spans="13:17" x14ac:dyDescent="0.3">
      <c r="M99">
        <v>95</v>
      </c>
      <c r="N99" s="23">
        <f>'$ Portfolio Loss'!P99</f>
        <v>45.596149453640464</v>
      </c>
      <c r="P99">
        <v>74</v>
      </c>
      <c r="Q99" s="23">
        <v>76.726569187892892</v>
      </c>
    </row>
    <row r="100" spans="13:17" x14ac:dyDescent="0.3">
      <c r="M100">
        <v>96</v>
      </c>
      <c r="N100" s="23">
        <f>'$ Portfolio Loss'!P100</f>
        <v>27.742666606205603</v>
      </c>
      <c r="P100">
        <v>345</v>
      </c>
      <c r="Q100" s="23">
        <v>74.993330123194028</v>
      </c>
    </row>
    <row r="101" spans="13:17" x14ac:dyDescent="0.3">
      <c r="M101">
        <v>97</v>
      </c>
      <c r="N101" s="23">
        <f>'$ Portfolio Loss'!P101</f>
        <v>55.943662541565573</v>
      </c>
      <c r="P101">
        <v>331</v>
      </c>
      <c r="Q101" s="23">
        <v>74.736998641259561</v>
      </c>
    </row>
    <row r="102" spans="13:17" x14ac:dyDescent="0.3">
      <c r="M102">
        <v>98</v>
      </c>
      <c r="N102" s="23">
        <f>'$ Portfolio Loss'!P102</f>
        <v>-75.187363725979594</v>
      </c>
      <c r="P102">
        <v>205</v>
      </c>
      <c r="Q102" s="23">
        <v>74.376110768313083</v>
      </c>
    </row>
    <row r="103" spans="13:17" x14ac:dyDescent="0.3">
      <c r="M103">
        <v>99</v>
      </c>
      <c r="N103" s="23">
        <f>'$ Portfolio Loss'!P103</f>
        <v>54.684932618347375</v>
      </c>
      <c r="P103">
        <v>356</v>
      </c>
      <c r="Q103" s="23">
        <v>73.181802204910127</v>
      </c>
    </row>
    <row r="104" spans="13:17" x14ac:dyDescent="0.3">
      <c r="M104">
        <v>100</v>
      </c>
      <c r="N104" s="23">
        <f>'$ Portfolio Loss'!P104</f>
        <v>17.608126440696651</v>
      </c>
      <c r="P104">
        <v>127</v>
      </c>
      <c r="Q104" s="23">
        <v>70.760172174293984</v>
      </c>
    </row>
    <row r="105" spans="13:17" x14ac:dyDescent="0.3">
      <c r="M105">
        <v>101</v>
      </c>
      <c r="N105" s="23">
        <f>'$ Portfolio Loss'!P105</f>
        <v>46.923438349458593</v>
      </c>
      <c r="P105">
        <v>23</v>
      </c>
      <c r="Q105" s="23">
        <v>70.545222813823784</v>
      </c>
    </row>
    <row r="106" spans="13:17" x14ac:dyDescent="0.3">
      <c r="M106">
        <v>102</v>
      </c>
      <c r="N106" s="23">
        <f>'$ Portfolio Loss'!P106</f>
        <v>-64.205861462356552</v>
      </c>
      <c r="P106">
        <v>280</v>
      </c>
      <c r="Q106" s="23">
        <v>70.031677358780144</v>
      </c>
    </row>
    <row r="107" spans="13:17" x14ac:dyDescent="0.3">
      <c r="M107">
        <v>103</v>
      </c>
      <c r="N107" s="23">
        <f>'$ Portfolio Loss'!P107</f>
        <v>-25.158564551336895</v>
      </c>
      <c r="P107">
        <v>185</v>
      </c>
      <c r="Q107" s="23">
        <v>69.843817755114287</v>
      </c>
    </row>
    <row r="108" spans="13:17" x14ac:dyDescent="0.3">
      <c r="M108">
        <v>104</v>
      </c>
      <c r="N108" s="23">
        <f>'$ Portfolio Loss'!P108</f>
        <v>-46.415000211824008</v>
      </c>
      <c r="P108">
        <v>197</v>
      </c>
      <c r="Q108" s="23">
        <v>68.742833969195999</v>
      </c>
    </row>
    <row r="109" spans="13:17" x14ac:dyDescent="0.3">
      <c r="M109">
        <v>105</v>
      </c>
      <c r="N109" s="23">
        <f>'$ Portfolio Loss'!P109</f>
        <v>41.544658048424026</v>
      </c>
      <c r="P109">
        <v>464</v>
      </c>
      <c r="Q109" s="23">
        <v>68.619104822671943</v>
      </c>
    </row>
    <row r="110" spans="13:17" x14ac:dyDescent="0.3">
      <c r="M110">
        <v>106</v>
      </c>
      <c r="N110" s="23">
        <f>'$ Portfolio Loss'!P110</f>
        <v>43.216045745144584</v>
      </c>
      <c r="P110">
        <v>423</v>
      </c>
      <c r="Q110" s="23">
        <v>66.859117746642369</v>
      </c>
    </row>
    <row r="111" spans="13:17" x14ac:dyDescent="0.3">
      <c r="M111">
        <v>107</v>
      </c>
      <c r="N111" s="23">
        <f>'$ Portfolio Loss'!P111</f>
        <v>-69.165800514263537</v>
      </c>
      <c r="P111">
        <v>257</v>
      </c>
      <c r="Q111" s="23">
        <v>65.949462420958298</v>
      </c>
    </row>
    <row r="112" spans="13:17" x14ac:dyDescent="0.3">
      <c r="M112">
        <v>108</v>
      </c>
      <c r="N112" s="23">
        <f>'$ Portfolio Loss'!P112</f>
        <v>-29.763899731253332</v>
      </c>
      <c r="P112">
        <v>100</v>
      </c>
      <c r="Q112" s="23">
        <v>65.274593593121608</v>
      </c>
    </row>
    <row r="113" spans="13:17" x14ac:dyDescent="0.3">
      <c r="M113">
        <v>109</v>
      </c>
      <c r="N113" s="23">
        <f>'$ Portfolio Loss'!P113</f>
        <v>19.397871418801515</v>
      </c>
      <c r="P113">
        <v>111</v>
      </c>
      <c r="Q113" s="23">
        <v>64.899406574546447</v>
      </c>
    </row>
    <row r="114" spans="13:17" x14ac:dyDescent="0.3">
      <c r="M114">
        <v>110</v>
      </c>
      <c r="N114" s="23">
        <f>'$ Portfolio Loss'!P114</f>
        <v>1.7180168891118228</v>
      </c>
      <c r="P114">
        <v>231</v>
      </c>
      <c r="Q114" s="23">
        <v>63.470986382711999</v>
      </c>
    </row>
    <row r="115" spans="13:17" x14ac:dyDescent="0.3">
      <c r="M115">
        <v>111</v>
      </c>
      <c r="N115" s="23">
        <f>'$ Portfolio Loss'!P115</f>
        <v>-18.899386624620092</v>
      </c>
      <c r="P115">
        <v>31</v>
      </c>
      <c r="Q115" s="23">
        <v>62.820878858023207</v>
      </c>
    </row>
    <row r="116" spans="13:17" x14ac:dyDescent="0.3">
      <c r="M116">
        <v>112</v>
      </c>
      <c r="N116" s="23">
        <f>'$ Portfolio Loss'!P116</f>
        <v>-27.654003693322011</v>
      </c>
      <c r="P116">
        <v>110</v>
      </c>
      <c r="Q116" s="23">
        <v>60.567651861278136</v>
      </c>
    </row>
    <row r="117" spans="13:17" x14ac:dyDescent="0.3">
      <c r="M117">
        <v>113</v>
      </c>
      <c r="N117" s="23">
        <f>'$ Portfolio Loss'!P117</f>
        <v>10.472959496466501</v>
      </c>
      <c r="P117">
        <v>338</v>
      </c>
      <c r="Q117" s="23">
        <v>59.425550734591525</v>
      </c>
    </row>
    <row r="118" spans="13:17" x14ac:dyDescent="0.3">
      <c r="M118">
        <v>114</v>
      </c>
      <c r="N118" s="23">
        <f>'$ Portfolio Loss'!P118</f>
        <v>-67.019059327893046</v>
      </c>
      <c r="P118">
        <v>133</v>
      </c>
      <c r="Q118" s="23">
        <v>59.06638542447763</v>
      </c>
    </row>
    <row r="119" spans="13:17" x14ac:dyDescent="0.3">
      <c r="M119">
        <v>115</v>
      </c>
      <c r="N119" s="23">
        <f>'$ Portfolio Loss'!P119</f>
        <v>-71.669762178946257</v>
      </c>
      <c r="P119">
        <v>223</v>
      </c>
      <c r="Q119" s="23">
        <v>58.904445030450006</v>
      </c>
    </row>
    <row r="120" spans="13:17" x14ac:dyDescent="0.3">
      <c r="M120">
        <v>116</v>
      </c>
      <c r="N120" s="23">
        <f>'$ Portfolio Loss'!P120</f>
        <v>-3.4396613283497572</v>
      </c>
      <c r="P120">
        <v>279</v>
      </c>
      <c r="Q120" s="23">
        <v>58.066200834919073</v>
      </c>
    </row>
    <row r="121" spans="13:17" x14ac:dyDescent="0.3">
      <c r="M121">
        <v>117</v>
      </c>
      <c r="N121" s="23">
        <f>'$ Portfolio Loss'!P121</f>
        <v>-18.888991996265759</v>
      </c>
      <c r="P121">
        <v>374</v>
      </c>
      <c r="Q121" s="23">
        <v>57.551068875509372</v>
      </c>
    </row>
    <row r="122" spans="13:17" x14ac:dyDescent="0.3">
      <c r="M122">
        <v>118</v>
      </c>
      <c r="N122" s="23">
        <f>'$ Portfolio Loss'!P122</f>
        <v>66.048228246800136</v>
      </c>
      <c r="P122">
        <v>324</v>
      </c>
      <c r="Q122" s="23">
        <v>56.143111055313057</v>
      </c>
    </row>
    <row r="123" spans="13:17" x14ac:dyDescent="0.3">
      <c r="M123">
        <v>119</v>
      </c>
      <c r="N123" s="23">
        <f>'$ Portfolio Loss'!P123</f>
        <v>48.198099265851852</v>
      </c>
      <c r="P123">
        <v>216</v>
      </c>
      <c r="Q123" s="23">
        <v>55.459022986871787</v>
      </c>
    </row>
    <row r="124" spans="13:17" x14ac:dyDescent="0.3">
      <c r="M124">
        <v>120</v>
      </c>
      <c r="N124" s="23">
        <f>'$ Portfolio Loss'!P124</f>
        <v>5.6860837377735152</v>
      </c>
      <c r="P124">
        <v>293</v>
      </c>
      <c r="Q124" s="23">
        <v>55.267326009172393</v>
      </c>
    </row>
    <row r="125" spans="13:17" x14ac:dyDescent="0.3">
      <c r="M125">
        <v>121</v>
      </c>
      <c r="N125" s="23">
        <f>'$ Portfolio Loss'!P125</f>
        <v>91.200542542463154</v>
      </c>
      <c r="P125">
        <v>442</v>
      </c>
      <c r="Q125" s="23">
        <v>54.546715863871214</v>
      </c>
    </row>
    <row r="126" spans="13:17" x14ac:dyDescent="0.3">
      <c r="M126">
        <v>122</v>
      </c>
      <c r="N126" s="23">
        <f>'$ Portfolio Loss'!P126</f>
        <v>-19.239699253575964</v>
      </c>
      <c r="P126">
        <v>404</v>
      </c>
      <c r="Q126" s="23">
        <v>53.868515290299911</v>
      </c>
    </row>
    <row r="127" spans="13:17" x14ac:dyDescent="0.3">
      <c r="M127">
        <v>123</v>
      </c>
      <c r="N127" s="23">
        <f>'$ Portfolio Loss'!P127</f>
        <v>-34.816118621238274</v>
      </c>
      <c r="P127">
        <v>3</v>
      </c>
      <c r="Q127" s="23">
        <v>53.264059162311241</v>
      </c>
    </row>
    <row r="128" spans="13:17" x14ac:dyDescent="0.3">
      <c r="M128">
        <v>124</v>
      </c>
      <c r="N128" s="23">
        <f>'$ Portfolio Loss'!P128</f>
        <v>-87.853599859987298</v>
      </c>
      <c r="P128">
        <v>450</v>
      </c>
      <c r="Q128" s="23">
        <v>52.834439323774859</v>
      </c>
    </row>
    <row r="129" spans="13:17" x14ac:dyDescent="0.3">
      <c r="M129">
        <v>125</v>
      </c>
      <c r="N129" s="23">
        <f>'$ Portfolio Loss'!P129</f>
        <v>-49.33026997747038</v>
      </c>
      <c r="P129">
        <v>120</v>
      </c>
      <c r="Q129" s="23">
        <v>51.672309483385106</v>
      </c>
    </row>
    <row r="130" spans="13:17" x14ac:dyDescent="0.3">
      <c r="M130">
        <v>126</v>
      </c>
      <c r="N130" s="23">
        <f>'$ Portfolio Loss'!P130</f>
        <v>0.40734739194158465</v>
      </c>
      <c r="P130">
        <v>41</v>
      </c>
      <c r="Q130" s="23">
        <v>51.42113813609285</v>
      </c>
    </row>
    <row r="131" spans="13:17" x14ac:dyDescent="0.3">
      <c r="M131">
        <v>127</v>
      </c>
      <c r="N131" s="23">
        <f>'$ Portfolio Loss'!P131</f>
        <v>39.593918074420799</v>
      </c>
      <c r="P131">
        <v>56</v>
      </c>
      <c r="Q131" s="23">
        <v>51.261844210452182</v>
      </c>
    </row>
    <row r="132" spans="13:17" x14ac:dyDescent="0.3">
      <c r="M132">
        <v>128</v>
      </c>
      <c r="N132" s="23">
        <f>'$ Portfolio Loss'!P132</f>
        <v>107.18655683130601</v>
      </c>
      <c r="P132">
        <v>70</v>
      </c>
      <c r="Q132" s="23">
        <v>49.799432483365308</v>
      </c>
    </row>
    <row r="133" spans="13:17" x14ac:dyDescent="0.3">
      <c r="M133">
        <v>129</v>
      </c>
      <c r="N133" s="23">
        <f>'$ Portfolio Loss'!P133</f>
        <v>13.553403503401569</v>
      </c>
      <c r="P133">
        <v>436</v>
      </c>
      <c r="Q133" s="23">
        <v>48.382162982183218</v>
      </c>
    </row>
    <row r="134" spans="13:17" x14ac:dyDescent="0.3">
      <c r="M134">
        <v>130</v>
      </c>
      <c r="N134" s="23">
        <f>'$ Portfolio Loss'!P134</f>
        <v>9.043945226152573</v>
      </c>
      <c r="P134">
        <v>399</v>
      </c>
      <c r="Q134" s="23">
        <v>48.126874003788544</v>
      </c>
    </row>
    <row r="135" spans="13:17" x14ac:dyDescent="0.3">
      <c r="M135">
        <v>131</v>
      </c>
      <c r="N135" s="23">
        <f>'$ Portfolio Loss'!P135</f>
        <v>42.910175496283046</v>
      </c>
      <c r="P135">
        <v>226</v>
      </c>
      <c r="Q135" s="23">
        <v>47.245018210911439</v>
      </c>
    </row>
    <row r="136" spans="13:17" x14ac:dyDescent="0.3">
      <c r="M136">
        <v>132</v>
      </c>
      <c r="N136" s="23">
        <f>'$ Portfolio Loss'!P136</f>
        <v>-28.333702697371336</v>
      </c>
      <c r="P136">
        <v>491</v>
      </c>
      <c r="Q136" s="23">
        <v>47.048775944464069</v>
      </c>
    </row>
    <row r="137" spans="13:17" x14ac:dyDescent="0.3">
      <c r="M137">
        <v>133</v>
      </c>
      <c r="N137" s="23">
        <f>'$ Portfolio Loss'!P137</f>
        <v>-24.83953552730236</v>
      </c>
      <c r="P137">
        <v>343</v>
      </c>
      <c r="Q137" s="23">
        <v>46.519402504671234</v>
      </c>
    </row>
    <row r="138" spans="13:17" x14ac:dyDescent="0.3">
      <c r="M138">
        <v>134</v>
      </c>
      <c r="N138" s="23">
        <f>'$ Portfolio Loss'!P138</f>
        <v>-87.609325575729599</v>
      </c>
      <c r="P138">
        <v>297</v>
      </c>
      <c r="Q138" s="23">
        <v>45.30601771561669</v>
      </c>
    </row>
    <row r="139" spans="13:17" x14ac:dyDescent="0.3">
      <c r="M139">
        <v>135</v>
      </c>
      <c r="N139" s="23">
        <f>'$ Portfolio Loss'!P139</f>
        <v>-36.315758456334152</v>
      </c>
      <c r="P139">
        <v>425</v>
      </c>
      <c r="Q139" s="23">
        <v>44.835349503879115</v>
      </c>
    </row>
    <row r="140" spans="13:17" x14ac:dyDescent="0.3">
      <c r="M140">
        <v>136</v>
      </c>
      <c r="N140" s="23">
        <f>'$ Portfolio Loss'!P140</f>
        <v>24.892207019420312</v>
      </c>
      <c r="P140">
        <v>290</v>
      </c>
      <c r="Q140" s="23">
        <v>44.719708930526394</v>
      </c>
    </row>
    <row r="141" spans="13:17" x14ac:dyDescent="0.3">
      <c r="M141">
        <v>137</v>
      </c>
      <c r="N141" s="23">
        <f>'$ Portfolio Loss'!P141</f>
        <v>15.156891216052827</v>
      </c>
      <c r="P141">
        <v>150</v>
      </c>
      <c r="Q141" s="23">
        <v>43.48924320686092</v>
      </c>
    </row>
    <row r="142" spans="13:17" x14ac:dyDescent="0.3">
      <c r="M142">
        <v>138</v>
      </c>
      <c r="N142" s="23">
        <f>'$ Portfolio Loss'!P142</f>
        <v>-72.369997942865666</v>
      </c>
      <c r="P142">
        <v>303</v>
      </c>
      <c r="Q142" s="23">
        <v>43.330577313707181</v>
      </c>
    </row>
    <row r="143" spans="13:17" x14ac:dyDescent="0.3">
      <c r="M143">
        <v>139</v>
      </c>
      <c r="N143" s="23">
        <f>'$ Portfolio Loss'!P143</f>
        <v>-34.399038984664003</v>
      </c>
      <c r="P143">
        <v>424</v>
      </c>
      <c r="Q143" s="23">
        <v>42.77773107995381</v>
      </c>
    </row>
    <row r="144" spans="13:17" x14ac:dyDescent="0.3">
      <c r="M144">
        <v>140</v>
      </c>
      <c r="N144" s="23">
        <f>'$ Portfolio Loss'!P144</f>
        <v>-31.84725860632534</v>
      </c>
      <c r="P144">
        <v>431</v>
      </c>
      <c r="Q144" s="23">
        <v>42.706899719754801</v>
      </c>
    </row>
    <row r="145" spans="13:17" x14ac:dyDescent="0.3">
      <c r="M145">
        <v>141</v>
      </c>
      <c r="N145" s="23">
        <f>'$ Portfolio Loss'!P145</f>
        <v>-12.457893633387357</v>
      </c>
      <c r="P145">
        <v>419</v>
      </c>
      <c r="Q145" s="23">
        <v>42.37526669874751</v>
      </c>
    </row>
    <row r="146" spans="13:17" x14ac:dyDescent="0.3">
      <c r="M146">
        <v>142</v>
      </c>
      <c r="N146" s="23">
        <f>'$ Portfolio Loss'!P146</f>
        <v>20.865210194791871</v>
      </c>
      <c r="P146">
        <v>12</v>
      </c>
      <c r="Q146" s="23">
        <v>42.100045235552898</v>
      </c>
    </row>
    <row r="147" spans="13:17" x14ac:dyDescent="0.3">
      <c r="M147">
        <v>143</v>
      </c>
      <c r="N147" s="23">
        <f>'$ Portfolio Loss'!P147</f>
        <v>21.858328850499674</v>
      </c>
      <c r="P147">
        <v>382</v>
      </c>
      <c r="Q147" s="23">
        <v>41.649376522495004</v>
      </c>
    </row>
    <row r="148" spans="13:17" x14ac:dyDescent="0.3">
      <c r="M148">
        <v>144</v>
      </c>
      <c r="N148" s="23">
        <f>'$ Portfolio Loss'!P148</f>
        <v>-25.103977404985926</v>
      </c>
      <c r="P148">
        <v>369</v>
      </c>
      <c r="Q148" s="23">
        <v>41.44472704799955</v>
      </c>
    </row>
    <row r="149" spans="13:17" x14ac:dyDescent="0.3">
      <c r="M149">
        <v>145</v>
      </c>
      <c r="N149" s="23">
        <f>'$ Portfolio Loss'!P149</f>
        <v>107.14864104106528</v>
      </c>
      <c r="P149">
        <v>475</v>
      </c>
      <c r="Q149" s="23">
        <v>40.125074150193541</v>
      </c>
    </row>
    <row r="150" spans="13:17" x14ac:dyDescent="0.3">
      <c r="M150">
        <v>146</v>
      </c>
      <c r="N150" s="23">
        <f>'$ Portfolio Loss'!P150</f>
        <v>53.356654524550322</v>
      </c>
      <c r="P150">
        <v>165</v>
      </c>
      <c r="Q150" s="23">
        <v>39.965420581183935</v>
      </c>
    </row>
    <row r="151" spans="13:17" x14ac:dyDescent="0.3">
      <c r="M151">
        <v>147</v>
      </c>
      <c r="N151" s="23">
        <f>'$ Portfolio Loss'!P151</f>
        <v>23.081471128129124</v>
      </c>
      <c r="P151">
        <v>448</v>
      </c>
      <c r="Q151" s="23">
        <v>39.412465563396836</v>
      </c>
    </row>
    <row r="152" spans="13:17" x14ac:dyDescent="0.3">
      <c r="M152">
        <v>148</v>
      </c>
      <c r="N152" s="23">
        <f>'$ Portfolio Loss'!P152</f>
        <v>38.41166371422878</v>
      </c>
      <c r="P152">
        <v>63</v>
      </c>
      <c r="Q152" s="23">
        <v>38.06411497586123</v>
      </c>
    </row>
    <row r="153" spans="13:17" x14ac:dyDescent="0.3">
      <c r="M153">
        <v>149</v>
      </c>
      <c r="N153" s="23">
        <f>'$ Portfolio Loss'!P153</f>
        <v>7.9674619568995695</v>
      </c>
      <c r="P153">
        <v>62</v>
      </c>
      <c r="Q153" s="23">
        <v>37.966521516747889</v>
      </c>
    </row>
    <row r="154" spans="13:17" x14ac:dyDescent="0.3">
      <c r="M154">
        <v>150</v>
      </c>
      <c r="N154" s="23">
        <f>'$ Portfolio Loss'!P154</f>
        <v>19.359922914582057</v>
      </c>
      <c r="P154">
        <v>428</v>
      </c>
      <c r="Q154" s="23">
        <v>37.414250719673873</v>
      </c>
    </row>
    <row r="155" spans="13:17" x14ac:dyDescent="0.3">
      <c r="M155">
        <v>151</v>
      </c>
      <c r="N155" s="23">
        <f>'$ Portfolio Loss'!P155</f>
        <v>-120.39769123922815</v>
      </c>
      <c r="P155">
        <v>47</v>
      </c>
      <c r="Q155" s="23">
        <v>36.334046200441662</v>
      </c>
    </row>
    <row r="156" spans="13:17" x14ac:dyDescent="0.3">
      <c r="M156">
        <v>152</v>
      </c>
      <c r="N156" s="23">
        <f>'$ Portfolio Loss'!P156</f>
        <v>7.5972480953714694</v>
      </c>
      <c r="P156">
        <v>367</v>
      </c>
      <c r="Q156" s="23">
        <v>35.690833211936479</v>
      </c>
    </row>
    <row r="157" spans="13:17" x14ac:dyDescent="0.3">
      <c r="M157">
        <v>153</v>
      </c>
      <c r="N157" s="23">
        <f>'$ Portfolio Loss'!P157</f>
        <v>61.820757565295935</v>
      </c>
      <c r="P157">
        <v>151</v>
      </c>
      <c r="Q157" s="23">
        <v>35.544016705925969</v>
      </c>
    </row>
    <row r="158" spans="13:17" x14ac:dyDescent="0.3">
      <c r="M158">
        <v>154</v>
      </c>
      <c r="N158" s="23">
        <f>'$ Portfolio Loss'!P158</f>
        <v>-63.194243897371052</v>
      </c>
      <c r="P158">
        <v>93</v>
      </c>
      <c r="Q158" s="23">
        <v>34.950311239832445</v>
      </c>
    </row>
    <row r="159" spans="13:17" x14ac:dyDescent="0.3">
      <c r="M159">
        <v>155</v>
      </c>
      <c r="N159" s="23">
        <f>'$ Portfolio Loss'!P159</f>
        <v>-20.937162408294171</v>
      </c>
      <c r="P159">
        <v>476</v>
      </c>
      <c r="Q159" s="23">
        <v>34.434843855615327</v>
      </c>
    </row>
    <row r="160" spans="13:17" x14ac:dyDescent="0.3">
      <c r="M160">
        <v>156</v>
      </c>
      <c r="N160" s="23">
        <f>'$ Portfolio Loss'!P160</f>
        <v>-63.222461090364959</v>
      </c>
      <c r="P160">
        <v>14</v>
      </c>
      <c r="Q160" s="23">
        <v>34.097057896085971</v>
      </c>
    </row>
    <row r="161" spans="13:17" x14ac:dyDescent="0.3">
      <c r="M161">
        <v>157</v>
      </c>
      <c r="N161" s="23">
        <f>'$ Portfolio Loss'!P161</f>
        <v>-82.1583569084396</v>
      </c>
      <c r="P161">
        <v>330</v>
      </c>
      <c r="Q161" s="23">
        <v>32.90564005457054</v>
      </c>
    </row>
    <row r="162" spans="13:17" x14ac:dyDescent="0.3">
      <c r="M162">
        <v>158</v>
      </c>
      <c r="N162" s="23">
        <f>'$ Portfolio Loss'!P162</f>
        <v>49.54171393076831</v>
      </c>
      <c r="P162">
        <v>438</v>
      </c>
      <c r="Q162" s="23">
        <v>31.033680529879348</v>
      </c>
    </row>
    <row r="163" spans="13:17" x14ac:dyDescent="0.3">
      <c r="M163">
        <v>159</v>
      </c>
      <c r="N163" s="23">
        <f>'$ Portfolio Loss'!P163</f>
        <v>-33.801581568774054</v>
      </c>
      <c r="P163">
        <v>65</v>
      </c>
      <c r="Q163" s="23">
        <v>30.414433623716832</v>
      </c>
    </row>
    <row r="164" spans="13:17" x14ac:dyDescent="0.3">
      <c r="M164">
        <v>160</v>
      </c>
      <c r="N164" s="23">
        <f>'$ Portfolio Loss'!P164</f>
        <v>-2.791838083330731</v>
      </c>
      <c r="P164">
        <v>312</v>
      </c>
      <c r="Q164" s="23">
        <v>30.033040300642824</v>
      </c>
    </row>
    <row r="165" spans="13:17" x14ac:dyDescent="0.3">
      <c r="M165">
        <v>161</v>
      </c>
      <c r="N165" s="23">
        <f>'$ Portfolio Loss'!P165</f>
        <v>-14.791293190472061</v>
      </c>
      <c r="P165">
        <v>352</v>
      </c>
      <c r="Q165" s="23">
        <v>29.714113086716679</v>
      </c>
    </row>
    <row r="166" spans="13:17" x14ac:dyDescent="0.3">
      <c r="M166">
        <v>162</v>
      </c>
      <c r="N166" s="23">
        <f>'$ Portfolio Loss'!P166</f>
        <v>57.163245013412961</v>
      </c>
      <c r="P166">
        <v>203</v>
      </c>
      <c r="Q166" s="23">
        <v>29.4999993688416</v>
      </c>
    </row>
    <row r="167" spans="13:17" x14ac:dyDescent="0.3">
      <c r="M167">
        <v>163</v>
      </c>
      <c r="N167" s="23">
        <f>'$ Portfolio Loss'!P167</f>
        <v>-13.40463791807997</v>
      </c>
      <c r="P167">
        <v>192</v>
      </c>
      <c r="Q167" s="23">
        <v>29.492662898668641</v>
      </c>
    </row>
    <row r="168" spans="13:17" x14ac:dyDescent="0.3">
      <c r="M168">
        <v>164</v>
      </c>
      <c r="N168" s="23">
        <f>'$ Portfolio Loss'!P168</f>
        <v>28.543314137965353</v>
      </c>
      <c r="P168">
        <v>107</v>
      </c>
      <c r="Q168" s="23">
        <v>29.048133751541172</v>
      </c>
    </row>
    <row r="169" spans="13:17" x14ac:dyDescent="0.3">
      <c r="M169">
        <v>165</v>
      </c>
      <c r="N169" s="23">
        <f>'$ Portfolio Loss'!P169</f>
        <v>-2.4376457887829019</v>
      </c>
      <c r="P169">
        <v>460</v>
      </c>
      <c r="Q169" s="23">
        <v>28.760453568007506</v>
      </c>
    </row>
    <row r="170" spans="13:17" x14ac:dyDescent="0.3">
      <c r="M170">
        <v>166</v>
      </c>
      <c r="N170" s="23">
        <f>'$ Portfolio Loss'!P170</f>
        <v>108.46901713282568</v>
      </c>
      <c r="P170">
        <v>390</v>
      </c>
      <c r="Q170" s="23">
        <v>28.40791700977752</v>
      </c>
    </row>
    <row r="171" spans="13:17" x14ac:dyDescent="0.3">
      <c r="M171">
        <v>167</v>
      </c>
      <c r="N171" s="23">
        <f>'$ Portfolio Loss'!P171</f>
        <v>12.470583163538322</v>
      </c>
      <c r="P171">
        <v>401</v>
      </c>
      <c r="Q171" s="23">
        <v>28.132764101326757</v>
      </c>
    </row>
    <row r="172" spans="13:17" x14ac:dyDescent="0.3">
      <c r="M172">
        <v>168</v>
      </c>
      <c r="N172" s="23">
        <f>'$ Portfolio Loss'!P172</f>
        <v>0.69950210104252619</v>
      </c>
      <c r="P172">
        <v>159</v>
      </c>
      <c r="Q172" s="23">
        <v>26.814799178344401</v>
      </c>
    </row>
    <row r="173" spans="13:17" x14ac:dyDescent="0.3">
      <c r="M173">
        <v>169</v>
      </c>
      <c r="N173" s="23">
        <f>'$ Portfolio Loss'!P173</f>
        <v>104.31658925619558</v>
      </c>
      <c r="P173">
        <v>380</v>
      </c>
      <c r="Q173" s="23">
        <v>26.562813273298161</v>
      </c>
    </row>
    <row r="174" spans="13:17" x14ac:dyDescent="0.3">
      <c r="M174">
        <v>170</v>
      </c>
      <c r="N174" s="23">
        <f>'$ Portfolio Loss'!P174</f>
        <v>121.97466921265186</v>
      </c>
      <c r="P174">
        <v>92</v>
      </c>
      <c r="Q174" s="23">
        <v>26.368146574946877</v>
      </c>
    </row>
    <row r="175" spans="13:17" x14ac:dyDescent="0.3">
      <c r="M175">
        <v>171</v>
      </c>
      <c r="N175" s="23">
        <f>'$ Portfolio Loss'!P175</f>
        <v>150.82436472908739</v>
      </c>
      <c r="P175">
        <v>266</v>
      </c>
      <c r="Q175" s="23">
        <v>25.301010824408877</v>
      </c>
    </row>
    <row r="176" spans="13:17" x14ac:dyDescent="0.3">
      <c r="M176">
        <v>172</v>
      </c>
      <c r="N176" s="23">
        <f>'$ Portfolio Loss'!P176</f>
        <v>-23.621238437392094</v>
      </c>
      <c r="P176">
        <v>447</v>
      </c>
      <c r="Q176" s="23">
        <v>25.296383002289076</v>
      </c>
    </row>
    <row r="177" spans="13:17" x14ac:dyDescent="0.3">
      <c r="M177">
        <v>173</v>
      </c>
      <c r="N177" s="23">
        <f>'$ Portfolio Loss'!P177</f>
        <v>28.138868324731448</v>
      </c>
      <c r="P177">
        <v>4</v>
      </c>
      <c r="Q177" s="23">
        <v>25.139366356226674</v>
      </c>
    </row>
    <row r="178" spans="13:17" x14ac:dyDescent="0.3">
      <c r="M178">
        <v>174</v>
      </c>
      <c r="N178" s="23">
        <f>'$ Portfolio Loss'!P178</f>
        <v>-105.74613258189856</v>
      </c>
      <c r="P178">
        <v>27</v>
      </c>
      <c r="Q178" s="23">
        <v>24.954395007905987</v>
      </c>
    </row>
    <row r="179" spans="13:17" x14ac:dyDescent="0.3">
      <c r="M179">
        <v>175</v>
      </c>
      <c r="N179" s="23">
        <f>'$ Portfolio Loss'!P179</f>
        <v>-53.229231986304512</v>
      </c>
      <c r="P179">
        <v>286</v>
      </c>
      <c r="Q179" s="23">
        <v>24.877059392490992</v>
      </c>
    </row>
    <row r="180" spans="13:17" x14ac:dyDescent="0.3">
      <c r="M180">
        <v>176</v>
      </c>
      <c r="N180" s="23">
        <f>'$ Portfolio Loss'!P180</f>
        <v>237.67317481744431</v>
      </c>
      <c r="P180">
        <v>96</v>
      </c>
      <c r="Q180" s="23">
        <v>24.711204333267233</v>
      </c>
    </row>
    <row r="181" spans="13:17" x14ac:dyDescent="0.3">
      <c r="M181">
        <v>177</v>
      </c>
      <c r="N181" s="23">
        <f>'$ Portfolio Loss'!P181</f>
        <v>13.650749048196303</v>
      </c>
      <c r="P181">
        <v>55</v>
      </c>
      <c r="Q181" s="23">
        <v>23.889557894206519</v>
      </c>
    </row>
    <row r="182" spans="13:17" x14ac:dyDescent="0.3">
      <c r="M182">
        <v>178</v>
      </c>
      <c r="N182" s="23">
        <f>'$ Portfolio Loss'!P182</f>
        <v>77.727174276462392</v>
      </c>
      <c r="P182">
        <v>167</v>
      </c>
      <c r="Q182" s="23">
        <v>23.725278044579682</v>
      </c>
    </row>
    <row r="183" spans="13:17" x14ac:dyDescent="0.3">
      <c r="M183">
        <v>179</v>
      </c>
      <c r="N183" s="23">
        <f>'$ Portfolio Loss'!P183</f>
        <v>61.375697837767802</v>
      </c>
      <c r="P183">
        <v>180</v>
      </c>
      <c r="Q183" s="23">
        <v>23.406372812920381</v>
      </c>
    </row>
    <row r="184" spans="13:17" x14ac:dyDescent="0.3">
      <c r="M184">
        <v>180</v>
      </c>
      <c r="N184" s="23">
        <f>'$ Portfolio Loss'!P184</f>
        <v>100.51444307944621</v>
      </c>
      <c r="P184">
        <v>89</v>
      </c>
      <c r="Q184" s="23">
        <v>22.258024167100302</v>
      </c>
    </row>
    <row r="185" spans="13:17" x14ac:dyDescent="0.3">
      <c r="M185">
        <v>181</v>
      </c>
      <c r="N185" s="23">
        <f>'$ Portfolio Loss'!P185</f>
        <v>-42.571458150598119</v>
      </c>
      <c r="P185">
        <v>84</v>
      </c>
      <c r="Q185" s="23">
        <v>22.230922941373137</v>
      </c>
    </row>
    <row r="186" spans="13:17" x14ac:dyDescent="0.3">
      <c r="M186">
        <v>182</v>
      </c>
      <c r="N186" s="23">
        <f>'$ Portfolio Loss'!P186</f>
        <v>44.319690740174337</v>
      </c>
      <c r="P186">
        <v>149</v>
      </c>
      <c r="Q186" s="23">
        <v>22.214133582243448</v>
      </c>
    </row>
    <row r="187" spans="13:17" x14ac:dyDescent="0.3">
      <c r="M187">
        <v>183</v>
      </c>
      <c r="N187" s="23">
        <f>'$ Portfolio Loss'!P187</f>
        <v>-40.394474198386888</v>
      </c>
      <c r="P187">
        <v>69</v>
      </c>
      <c r="Q187" s="23">
        <v>21.56316278894883</v>
      </c>
    </row>
    <row r="188" spans="13:17" x14ac:dyDescent="0.3">
      <c r="M188">
        <v>184</v>
      </c>
      <c r="N188" s="23">
        <f>'$ Portfolio Loss'!P188</f>
        <v>-128.04455732864881</v>
      </c>
      <c r="P188">
        <v>59</v>
      </c>
      <c r="Q188" s="23">
        <v>21.274368484217121</v>
      </c>
    </row>
    <row r="189" spans="13:17" x14ac:dyDescent="0.3">
      <c r="M189">
        <v>185</v>
      </c>
      <c r="N189" s="23">
        <f>'$ Portfolio Loss'!P189</f>
        <v>5.4228780832927441</v>
      </c>
      <c r="P189">
        <v>410</v>
      </c>
      <c r="Q189" s="23">
        <v>21.248802490286835</v>
      </c>
    </row>
    <row r="190" spans="13:17" x14ac:dyDescent="0.3">
      <c r="M190">
        <v>186</v>
      </c>
      <c r="N190" s="23">
        <f>'$ Portfolio Loss'!P190</f>
        <v>9.281540142974336</v>
      </c>
      <c r="P190">
        <v>36</v>
      </c>
      <c r="Q190" s="23">
        <v>20.550595997012351</v>
      </c>
    </row>
    <row r="191" spans="13:17" x14ac:dyDescent="0.3">
      <c r="M191">
        <v>187</v>
      </c>
      <c r="N191" s="23">
        <f>'$ Portfolio Loss'!P191</f>
        <v>21.7323729359141</v>
      </c>
      <c r="P191">
        <v>117</v>
      </c>
      <c r="Q191" s="23">
        <v>18.897972272448897</v>
      </c>
    </row>
    <row r="192" spans="13:17" x14ac:dyDescent="0.3">
      <c r="M192">
        <v>188</v>
      </c>
      <c r="N192" s="23">
        <f>'$ Portfolio Loss'!P192</f>
        <v>-30.883268011615655</v>
      </c>
      <c r="P192">
        <v>333</v>
      </c>
      <c r="Q192" s="23">
        <v>17.866682106339795</v>
      </c>
    </row>
    <row r="193" spans="13:17" x14ac:dyDescent="0.3">
      <c r="M193">
        <v>189</v>
      </c>
      <c r="N193" s="23">
        <f>'$ Portfolio Loss'!P193</f>
        <v>17.850682818805581</v>
      </c>
      <c r="P193">
        <v>213</v>
      </c>
      <c r="Q193" s="23">
        <v>17.295357949138634</v>
      </c>
    </row>
    <row r="194" spans="13:17" x14ac:dyDescent="0.3">
      <c r="M194">
        <v>190</v>
      </c>
      <c r="N194" s="23">
        <f>'$ Portfolio Loss'!P194</f>
        <v>-140.21443589241971</v>
      </c>
      <c r="P194">
        <v>332</v>
      </c>
      <c r="Q194" s="23">
        <v>17.073320050705661</v>
      </c>
    </row>
    <row r="195" spans="13:17" x14ac:dyDescent="0.3">
      <c r="M195">
        <v>191</v>
      </c>
      <c r="N195" s="23">
        <f>'$ Portfolio Loss'!P195</f>
        <v>20.331103940388857</v>
      </c>
      <c r="P195">
        <v>204</v>
      </c>
      <c r="Q195" s="23">
        <v>16.81363384008182</v>
      </c>
    </row>
    <row r="196" spans="13:17" x14ac:dyDescent="0.3">
      <c r="M196">
        <v>192</v>
      </c>
      <c r="N196" s="23">
        <f>'$ Portfolio Loss'!P196</f>
        <v>-2.5983248389311484</v>
      </c>
      <c r="P196">
        <v>381</v>
      </c>
      <c r="Q196" s="23">
        <v>16.254948003126628</v>
      </c>
    </row>
    <row r="197" spans="13:17" x14ac:dyDescent="0.3">
      <c r="M197">
        <v>193</v>
      </c>
      <c r="N197" s="23">
        <f>'$ Portfolio Loss'!P197</f>
        <v>63.918049384141341</v>
      </c>
      <c r="P197">
        <v>383</v>
      </c>
      <c r="Q197" s="23">
        <v>16.193789463059147</v>
      </c>
    </row>
    <row r="198" spans="13:17" x14ac:dyDescent="0.3">
      <c r="M198">
        <v>194</v>
      </c>
      <c r="N198" s="23">
        <f>'$ Portfolio Loss'!P198</f>
        <v>-25.733500609112525</v>
      </c>
      <c r="P198">
        <v>73</v>
      </c>
      <c r="Q198" s="23">
        <v>14.87273368410024</v>
      </c>
    </row>
    <row r="199" spans="13:17" x14ac:dyDescent="0.3">
      <c r="M199">
        <v>195</v>
      </c>
      <c r="N199" s="23">
        <f>'$ Portfolio Loss'!P199</f>
        <v>21.540689812578421</v>
      </c>
      <c r="P199">
        <v>125</v>
      </c>
      <c r="Q199" s="23">
        <v>14.348166850888447</v>
      </c>
    </row>
    <row r="200" spans="13:17" x14ac:dyDescent="0.3">
      <c r="M200">
        <v>196</v>
      </c>
      <c r="N200" s="23">
        <f>'$ Portfolio Loss'!P200</f>
        <v>-6.8804158243747224</v>
      </c>
      <c r="P200">
        <v>492</v>
      </c>
      <c r="Q200" s="23">
        <v>13.723913195870409</v>
      </c>
    </row>
    <row r="201" spans="13:17" x14ac:dyDescent="0.3">
      <c r="M201">
        <v>197</v>
      </c>
      <c r="N201" s="23">
        <f>'$ Portfolio Loss'!P201</f>
        <v>-8.4530270456598373</v>
      </c>
      <c r="P201">
        <v>261</v>
      </c>
      <c r="Q201" s="23">
        <v>13.678304442424633</v>
      </c>
    </row>
    <row r="202" spans="13:17" x14ac:dyDescent="0.3">
      <c r="M202">
        <v>198</v>
      </c>
      <c r="N202" s="23">
        <f>'$ Portfolio Loss'!P202</f>
        <v>75.969393740913802</v>
      </c>
      <c r="P202">
        <v>195</v>
      </c>
      <c r="Q202" s="23">
        <v>13.303098598718861</v>
      </c>
    </row>
    <row r="203" spans="13:17" x14ac:dyDescent="0.3">
      <c r="M203">
        <v>199</v>
      </c>
      <c r="N203" s="23">
        <f>'$ Portfolio Loss'!P203</f>
        <v>155.90359797896781</v>
      </c>
      <c r="P203">
        <v>207</v>
      </c>
      <c r="Q203" s="23">
        <v>12.763839065690263</v>
      </c>
    </row>
    <row r="204" spans="13:17" x14ac:dyDescent="0.3">
      <c r="M204">
        <v>200</v>
      </c>
      <c r="N204" s="23">
        <f>'$ Portfolio Loss'!P204</f>
        <v>-76.302104280144704</v>
      </c>
      <c r="P204">
        <v>13</v>
      </c>
      <c r="Q204" s="23">
        <v>12.222645628822647</v>
      </c>
    </row>
    <row r="205" spans="13:17" x14ac:dyDescent="0.3">
      <c r="M205">
        <v>201</v>
      </c>
      <c r="N205" s="23">
        <f>'$ Portfolio Loss'!P205</f>
        <v>46.656373216277643</v>
      </c>
      <c r="P205">
        <v>43</v>
      </c>
      <c r="Q205" s="23">
        <v>10.295646975262571</v>
      </c>
    </row>
    <row r="206" spans="13:17" x14ac:dyDescent="0.3">
      <c r="M206">
        <v>202</v>
      </c>
      <c r="N206" s="23">
        <f>'$ Portfolio Loss'!P206</f>
        <v>-100.58730394814665</v>
      </c>
      <c r="P206">
        <v>144</v>
      </c>
      <c r="Q206" s="23">
        <v>10.060692955692502</v>
      </c>
    </row>
    <row r="207" spans="13:17" x14ac:dyDescent="0.3">
      <c r="M207">
        <v>203</v>
      </c>
      <c r="N207" s="23">
        <f>'$ Portfolio Loss'!P207</f>
        <v>-13.036795482577872</v>
      </c>
      <c r="P207">
        <v>170</v>
      </c>
      <c r="Q207" s="23">
        <v>9.8616032395384536</v>
      </c>
    </row>
    <row r="208" spans="13:17" x14ac:dyDescent="0.3">
      <c r="M208">
        <v>204</v>
      </c>
      <c r="N208" s="23">
        <f>'$ Portfolio Loss'!P208</f>
        <v>-75.022062247848226</v>
      </c>
      <c r="P208">
        <v>439</v>
      </c>
      <c r="Q208" s="23">
        <v>9.8143750303661363</v>
      </c>
    </row>
    <row r="209" spans="13:17" x14ac:dyDescent="0.3">
      <c r="M209">
        <v>205</v>
      </c>
      <c r="N209" s="23">
        <f>'$ Portfolio Loss'!P209</f>
        <v>-47.628616133961259</v>
      </c>
      <c r="P209">
        <v>208</v>
      </c>
      <c r="Q209" s="23">
        <v>9.7739061018637585</v>
      </c>
    </row>
    <row r="210" spans="13:17" x14ac:dyDescent="0.3">
      <c r="M210">
        <v>206</v>
      </c>
      <c r="N210" s="23">
        <f>'$ Portfolio Loss'!P210</f>
        <v>-57.60849217523355</v>
      </c>
      <c r="P210">
        <v>153</v>
      </c>
      <c r="Q210" s="23">
        <v>9.560846326947285</v>
      </c>
    </row>
    <row r="211" spans="13:17" x14ac:dyDescent="0.3">
      <c r="M211">
        <v>207</v>
      </c>
      <c r="N211" s="23">
        <f>'$ Portfolio Loss'!P211</f>
        <v>-13.3960902289964</v>
      </c>
      <c r="P211">
        <v>28</v>
      </c>
      <c r="Q211" s="23">
        <v>9.5143992215089384</v>
      </c>
    </row>
    <row r="212" spans="13:17" x14ac:dyDescent="0.3">
      <c r="M212">
        <v>208</v>
      </c>
      <c r="N212" s="23">
        <f>'$ Portfolio Loss'!P212</f>
        <v>167.54563439869708</v>
      </c>
      <c r="P212">
        <v>11</v>
      </c>
      <c r="Q212" s="23">
        <v>8.9818697747614351</v>
      </c>
    </row>
    <row r="213" spans="13:17" x14ac:dyDescent="0.3">
      <c r="M213">
        <v>209</v>
      </c>
      <c r="N213" s="23">
        <f>'$ Portfolio Loss'!P213</f>
        <v>28.428671839748858</v>
      </c>
      <c r="P213">
        <v>272</v>
      </c>
      <c r="Q213" s="23">
        <v>8.0865113946601923</v>
      </c>
    </row>
    <row r="214" spans="13:17" x14ac:dyDescent="0.3">
      <c r="M214">
        <v>210</v>
      </c>
      <c r="N214" s="23">
        <f>'$ Portfolio Loss'!P214</f>
        <v>125.73659185325778</v>
      </c>
      <c r="P214">
        <v>90</v>
      </c>
      <c r="Q214" s="23">
        <v>7.7259798975410376</v>
      </c>
    </row>
    <row r="215" spans="13:17" x14ac:dyDescent="0.3">
      <c r="M215">
        <v>211</v>
      </c>
      <c r="N215" s="23">
        <f>'$ Portfolio Loss'!P215</f>
        <v>-2.3822796995700628</v>
      </c>
      <c r="P215">
        <v>434</v>
      </c>
      <c r="Q215" s="23">
        <v>6.9248626601038268</v>
      </c>
    </row>
    <row r="216" spans="13:17" x14ac:dyDescent="0.3">
      <c r="M216">
        <v>212</v>
      </c>
      <c r="N216" s="23">
        <f>'$ Portfolio Loss'!P216</f>
        <v>-54.674955262027652</v>
      </c>
      <c r="P216">
        <v>171</v>
      </c>
      <c r="Q216" s="23">
        <v>6.6603117091799504</v>
      </c>
    </row>
    <row r="217" spans="13:17" x14ac:dyDescent="0.3">
      <c r="M217">
        <v>213</v>
      </c>
      <c r="N217" s="23">
        <f>'$ Portfolio Loss'!P217</f>
        <v>-64.71485179213596</v>
      </c>
      <c r="P217">
        <v>328</v>
      </c>
      <c r="Q217" s="23">
        <v>6.5873081759600609</v>
      </c>
    </row>
    <row r="218" spans="13:17" x14ac:dyDescent="0.3">
      <c r="M218">
        <v>214</v>
      </c>
      <c r="N218" s="23">
        <f>'$ Portfolio Loss'!P218</f>
        <v>96.889026210797965</v>
      </c>
      <c r="P218">
        <v>182</v>
      </c>
      <c r="Q218" s="23">
        <v>6.3928647945995181</v>
      </c>
    </row>
    <row r="219" spans="13:17" x14ac:dyDescent="0.3">
      <c r="M219">
        <v>215</v>
      </c>
      <c r="N219" s="23">
        <f>'$ Portfolio Loss'!P219</f>
        <v>71.761120611678052</v>
      </c>
      <c r="P219">
        <v>8</v>
      </c>
      <c r="Q219" s="23">
        <v>6.0627711778543016</v>
      </c>
    </row>
    <row r="220" spans="13:17" x14ac:dyDescent="0.3">
      <c r="M220">
        <v>216</v>
      </c>
      <c r="N220" s="23">
        <f>'$ Portfolio Loss'!P220</f>
        <v>134.83980790495116</v>
      </c>
      <c r="P220">
        <v>95</v>
      </c>
      <c r="Q220" s="23">
        <v>5.138619933710288</v>
      </c>
    </row>
    <row r="221" spans="13:17" x14ac:dyDescent="0.3">
      <c r="M221">
        <v>217</v>
      </c>
      <c r="N221" s="23">
        <f>'$ Portfolio Loss'!P221</f>
        <v>-17.583946724591442</v>
      </c>
      <c r="P221">
        <v>168</v>
      </c>
      <c r="Q221" s="23">
        <v>5.058918026403262</v>
      </c>
    </row>
    <row r="222" spans="13:17" x14ac:dyDescent="0.3">
      <c r="M222">
        <v>218</v>
      </c>
      <c r="N222" s="23">
        <f>'$ Portfolio Loss'!P222</f>
        <v>142.66239500352094</v>
      </c>
      <c r="P222">
        <v>116</v>
      </c>
      <c r="Q222" s="23">
        <v>4.2944215029656334</v>
      </c>
    </row>
    <row r="223" spans="13:17" x14ac:dyDescent="0.3">
      <c r="M223">
        <v>219</v>
      </c>
      <c r="N223" s="23">
        <f>'$ Portfolio Loss'!P223</f>
        <v>54.285825627344821</v>
      </c>
      <c r="P223">
        <v>186</v>
      </c>
      <c r="Q223" s="23">
        <v>3.8366845419459423</v>
      </c>
    </row>
    <row r="224" spans="13:17" x14ac:dyDescent="0.3">
      <c r="M224">
        <v>220</v>
      </c>
      <c r="N224" s="23">
        <f>'$ Portfolio Loss'!P224</f>
        <v>48.192701514219152</v>
      </c>
      <c r="P224">
        <v>360</v>
      </c>
      <c r="Q224" s="23">
        <v>3.0148842390626669</v>
      </c>
    </row>
    <row r="225" spans="13:17" x14ac:dyDescent="0.3">
      <c r="M225">
        <v>221</v>
      </c>
      <c r="N225" s="23">
        <f>'$ Portfolio Loss'!P225</f>
        <v>118.61292498300281</v>
      </c>
      <c r="P225">
        <v>202</v>
      </c>
      <c r="Q225" s="23">
        <v>3.0051257913419249</v>
      </c>
    </row>
    <row r="226" spans="13:17" x14ac:dyDescent="0.3">
      <c r="M226">
        <v>222</v>
      </c>
      <c r="N226" s="23">
        <f>'$ Portfolio Loss'!P226</f>
        <v>-152.86380454213031</v>
      </c>
      <c r="P226">
        <v>420</v>
      </c>
      <c r="Q226" s="23">
        <v>2.3861099601872411</v>
      </c>
    </row>
    <row r="227" spans="13:17" x14ac:dyDescent="0.3">
      <c r="M227">
        <v>223</v>
      </c>
      <c r="N227" s="23">
        <f>'$ Portfolio Loss'!P227</f>
        <v>-81.232631514252716</v>
      </c>
      <c r="P227">
        <v>396</v>
      </c>
      <c r="Q227" s="23">
        <v>1.8529892140850279</v>
      </c>
    </row>
    <row r="228" spans="13:17" x14ac:dyDescent="0.3">
      <c r="M228">
        <v>224</v>
      </c>
      <c r="N228" s="23">
        <f>'$ Portfolio Loss'!P228</f>
        <v>109.73432281316673</v>
      </c>
      <c r="P228">
        <v>58</v>
      </c>
      <c r="Q228" s="23">
        <v>1.7819744260414154</v>
      </c>
    </row>
    <row r="229" spans="13:17" x14ac:dyDescent="0.3">
      <c r="M229">
        <v>225</v>
      </c>
      <c r="N229" s="23">
        <f>'$ Portfolio Loss'!P229</f>
        <v>-34.425744366422805</v>
      </c>
      <c r="P229">
        <v>9</v>
      </c>
      <c r="Q229" s="23">
        <v>1.4634609149652533</v>
      </c>
    </row>
    <row r="230" spans="13:17" x14ac:dyDescent="0.3">
      <c r="M230">
        <v>226</v>
      </c>
      <c r="N230" s="23">
        <f>'$ Portfolio Loss'!P230</f>
        <v>-3.5647819181722298</v>
      </c>
      <c r="P230">
        <v>278</v>
      </c>
      <c r="Q230" s="23">
        <v>0.70909178558940766</v>
      </c>
    </row>
    <row r="231" spans="13:17" x14ac:dyDescent="0.3">
      <c r="M231">
        <v>227</v>
      </c>
      <c r="N231" s="23">
        <f>'$ Portfolio Loss'!P231</f>
        <v>38.27616588644014</v>
      </c>
      <c r="P231">
        <v>449</v>
      </c>
      <c r="Q231" s="23">
        <v>0.44905984225624707</v>
      </c>
    </row>
    <row r="232" spans="13:17" x14ac:dyDescent="0.3">
      <c r="M232">
        <v>228</v>
      </c>
      <c r="N232" s="23">
        <f>'$ Portfolio Loss'!P232</f>
        <v>-94.657580493374553</v>
      </c>
      <c r="P232">
        <v>105</v>
      </c>
      <c r="Q232" s="23">
        <v>0.23649982986171381</v>
      </c>
    </row>
    <row r="233" spans="13:17" x14ac:dyDescent="0.3">
      <c r="M233">
        <v>229</v>
      </c>
      <c r="N233" s="23">
        <f>'$ Portfolio Loss'!P233</f>
        <v>-52.448817519461954</v>
      </c>
      <c r="P233">
        <v>114</v>
      </c>
      <c r="Q233" s="23">
        <v>-0.33601569506026863</v>
      </c>
    </row>
    <row r="234" spans="13:17" x14ac:dyDescent="0.3">
      <c r="M234">
        <v>230</v>
      </c>
      <c r="N234" s="23">
        <f>'$ Portfolio Loss'!P234</f>
        <v>-61.47677791258684</v>
      </c>
      <c r="P234">
        <v>32</v>
      </c>
      <c r="Q234" s="23">
        <v>-0.33886560805149202</v>
      </c>
    </row>
    <row r="235" spans="13:17" x14ac:dyDescent="0.3">
      <c r="M235">
        <v>231</v>
      </c>
      <c r="N235" s="23">
        <f>'$ Portfolio Loss'!P235</f>
        <v>-117.28169354009697</v>
      </c>
      <c r="P235">
        <v>271</v>
      </c>
      <c r="Q235" s="23">
        <v>-0.43135555269691395</v>
      </c>
    </row>
    <row r="236" spans="13:17" x14ac:dyDescent="0.3">
      <c r="M236">
        <v>232</v>
      </c>
      <c r="N236" s="23">
        <f>'$ Portfolio Loss'!P236</f>
        <v>40.888291246759763</v>
      </c>
      <c r="P236">
        <v>276</v>
      </c>
      <c r="Q236" s="23">
        <v>-0.59982680961002188</v>
      </c>
    </row>
    <row r="237" spans="13:17" x14ac:dyDescent="0.3">
      <c r="M237">
        <v>233</v>
      </c>
      <c r="N237" s="23">
        <f>'$ Portfolio Loss'!P237</f>
        <v>-44.146733110228524</v>
      </c>
      <c r="P237">
        <v>206</v>
      </c>
      <c r="Q237" s="23">
        <v>-1.3346395127846336</v>
      </c>
    </row>
    <row r="238" spans="13:17" x14ac:dyDescent="0.3">
      <c r="M238">
        <v>234</v>
      </c>
      <c r="N238" s="23">
        <f>'$ Portfolio Loss'!P238</f>
        <v>25.389786076360906</v>
      </c>
      <c r="P238">
        <v>121</v>
      </c>
      <c r="Q238" s="23">
        <v>-1.5204650754149043</v>
      </c>
    </row>
    <row r="239" spans="13:17" x14ac:dyDescent="0.3">
      <c r="M239">
        <v>235</v>
      </c>
      <c r="N239" s="23">
        <f>'$ Portfolio Loss'!P239</f>
        <v>-69.003695399076605</v>
      </c>
      <c r="P239">
        <v>201</v>
      </c>
      <c r="Q239" s="23">
        <v>-2.0701306224036671</v>
      </c>
    </row>
    <row r="240" spans="13:17" x14ac:dyDescent="0.3">
      <c r="M240">
        <v>236</v>
      </c>
      <c r="N240" s="23">
        <f>'$ Portfolio Loss'!P240</f>
        <v>-40.275853876975816</v>
      </c>
      <c r="P240">
        <v>137</v>
      </c>
      <c r="Q240" s="23">
        <v>-3.2038330249015416</v>
      </c>
    </row>
    <row r="241" spans="13:17" x14ac:dyDescent="0.3">
      <c r="M241">
        <v>237</v>
      </c>
      <c r="N241" s="23">
        <f>'$ Portfolio Loss'!P241</f>
        <v>-108.93557571728707</v>
      </c>
      <c r="P241">
        <v>10</v>
      </c>
      <c r="Q241" s="23">
        <v>-3.4936483632282034</v>
      </c>
    </row>
    <row r="242" spans="13:17" x14ac:dyDescent="0.3">
      <c r="M242">
        <v>238</v>
      </c>
      <c r="N242" s="23">
        <f>'$ Portfolio Loss'!P242</f>
        <v>-7.3673042343962152</v>
      </c>
      <c r="P242">
        <v>103</v>
      </c>
      <c r="Q242" s="23">
        <v>-3.9244140645532752</v>
      </c>
    </row>
    <row r="243" spans="13:17" x14ac:dyDescent="0.3">
      <c r="M243">
        <v>239</v>
      </c>
      <c r="N243" s="23">
        <f>'$ Portfolio Loss'!P243</f>
        <v>41.755650860317473</v>
      </c>
      <c r="P243">
        <v>75</v>
      </c>
      <c r="Q243" s="23">
        <v>-4.1849374259491015</v>
      </c>
    </row>
    <row r="244" spans="13:17" x14ac:dyDescent="0.3">
      <c r="M244">
        <v>240</v>
      </c>
      <c r="N244" s="23">
        <f>'$ Portfolio Loss'!P244</f>
        <v>-48.162302115015336</v>
      </c>
      <c r="P244">
        <v>78</v>
      </c>
      <c r="Q244" s="23">
        <v>-4.4583025622141577</v>
      </c>
    </row>
    <row r="245" spans="13:17" x14ac:dyDescent="0.3">
      <c r="M245">
        <v>241</v>
      </c>
      <c r="N245" s="23">
        <f>'$ Portfolio Loss'!P245</f>
        <v>-36.790393534256509</v>
      </c>
      <c r="P245">
        <v>17</v>
      </c>
      <c r="Q245" s="23">
        <v>-4.6400185919192154</v>
      </c>
    </row>
    <row r="246" spans="13:17" x14ac:dyDescent="0.3">
      <c r="M246">
        <v>242</v>
      </c>
      <c r="N246" s="23">
        <f>'$ Portfolio Loss'!P246</f>
        <v>-125.14019823974741</v>
      </c>
      <c r="P246">
        <v>259</v>
      </c>
      <c r="Q246" s="23">
        <v>-5.1374011805855844</v>
      </c>
    </row>
    <row r="247" spans="13:17" x14ac:dyDescent="0.3">
      <c r="M247">
        <v>243</v>
      </c>
      <c r="N247" s="23">
        <f>'$ Portfolio Loss'!P247</f>
        <v>6.2079079042468948</v>
      </c>
      <c r="P247">
        <v>273</v>
      </c>
      <c r="Q247" s="23">
        <v>-5.2723923290577659</v>
      </c>
    </row>
    <row r="248" spans="13:17" x14ac:dyDescent="0.3">
      <c r="M248">
        <v>244</v>
      </c>
      <c r="N248" s="23">
        <f>'$ Portfolio Loss'!P248</f>
        <v>21.772331479098284</v>
      </c>
      <c r="P248">
        <v>52</v>
      </c>
      <c r="Q248" s="23">
        <v>-5.4413889364077477</v>
      </c>
    </row>
    <row r="249" spans="13:17" x14ac:dyDescent="0.3">
      <c r="M249">
        <v>245</v>
      </c>
      <c r="N249" s="23">
        <f>'$ Portfolio Loss'!P249</f>
        <v>-67.959902434193282</v>
      </c>
      <c r="P249">
        <v>177</v>
      </c>
      <c r="Q249" s="23">
        <v>-5.5035173167889297</v>
      </c>
    </row>
    <row r="250" spans="13:17" x14ac:dyDescent="0.3">
      <c r="M250">
        <v>246</v>
      </c>
      <c r="N250" s="23">
        <f>'$ Portfolio Loss'!P250</f>
        <v>-49.320172983607335</v>
      </c>
      <c r="P250">
        <v>403</v>
      </c>
      <c r="Q250" s="23">
        <v>-6.007165386374254</v>
      </c>
    </row>
    <row r="251" spans="13:17" x14ac:dyDescent="0.3">
      <c r="M251">
        <v>247</v>
      </c>
      <c r="N251" s="23">
        <f>'$ Portfolio Loss'!P251</f>
        <v>23.93402998464444</v>
      </c>
      <c r="P251">
        <v>220</v>
      </c>
      <c r="Q251" s="23">
        <v>-6.0358591263957351</v>
      </c>
    </row>
    <row r="252" spans="13:17" x14ac:dyDescent="0.3">
      <c r="M252">
        <v>248</v>
      </c>
      <c r="N252" s="23">
        <f>'$ Portfolio Loss'!P252</f>
        <v>-57.332730810081557</v>
      </c>
      <c r="P252">
        <v>119</v>
      </c>
      <c r="Q252" s="23">
        <v>-6.4197302430784475</v>
      </c>
    </row>
    <row r="253" spans="13:17" x14ac:dyDescent="0.3">
      <c r="M253">
        <v>249</v>
      </c>
      <c r="N253" s="23">
        <f>'$ Portfolio Loss'!P253</f>
        <v>-35.995063970292904</v>
      </c>
      <c r="P253">
        <v>38</v>
      </c>
      <c r="Q253" s="23">
        <v>-6.6937643040382682</v>
      </c>
    </row>
    <row r="254" spans="13:17" x14ac:dyDescent="0.3">
      <c r="M254">
        <v>250</v>
      </c>
      <c r="N254" s="23">
        <f>'$ Portfolio Loss'!P254</f>
        <v>20.002174339670091</v>
      </c>
      <c r="P254">
        <v>452</v>
      </c>
      <c r="Q254" s="23">
        <v>-8.1462033985335438</v>
      </c>
    </row>
    <row r="255" spans="13:17" x14ac:dyDescent="0.3">
      <c r="M255">
        <v>251</v>
      </c>
      <c r="N255" s="23">
        <f>'$ Portfolio Loss'!P255</f>
        <v>82.379958337965945</v>
      </c>
      <c r="P255">
        <v>35</v>
      </c>
      <c r="Q255" s="23">
        <v>-8.616613316722578</v>
      </c>
    </row>
    <row r="256" spans="13:17" x14ac:dyDescent="0.3">
      <c r="M256">
        <v>252</v>
      </c>
      <c r="N256" s="23">
        <f>'$ Portfolio Loss'!P256</f>
        <v>-26.705082490581844</v>
      </c>
      <c r="P256">
        <v>188</v>
      </c>
      <c r="Q256" s="23">
        <v>-8.7478310943079123</v>
      </c>
    </row>
    <row r="257" spans="13:17" x14ac:dyDescent="0.3">
      <c r="M257">
        <v>253</v>
      </c>
      <c r="N257" s="23">
        <f>'$ Portfolio Loss'!P257</f>
        <v>-15.221324290630946</v>
      </c>
      <c r="P257">
        <v>81</v>
      </c>
      <c r="Q257" s="23">
        <v>-8.8821702295517753</v>
      </c>
    </row>
    <row r="258" spans="13:17" x14ac:dyDescent="0.3">
      <c r="M258">
        <v>254</v>
      </c>
      <c r="N258" s="23">
        <f>'$ Portfolio Loss'!P258</f>
        <v>-120.31890074843977</v>
      </c>
      <c r="P258">
        <v>126</v>
      </c>
      <c r="Q258" s="23">
        <v>-9.5966861060205702</v>
      </c>
    </row>
    <row r="259" spans="13:17" x14ac:dyDescent="0.3">
      <c r="M259">
        <v>255</v>
      </c>
      <c r="N259" s="23">
        <f>'$ Portfolio Loss'!P259</f>
        <v>-7.7489758796236856</v>
      </c>
      <c r="P259">
        <v>319</v>
      </c>
      <c r="Q259" s="23">
        <v>-9.6947138114010158</v>
      </c>
    </row>
    <row r="260" spans="13:17" x14ac:dyDescent="0.3">
      <c r="M260">
        <v>256</v>
      </c>
      <c r="N260" s="23">
        <f>'$ Portfolio Loss'!P260</f>
        <v>36.601375665964952</v>
      </c>
      <c r="P260">
        <v>128</v>
      </c>
      <c r="Q260" s="23">
        <v>-10.060958693735301</v>
      </c>
    </row>
    <row r="261" spans="13:17" x14ac:dyDescent="0.3">
      <c r="M261">
        <v>257</v>
      </c>
      <c r="N261" s="23">
        <f>'$ Portfolio Loss'!P261</f>
        <v>-102.54875409264787</v>
      </c>
      <c r="P261">
        <v>183</v>
      </c>
      <c r="Q261" s="23">
        <v>-10.928159052871706</v>
      </c>
    </row>
    <row r="262" spans="13:17" x14ac:dyDescent="0.3">
      <c r="M262">
        <v>258</v>
      </c>
      <c r="N262" s="23">
        <f>'$ Portfolio Loss'!P262</f>
        <v>62.522773557580877</v>
      </c>
      <c r="P262">
        <v>71</v>
      </c>
      <c r="Q262" s="23">
        <v>-11.13527216859984</v>
      </c>
    </row>
    <row r="263" spans="13:17" x14ac:dyDescent="0.3">
      <c r="M263">
        <v>259</v>
      </c>
      <c r="N263" s="23">
        <f>'$ Portfolio Loss'!P263</f>
        <v>-89.259710943288155</v>
      </c>
      <c r="P263">
        <v>50</v>
      </c>
      <c r="Q263" s="23">
        <v>-11.623861471038254</v>
      </c>
    </row>
    <row r="264" spans="13:17" x14ac:dyDescent="0.3">
      <c r="M264">
        <v>260</v>
      </c>
      <c r="N264" s="23">
        <f>'$ Portfolio Loss'!P264</f>
        <v>-14.482688394935394</v>
      </c>
      <c r="P264">
        <v>112</v>
      </c>
      <c r="Q264" s="23">
        <v>-12.034638440785784</v>
      </c>
    </row>
    <row r="265" spans="13:17" x14ac:dyDescent="0.3">
      <c r="M265">
        <v>261</v>
      </c>
      <c r="N265" s="23">
        <f>'$ Portfolio Loss'!P265</f>
        <v>-55.322086822550773</v>
      </c>
      <c r="P265">
        <v>262</v>
      </c>
      <c r="Q265" s="23">
        <v>-12.257379044964182</v>
      </c>
    </row>
    <row r="266" spans="13:17" x14ac:dyDescent="0.3">
      <c r="M266">
        <v>262</v>
      </c>
      <c r="N266" s="23">
        <f>'$ Portfolio Loss'!P266</f>
        <v>14.538794883119408</v>
      </c>
      <c r="P266">
        <v>391</v>
      </c>
      <c r="Q266" s="23">
        <v>-12.620304011297776</v>
      </c>
    </row>
    <row r="267" spans="13:17" x14ac:dyDescent="0.3">
      <c r="M267">
        <v>263</v>
      </c>
      <c r="N267" s="23">
        <f>'$ Portfolio Loss'!P267</f>
        <v>-10.378978243094025</v>
      </c>
      <c r="P267">
        <v>82</v>
      </c>
      <c r="Q267" s="23">
        <v>-13.028391473817464</v>
      </c>
    </row>
    <row r="268" spans="13:17" x14ac:dyDescent="0.3">
      <c r="M268">
        <v>264</v>
      </c>
      <c r="N268" s="23">
        <f>'$ Portfolio Loss'!P268</f>
        <v>-29.803417358309162</v>
      </c>
      <c r="P268">
        <v>83</v>
      </c>
      <c r="Q268" s="23">
        <v>-13.035131610502503</v>
      </c>
    </row>
    <row r="269" spans="13:17" x14ac:dyDescent="0.3">
      <c r="M269">
        <v>265</v>
      </c>
      <c r="N269" s="23">
        <f>'$ Portfolio Loss'!P269</f>
        <v>34.24880495731486</v>
      </c>
      <c r="P269">
        <v>179</v>
      </c>
      <c r="Q269" s="23">
        <v>-13.134468178559473</v>
      </c>
    </row>
    <row r="270" spans="13:17" x14ac:dyDescent="0.3">
      <c r="M270">
        <v>266</v>
      </c>
      <c r="N270" s="23">
        <f>'$ Portfolio Loss'!P270</f>
        <v>-68.033238075740883</v>
      </c>
      <c r="P270">
        <v>178</v>
      </c>
      <c r="Q270" s="23">
        <v>-13.33799947585976</v>
      </c>
    </row>
    <row r="271" spans="13:17" x14ac:dyDescent="0.3">
      <c r="M271">
        <v>267</v>
      </c>
      <c r="N271" s="23">
        <f>'$ Portfolio Loss'!P271</f>
        <v>18.806459961455403</v>
      </c>
      <c r="P271">
        <v>282</v>
      </c>
      <c r="Q271" s="23">
        <v>-13.45111875816292</v>
      </c>
    </row>
    <row r="272" spans="13:17" x14ac:dyDescent="0.3">
      <c r="M272">
        <v>268</v>
      </c>
      <c r="N272" s="23">
        <f>'$ Portfolio Loss'!P272</f>
        <v>5.9407545811372984</v>
      </c>
      <c r="P272">
        <v>139</v>
      </c>
      <c r="Q272" s="23">
        <v>-13.571945598456296</v>
      </c>
    </row>
    <row r="273" spans="13:17" x14ac:dyDescent="0.3">
      <c r="M273">
        <v>269</v>
      </c>
      <c r="N273" s="23">
        <f>'$ Portfolio Loss'!P273</f>
        <v>7.2050746429449646</v>
      </c>
      <c r="P273">
        <v>269</v>
      </c>
      <c r="Q273" s="23">
        <v>-13.672494114376605</v>
      </c>
    </row>
    <row r="274" spans="13:17" x14ac:dyDescent="0.3">
      <c r="M274">
        <v>270</v>
      </c>
      <c r="N274" s="23">
        <f>'$ Portfolio Loss'!P274</f>
        <v>63.068125247333228</v>
      </c>
      <c r="P274">
        <v>217</v>
      </c>
      <c r="Q274" s="23">
        <v>-13.688613149442972</v>
      </c>
    </row>
    <row r="275" spans="13:17" x14ac:dyDescent="0.3">
      <c r="M275">
        <v>271</v>
      </c>
      <c r="N275" s="23">
        <f>'$ Portfolio Loss'!P275</f>
        <v>86.250604041802944</v>
      </c>
      <c r="P275">
        <v>265</v>
      </c>
      <c r="Q275" s="23">
        <v>-14.006158840382341</v>
      </c>
    </row>
    <row r="276" spans="13:17" x14ac:dyDescent="0.3">
      <c r="M276">
        <v>272</v>
      </c>
      <c r="N276" s="23">
        <f>'$ Portfolio Loss'!P276</f>
        <v>-90.770430343285625</v>
      </c>
      <c r="P276">
        <v>42</v>
      </c>
      <c r="Q276" s="23">
        <v>-14.157178247020056</v>
      </c>
    </row>
    <row r="277" spans="13:17" x14ac:dyDescent="0.3">
      <c r="M277">
        <v>273</v>
      </c>
      <c r="N277" s="23">
        <f>'$ Portfolio Loss'!P277</f>
        <v>-85.641726371777622</v>
      </c>
      <c r="P277">
        <v>440</v>
      </c>
      <c r="Q277" s="23">
        <v>-14.21794143016632</v>
      </c>
    </row>
    <row r="278" spans="13:17" x14ac:dyDescent="0.3">
      <c r="M278">
        <v>274</v>
      </c>
      <c r="N278" s="23">
        <f>'$ Portfolio Loss'!P278</f>
        <v>-3.4326126710911922</v>
      </c>
      <c r="P278" s="3">
        <v>1</v>
      </c>
      <c r="Q278" s="23">
        <v>-14.333845846786062</v>
      </c>
    </row>
    <row r="279" spans="13:17" x14ac:dyDescent="0.3">
      <c r="M279">
        <v>275</v>
      </c>
      <c r="N279" s="23">
        <f>'$ Portfolio Loss'!P279</f>
        <v>10.314538499658738</v>
      </c>
      <c r="P279">
        <v>325</v>
      </c>
      <c r="Q279" s="23">
        <v>-15.054667460277415</v>
      </c>
    </row>
    <row r="280" spans="13:17" x14ac:dyDescent="0.3">
      <c r="M280">
        <v>276</v>
      </c>
      <c r="N280" s="23">
        <f>'$ Portfolio Loss'!P280</f>
        <v>-24.903608893977434</v>
      </c>
      <c r="P280">
        <v>104</v>
      </c>
      <c r="Q280" s="23">
        <v>-15.184368780563091</v>
      </c>
    </row>
    <row r="281" spans="13:17" x14ac:dyDescent="0.3">
      <c r="M281">
        <v>277</v>
      </c>
      <c r="N281" s="23">
        <f>'$ Portfolio Loss'!P281</f>
        <v>-22.175317823957812</v>
      </c>
      <c r="P281">
        <v>67</v>
      </c>
      <c r="Q281" s="23">
        <v>-16.651966867533702</v>
      </c>
    </row>
    <row r="282" spans="13:17" x14ac:dyDescent="0.3">
      <c r="M282">
        <v>278</v>
      </c>
      <c r="N282" s="23">
        <f>'$ Portfolio Loss'!P282</f>
        <v>-9.1403179779972561</v>
      </c>
      <c r="P282">
        <v>88</v>
      </c>
      <c r="Q282" s="23">
        <v>-16.786090860134209</v>
      </c>
    </row>
    <row r="283" spans="13:17" x14ac:dyDescent="0.3">
      <c r="M283">
        <v>279</v>
      </c>
      <c r="N283" s="23">
        <f>'$ Portfolio Loss'!P283</f>
        <v>-14.410315273691594</v>
      </c>
      <c r="P283">
        <v>417</v>
      </c>
      <c r="Q283" s="23">
        <v>-16.95838501997423</v>
      </c>
    </row>
    <row r="284" spans="13:17" x14ac:dyDescent="0.3">
      <c r="M284">
        <v>280</v>
      </c>
      <c r="N284" s="23">
        <f>'$ Portfolio Loss'!P284</f>
        <v>0.40374211849848507</v>
      </c>
      <c r="P284">
        <v>106</v>
      </c>
      <c r="Q284" s="23">
        <v>-17.083152395780417</v>
      </c>
    </row>
    <row r="285" spans="13:17" x14ac:dyDescent="0.3">
      <c r="M285">
        <v>281</v>
      </c>
      <c r="N285" s="23">
        <f>'$ Portfolio Loss'!P285</f>
        <v>82.201550892541491</v>
      </c>
      <c r="P285">
        <v>157</v>
      </c>
      <c r="Q285" s="23">
        <v>-17.112599983236578</v>
      </c>
    </row>
    <row r="286" spans="13:17" x14ac:dyDescent="0.3">
      <c r="M286">
        <v>282</v>
      </c>
      <c r="N286" s="23">
        <f>'$ Portfolio Loss'!P286</f>
        <v>48.645573271143803</v>
      </c>
      <c r="P286">
        <v>348</v>
      </c>
      <c r="Q286" s="23">
        <v>-17.607200365346216</v>
      </c>
    </row>
    <row r="287" spans="13:17" x14ac:dyDescent="0.3">
      <c r="M287">
        <v>283</v>
      </c>
      <c r="N287" s="23">
        <f>'$ Portfolio Loss'!P287</f>
        <v>-53.909495988971685</v>
      </c>
      <c r="P287">
        <v>148</v>
      </c>
      <c r="Q287" s="23">
        <v>-18.338979438556635</v>
      </c>
    </row>
    <row r="288" spans="13:17" x14ac:dyDescent="0.3">
      <c r="M288">
        <v>284</v>
      </c>
      <c r="N288" s="23">
        <f>'$ Portfolio Loss'!P288</f>
        <v>-18.387759195109538</v>
      </c>
      <c r="P288">
        <v>164</v>
      </c>
      <c r="Q288" s="23">
        <v>-18.389969444422604</v>
      </c>
    </row>
    <row r="289" spans="13:17" x14ac:dyDescent="0.3">
      <c r="M289">
        <v>285</v>
      </c>
      <c r="N289" s="23">
        <f>'$ Portfolio Loss'!P289</f>
        <v>-11.484567133295059</v>
      </c>
      <c r="P289">
        <v>154</v>
      </c>
      <c r="Q289" s="23">
        <v>-18.467002946790672</v>
      </c>
    </row>
    <row r="290" spans="13:17" x14ac:dyDescent="0.3">
      <c r="M290">
        <v>286</v>
      </c>
      <c r="N290" s="23">
        <f>'$ Portfolio Loss'!P290</f>
        <v>-67.065740348876716</v>
      </c>
      <c r="P290">
        <v>281</v>
      </c>
      <c r="Q290" s="23">
        <v>-18.917522829353402</v>
      </c>
    </row>
    <row r="291" spans="13:17" x14ac:dyDescent="0.3">
      <c r="M291">
        <v>287</v>
      </c>
      <c r="N291" s="23">
        <f>'$ Portfolio Loss'!P291</f>
        <v>-48.610286785504286</v>
      </c>
      <c r="P291">
        <v>22</v>
      </c>
      <c r="Q291" s="23">
        <v>-19.194093364632863</v>
      </c>
    </row>
    <row r="292" spans="13:17" x14ac:dyDescent="0.3">
      <c r="M292">
        <v>288</v>
      </c>
      <c r="N292" s="23">
        <f>'$ Portfolio Loss'!P292</f>
        <v>-63.150536027260387</v>
      </c>
      <c r="P292">
        <v>160</v>
      </c>
      <c r="Q292" s="23">
        <v>-19.283651127965641</v>
      </c>
    </row>
    <row r="293" spans="13:17" x14ac:dyDescent="0.3">
      <c r="M293">
        <v>289</v>
      </c>
      <c r="N293" s="23">
        <f>'$ Portfolio Loss'!P293</f>
        <v>-36.804291232285323</v>
      </c>
      <c r="P293">
        <v>57</v>
      </c>
      <c r="Q293" s="23">
        <v>-19.352773235268614</v>
      </c>
    </row>
    <row r="294" spans="13:17" x14ac:dyDescent="0.3">
      <c r="M294">
        <v>290</v>
      </c>
      <c r="N294" s="23">
        <f>'$ Portfolio Loss'!P294</f>
        <v>8.3153629000007641</v>
      </c>
      <c r="P294">
        <v>191</v>
      </c>
      <c r="Q294" s="23">
        <v>-19.379801340328413</v>
      </c>
    </row>
    <row r="295" spans="13:17" x14ac:dyDescent="0.3">
      <c r="M295">
        <v>291</v>
      </c>
      <c r="N295" s="23">
        <f>'$ Portfolio Loss'!P295</f>
        <v>-34.982295117612011</v>
      </c>
      <c r="P295">
        <v>64</v>
      </c>
      <c r="Q295" s="23">
        <v>-19.415605987642266</v>
      </c>
    </row>
    <row r="296" spans="13:17" x14ac:dyDescent="0.3">
      <c r="M296">
        <v>292</v>
      </c>
      <c r="N296" s="23">
        <f>'$ Portfolio Loss'!P296</f>
        <v>-49.05882360569376</v>
      </c>
      <c r="P296">
        <v>25</v>
      </c>
      <c r="Q296" s="23">
        <v>-19.510947806711556</v>
      </c>
    </row>
    <row r="297" spans="13:17" x14ac:dyDescent="0.3">
      <c r="M297">
        <v>293</v>
      </c>
      <c r="N297" s="23">
        <f>'$ Portfolio Loss'!P297</f>
        <v>17.397965652337007</v>
      </c>
      <c r="P297">
        <v>342</v>
      </c>
      <c r="Q297" s="23">
        <v>-20.033656398172752</v>
      </c>
    </row>
    <row r="298" spans="13:17" x14ac:dyDescent="0.3">
      <c r="M298">
        <v>294</v>
      </c>
      <c r="N298" s="23">
        <f>'$ Portfolio Loss'!P298</f>
        <v>-26.560055783031203</v>
      </c>
      <c r="P298">
        <v>484</v>
      </c>
      <c r="Q298" s="23">
        <v>-20.522650078688457</v>
      </c>
    </row>
    <row r="299" spans="13:17" x14ac:dyDescent="0.3">
      <c r="M299">
        <v>295</v>
      </c>
      <c r="N299" s="23">
        <f>'$ Portfolio Loss'!P299</f>
        <v>18.403546818222821</v>
      </c>
      <c r="P299">
        <v>323</v>
      </c>
      <c r="Q299" s="23">
        <v>-20.764147184278045</v>
      </c>
    </row>
    <row r="300" spans="13:17" x14ac:dyDescent="0.3">
      <c r="M300">
        <v>296</v>
      </c>
      <c r="N300" s="23">
        <f>'$ Portfolio Loss'!P300</f>
        <v>-61.026016443292974</v>
      </c>
      <c r="P300">
        <v>68</v>
      </c>
      <c r="Q300" s="23">
        <v>-21.114468667277833</v>
      </c>
    </row>
    <row r="301" spans="13:17" x14ac:dyDescent="0.3">
      <c r="M301">
        <v>297</v>
      </c>
      <c r="N301" s="23">
        <f>'$ Portfolio Loss'!P301</f>
        <v>1.3127267946056236</v>
      </c>
      <c r="P301">
        <v>400</v>
      </c>
      <c r="Q301" s="23">
        <v>-21.25965081686445</v>
      </c>
    </row>
    <row r="302" spans="13:17" x14ac:dyDescent="0.3">
      <c r="M302">
        <v>298</v>
      </c>
      <c r="N302" s="23">
        <f>'$ Portfolio Loss'!P302</f>
        <v>-71.52896332419914</v>
      </c>
      <c r="P302">
        <v>229</v>
      </c>
      <c r="Q302" s="23">
        <v>-22.879467183294764</v>
      </c>
    </row>
    <row r="303" spans="13:17" x14ac:dyDescent="0.3">
      <c r="M303">
        <v>299</v>
      </c>
      <c r="N303" s="23">
        <f>'$ Portfolio Loss'!P303</f>
        <v>-11.112894381794831</v>
      </c>
      <c r="P303">
        <v>99</v>
      </c>
      <c r="Q303" s="23">
        <v>-24.443139439557854</v>
      </c>
    </row>
    <row r="304" spans="13:17" x14ac:dyDescent="0.3">
      <c r="M304">
        <v>300</v>
      </c>
      <c r="N304" s="23">
        <f>'$ Portfolio Loss'!P304</f>
        <v>17.386125055019875</v>
      </c>
      <c r="P304">
        <v>422</v>
      </c>
      <c r="Q304" s="23">
        <v>-24.64124471978721</v>
      </c>
    </row>
    <row r="305" spans="13:17" x14ac:dyDescent="0.3">
      <c r="M305">
        <v>301</v>
      </c>
      <c r="N305" s="23">
        <f>'$ Portfolio Loss'!P305</f>
        <v>0.67644708195257408</v>
      </c>
      <c r="P305">
        <v>394</v>
      </c>
      <c r="Q305" s="23">
        <v>-25.009852140188741</v>
      </c>
    </row>
    <row r="306" spans="13:17" x14ac:dyDescent="0.3">
      <c r="M306">
        <v>302</v>
      </c>
      <c r="N306" s="23">
        <f>'$ Portfolio Loss'!P306</f>
        <v>-50.409786365011314</v>
      </c>
      <c r="P306">
        <v>245</v>
      </c>
      <c r="Q306" s="23">
        <v>-25.412998720625183</v>
      </c>
    </row>
    <row r="307" spans="13:17" x14ac:dyDescent="0.3">
      <c r="M307">
        <v>303</v>
      </c>
      <c r="N307" s="23">
        <f>'$ Portfolio Loss'!P307</f>
        <v>19.094349068360316</v>
      </c>
      <c r="P307">
        <v>140</v>
      </c>
      <c r="Q307" s="23">
        <v>-25.760347409866881</v>
      </c>
    </row>
    <row r="308" spans="13:17" x14ac:dyDescent="0.3">
      <c r="M308">
        <v>304</v>
      </c>
      <c r="N308" s="23">
        <f>'$ Portfolio Loss'!P308</f>
        <v>-13.70966895631318</v>
      </c>
      <c r="P308">
        <v>398</v>
      </c>
      <c r="Q308" s="23">
        <v>-26.257890194990978</v>
      </c>
    </row>
    <row r="309" spans="13:17" x14ac:dyDescent="0.3">
      <c r="M309">
        <v>305</v>
      </c>
      <c r="N309" s="23">
        <f>'$ Portfolio Loss'!P309</f>
        <v>-10.386546996887773</v>
      </c>
      <c r="P309">
        <v>446</v>
      </c>
      <c r="Q309" s="23">
        <v>-26.953923379511252</v>
      </c>
    </row>
    <row r="310" spans="13:17" x14ac:dyDescent="0.3">
      <c r="M310">
        <v>306</v>
      </c>
      <c r="N310" s="23">
        <f>'$ Portfolio Loss'!P310</f>
        <v>-78.808815361735469</v>
      </c>
      <c r="P310">
        <v>2</v>
      </c>
      <c r="Q310" s="23">
        <v>-27.481313121183121</v>
      </c>
    </row>
    <row r="311" spans="13:17" x14ac:dyDescent="0.3">
      <c r="M311">
        <v>307</v>
      </c>
      <c r="N311" s="23">
        <f>'$ Portfolio Loss'!P311</f>
        <v>10.615133239331044</v>
      </c>
      <c r="P311">
        <v>253</v>
      </c>
      <c r="Q311" s="23">
        <v>-27.537054396740132</v>
      </c>
    </row>
    <row r="312" spans="13:17" x14ac:dyDescent="0.3">
      <c r="M312">
        <v>308</v>
      </c>
      <c r="N312" s="23">
        <f>'$ Portfolio Loss'!P312</f>
        <v>21.532016823588492</v>
      </c>
      <c r="P312">
        <v>30</v>
      </c>
      <c r="Q312" s="23">
        <v>-27.563594064231438</v>
      </c>
    </row>
    <row r="313" spans="13:17" x14ac:dyDescent="0.3">
      <c r="M313">
        <v>309</v>
      </c>
      <c r="N313" s="23">
        <f>'$ Portfolio Loss'!P313</f>
        <v>19.227158033665546</v>
      </c>
      <c r="P313">
        <v>152</v>
      </c>
      <c r="Q313" s="23">
        <v>-27.580576552636558</v>
      </c>
    </row>
    <row r="314" spans="13:17" x14ac:dyDescent="0.3">
      <c r="M314">
        <v>310</v>
      </c>
      <c r="N314" s="23">
        <f>'$ Portfolio Loss'!P314</f>
        <v>-57.800448959269488</v>
      </c>
      <c r="P314">
        <v>85</v>
      </c>
      <c r="Q314" s="23">
        <v>-27.998862234138869</v>
      </c>
    </row>
    <row r="315" spans="13:17" x14ac:dyDescent="0.3">
      <c r="M315">
        <v>311</v>
      </c>
      <c r="N315" s="23">
        <f>'$ Portfolio Loss'!P315</f>
        <v>148.35981160301344</v>
      </c>
      <c r="P315">
        <v>161</v>
      </c>
      <c r="Q315" s="23">
        <v>-28.16301842215762</v>
      </c>
    </row>
    <row r="316" spans="13:17" x14ac:dyDescent="0.3">
      <c r="M316">
        <v>312</v>
      </c>
      <c r="N316" s="23">
        <f>'$ Portfolio Loss'!P316</f>
        <v>65.442250766938741</v>
      </c>
      <c r="P316">
        <v>163</v>
      </c>
      <c r="Q316" s="23">
        <v>-29.010528001514103</v>
      </c>
    </row>
    <row r="317" spans="13:17" x14ac:dyDescent="0.3">
      <c r="M317">
        <v>313</v>
      </c>
      <c r="N317" s="23">
        <f>'$ Portfolio Loss'!P317</f>
        <v>71.213317762561928</v>
      </c>
      <c r="P317">
        <v>264</v>
      </c>
      <c r="Q317" s="23">
        <v>-29.036673953758509</v>
      </c>
    </row>
    <row r="318" spans="13:17" x14ac:dyDescent="0.3">
      <c r="M318">
        <v>314</v>
      </c>
      <c r="N318" s="23">
        <f>'$ Portfolio Loss'!P318</f>
        <v>118.01198535061849</v>
      </c>
      <c r="P318">
        <v>53</v>
      </c>
      <c r="Q318" s="23">
        <v>-29.056974134075062</v>
      </c>
    </row>
    <row r="319" spans="13:17" x14ac:dyDescent="0.3">
      <c r="M319">
        <v>315</v>
      </c>
      <c r="N319" s="23">
        <f>'$ Portfolio Loss'!P319</f>
        <v>-11.899681596962182</v>
      </c>
      <c r="P319">
        <v>45</v>
      </c>
      <c r="Q319" s="23">
        <v>-29.532715783610911</v>
      </c>
    </row>
    <row r="320" spans="13:17" x14ac:dyDescent="0.3">
      <c r="M320">
        <v>316</v>
      </c>
      <c r="N320" s="23">
        <f>'$ Portfolio Loss'!P320</f>
        <v>131.22681431817909</v>
      </c>
      <c r="P320">
        <v>340</v>
      </c>
      <c r="Q320" s="23">
        <v>-30.009037800353326</v>
      </c>
    </row>
    <row r="321" spans="13:17" x14ac:dyDescent="0.3">
      <c r="M321">
        <v>317</v>
      </c>
      <c r="N321" s="23">
        <f>'$ Portfolio Loss'!P321</f>
        <v>-5.5279141175051336</v>
      </c>
      <c r="P321">
        <v>158</v>
      </c>
      <c r="Q321" s="23">
        <v>-30.237860242097668</v>
      </c>
    </row>
    <row r="322" spans="13:17" x14ac:dyDescent="0.3">
      <c r="M322">
        <v>318</v>
      </c>
      <c r="N322" s="23">
        <f>'$ Portfolio Loss'!P322</f>
        <v>-66.840456465444731</v>
      </c>
      <c r="P322">
        <v>91</v>
      </c>
      <c r="Q322" s="23">
        <v>-30.354514659193228</v>
      </c>
    </row>
    <row r="323" spans="13:17" x14ac:dyDescent="0.3">
      <c r="M323">
        <v>319</v>
      </c>
      <c r="N323" s="23">
        <f>'$ Portfolio Loss'!P323</f>
        <v>-6.72847324054419</v>
      </c>
      <c r="P323">
        <v>49</v>
      </c>
      <c r="Q323" s="23">
        <v>-30.354713149718009</v>
      </c>
    </row>
    <row r="324" spans="13:17" x14ac:dyDescent="0.3">
      <c r="M324">
        <v>320</v>
      </c>
      <c r="N324" s="23">
        <f>'$ Portfolio Loss'!P324</f>
        <v>54.093013986324877</v>
      </c>
      <c r="P324">
        <v>275</v>
      </c>
      <c r="Q324" s="23">
        <v>-30.508755038787058</v>
      </c>
    </row>
    <row r="325" spans="13:17" x14ac:dyDescent="0.3">
      <c r="M325">
        <v>321</v>
      </c>
      <c r="N325" s="23">
        <f>'$ Portfolio Loss'!P325</f>
        <v>53.273848375334637</v>
      </c>
      <c r="P325">
        <v>387</v>
      </c>
      <c r="Q325" s="23">
        <v>-30.636991289376965</v>
      </c>
    </row>
    <row r="326" spans="13:17" x14ac:dyDescent="0.3">
      <c r="M326">
        <v>322</v>
      </c>
      <c r="N326" s="23">
        <f>'$ Portfolio Loss'!P326</f>
        <v>-21.177109074047621</v>
      </c>
      <c r="P326">
        <v>97</v>
      </c>
      <c r="Q326" s="23">
        <v>-30.665729418145929</v>
      </c>
    </row>
    <row r="327" spans="13:17" x14ac:dyDescent="0.3">
      <c r="M327">
        <v>323</v>
      </c>
      <c r="N327" s="23">
        <f>'$ Portfolio Loss'!P327</f>
        <v>20.034431456484526</v>
      </c>
      <c r="P327">
        <v>86</v>
      </c>
      <c r="Q327" s="23">
        <v>-30.692508565602111</v>
      </c>
    </row>
    <row r="328" spans="13:17" x14ac:dyDescent="0.3">
      <c r="M328">
        <v>324</v>
      </c>
      <c r="N328" s="23">
        <f>'$ Portfolio Loss'!P328</f>
        <v>103.24903214799815</v>
      </c>
      <c r="P328">
        <v>39</v>
      </c>
      <c r="Q328" s="23">
        <v>-30.718953504145247</v>
      </c>
    </row>
    <row r="329" spans="13:17" x14ac:dyDescent="0.3">
      <c r="M329">
        <v>325</v>
      </c>
      <c r="N329" s="23">
        <f>'$ Portfolio Loss'!P329</f>
        <v>-24.091495004433455</v>
      </c>
      <c r="P329">
        <v>113</v>
      </c>
      <c r="Q329" s="23">
        <v>-31.479918573591931</v>
      </c>
    </row>
    <row r="330" spans="13:17" x14ac:dyDescent="0.3">
      <c r="M330">
        <v>326</v>
      </c>
      <c r="N330" s="23">
        <f>'$ Portfolio Loss'!P330</f>
        <v>58.912575328900857</v>
      </c>
      <c r="P330">
        <v>184</v>
      </c>
      <c r="Q330" s="23">
        <v>-31.527477930518216</v>
      </c>
    </row>
    <row r="331" spans="13:17" x14ac:dyDescent="0.3">
      <c r="M331">
        <v>327</v>
      </c>
      <c r="N331" s="23">
        <f>'$ Portfolio Loss'!P331</f>
        <v>31.543246450291917</v>
      </c>
      <c r="P331">
        <v>130</v>
      </c>
      <c r="Q331" s="23">
        <v>-31.613709141718573</v>
      </c>
    </row>
    <row r="332" spans="13:17" x14ac:dyDescent="0.3">
      <c r="M332">
        <v>328</v>
      </c>
      <c r="N332" s="23">
        <f>'$ Portfolio Loss'!P332</f>
        <v>9.2399462853300065</v>
      </c>
      <c r="P332">
        <v>224</v>
      </c>
      <c r="Q332" s="23">
        <v>-32.265038773743072</v>
      </c>
    </row>
    <row r="333" spans="13:17" x14ac:dyDescent="0.3">
      <c r="M333">
        <v>329</v>
      </c>
      <c r="N333" s="23">
        <f>'$ Portfolio Loss'!P333</f>
        <v>-6.9518506001149944</v>
      </c>
      <c r="P333">
        <v>411</v>
      </c>
      <c r="Q333" s="23">
        <v>-32.549451291259174</v>
      </c>
    </row>
    <row r="334" spans="13:17" x14ac:dyDescent="0.3">
      <c r="M334">
        <v>330</v>
      </c>
      <c r="N334" s="23">
        <f>'$ Portfolio Loss'!P334</f>
        <v>62.542507324087637</v>
      </c>
      <c r="P334">
        <v>80</v>
      </c>
      <c r="Q334" s="23">
        <v>-33.403954754152437</v>
      </c>
    </row>
    <row r="335" spans="13:17" x14ac:dyDescent="0.3">
      <c r="M335">
        <v>331</v>
      </c>
      <c r="N335" s="23">
        <f>'$ Portfolio Loss'!P335</f>
        <v>-63.239636382711979</v>
      </c>
      <c r="P335">
        <v>118</v>
      </c>
      <c r="Q335" s="23">
        <v>-33.783181555247211</v>
      </c>
    </row>
    <row r="336" spans="13:17" x14ac:dyDescent="0.3">
      <c r="M336">
        <v>332</v>
      </c>
      <c r="N336" s="23">
        <f>'$ Portfolio Loss'!P336</f>
        <v>-18.719046196336421</v>
      </c>
      <c r="P336">
        <v>456</v>
      </c>
      <c r="Q336" s="23">
        <v>-33.959334209002918</v>
      </c>
    </row>
    <row r="337" spans="13:17" x14ac:dyDescent="0.3">
      <c r="M337">
        <v>333</v>
      </c>
      <c r="N337" s="23">
        <f>'$ Portfolio Loss'!P337</f>
        <v>-78.5593046463473</v>
      </c>
      <c r="P337">
        <v>267</v>
      </c>
      <c r="Q337" s="23">
        <v>-34.128894425808539</v>
      </c>
    </row>
    <row r="338" spans="13:17" x14ac:dyDescent="0.3">
      <c r="M338">
        <v>334</v>
      </c>
      <c r="N338" s="23">
        <f>'$ Portfolio Loss'!P338</f>
        <v>-71.370085995065892</v>
      </c>
      <c r="P338">
        <v>129</v>
      </c>
      <c r="Q338" s="23">
        <v>-34.153395280160112</v>
      </c>
    </row>
    <row r="339" spans="13:17" x14ac:dyDescent="0.3">
      <c r="M339">
        <v>335</v>
      </c>
      <c r="N339" s="23">
        <f>'$ Portfolio Loss'!P339</f>
        <v>-146.15318819911408</v>
      </c>
      <c r="P339">
        <v>122</v>
      </c>
      <c r="Q339" s="23">
        <v>-34.202845761765275</v>
      </c>
    </row>
    <row r="340" spans="13:17" x14ac:dyDescent="0.3">
      <c r="M340">
        <v>336</v>
      </c>
      <c r="N340" s="23">
        <f>'$ Portfolio Loss'!P340</f>
        <v>-42.986773908603936</v>
      </c>
      <c r="P340">
        <v>462</v>
      </c>
      <c r="Q340" s="23">
        <v>-34.357751776678924</v>
      </c>
    </row>
    <row r="341" spans="13:17" x14ac:dyDescent="0.3">
      <c r="M341">
        <v>337</v>
      </c>
      <c r="N341" s="23">
        <f>'$ Portfolio Loss'!P341</f>
        <v>57.93807964230291</v>
      </c>
      <c r="P341">
        <v>172</v>
      </c>
      <c r="Q341" s="23">
        <v>-34.640081170209669</v>
      </c>
    </row>
    <row r="342" spans="13:17" x14ac:dyDescent="0.3">
      <c r="M342">
        <v>338</v>
      </c>
      <c r="N342" s="23">
        <f>'$ Portfolio Loss'!P342</f>
        <v>-2.2007859069690312</v>
      </c>
      <c r="P342">
        <v>215</v>
      </c>
      <c r="Q342" s="23">
        <v>-35.975568635960371</v>
      </c>
    </row>
    <row r="343" spans="13:17" x14ac:dyDescent="0.3">
      <c r="M343">
        <v>339</v>
      </c>
      <c r="N343" s="23">
        <f>'$ Portfolio Loss'!P343</f>
        <v>37.496635907196833</v>
      </c>
      <c r="P343">
        <v>407</v>
      </c>
      <c r="Q343" s="23">
        <v>-36.498168872129099</v>
      </c>
    </row>
    <row r="344" spans="13:17" x14ac:dyDescent="0.3">
      <c r="M344">
        <v>340</v>
      </c>
      <c r="N344" s="23">
        <f>'$ Portfolio Loss'!P344</f>
        <v>-65.706545562494284</v>
      </c>
      <c r="P344">
        <v>214</v>
      </c>
      <c r="Q344" s="23">
        <v>-36.875677484218613</v>
      </c>
    </row>
    <row r="345" spans="13:17" x14ac:dyDescent="0.3">
      <c r="M345">
        <v>341</v>
      </c>
      <c r="N345" s="23">
        <f>'$ Portfolio Loss'!P345</f>
        <v>-47.821081958229115</v>
      </c>
      <c r="P345">
        <v>187</v>
      </c>
      <c r="Q345" s="23">
        <v>-37.80919532673397</v>
      </c>
    </row>
    <row r="346" spans="13:17" x14ac:dyDescent="0.3">
      <c r="M346">
        <v>342</v>
      </c>
      <c r="N346" s="23">
        <f>'$ Portfolio Loss'!P346</f>
        <v>-69.907869799681066</v>
      </c>
      <c r="P346">
        <v>48</v>
      </c>
      <c r="Q346" s="23">
        <v>-38.648464319790946</v>
      </c>
    </row>
    <row r="347" spans="13:17" x14ac:dyDescent="0.3">
      <c r="M347">
        <v>343</v>
      </c>
      <c r="N347" s="23">
        <f>'$ Portfolio Loss'!P347</f>
        <v>-123.44505447413394</v>
      </c>
      <c r="P347">
        <v>77</v>
      </c>
      <c r="Q347" s="23">
        <v>-39.16113813710399</v>
      </c>
    </row>
    <row r="348" spans="13:17" x14ac:dyDescent="0.3">
      <c r="M348">
        <v>344</v>
      </c>
      <c r="N348" s="23">
        <f>'$ Portfolio Loss'!P348</f>
        <v>2.318591569282944</v>
      </c>
      <c r="P348">
        <v>354</v>
      </c>
      <c r="Q348" s="23">
        <v>-39.368034350552989</v>
      </c>
    </row>
    <row r="349" spans="13:17" x14ac:dyDescent="0.3">
      <c r="M349">
        <v>345</v>
      </c>
      <c r="N349" s="23">
        <f>'$ Portfolio Loss'!P349</f>
        <v>30.969467443077519</v>
      </c>
      <c r="P349">
        <v>388</v>
      </c>
      <c r="Q349" s="23">
        <v>-39.490674680917436</v>
      </c>
    </row>
    <row r="350" spans="13:17" x14ac:dyDescent="0.3">
      <c r="M350">
        <v>346</v>
      </c>
      <c r="N350" s="23">
        <f>'$ Portfolio Loss'!P350</f>
        <v>51.148101873071937</v>
      </c>
      <c r="P350">
        <v>51</v>
      </c>
      <c r="Q350" s="23">
        <v>-39.990846268887253</v>
      </c>
    </row>
    <row r="351" spans="13:17" x14ac:dyDescent="0.3">
      <c r="M351">
        <v>347</v>
      </c>
      <c r="N351" s="23">
        <f>'$ Portfolio Loss'!P351</f>
        <v>6.7941941750032129</v>
      </c>
      <c r="P351">
        <v>196</v>
      </c>
      <c r="Q351" s="23">
        <v>-40.625824018541607</v>
      </c>
    </row>
    <row r="352" spans="13:17" x14ac:dyDescent="0.3">
      <c r="M352">
        <v>348</v>
      </c>
      <c r="N352" s="23">
        <f>'$ Portfolio Loss'!P352</f>
        <v>-47.992830127421257</v>
      </c>
      <c r="P352">
        <v>29</v>
      </c>
      <c r="Q352" s="23">
        <v>-40.800685004453044</v>
      </c>
    </row>
    <row r="353" spans="13:17" x14ac:dyDescent="0.3">
      <c r="M353">
        <v>349</v>
      </c>
      <c r="N353" s="23">
        <f>'$ Portfolio Loss'!P353</f>
        <v>-46.490236621384611</v>
      </c>
      <c r="P353">
        <v>79</v>
      </c>
      <c r="Q353" s="23">
        <v>-41.554448926759505</v>
      </c>
    </row>
    <row r="354" spans="13:17" x14ac:dyDescent="0.3">
      <c r="M354">
        <v>350</v>
      </c>
      <c r="N354" s="23">
        <f>'$ Portfolio Loss'!P354</f>
        <v>-56.072363333432804</v>
      </c>
      <c r="P354">
        <v>124</v>
      </c>
      <c r="Q354" s="23">
        <v>-41.630820383274113</v>
      </c>
    </row>
    <row r="355" spans="13:17" x14ac:dyDescent="0.3">
      <c r="M355">
        <v>351</v>
      </c>
      <c r="N355" s="23">
        <f>'$ Portfolio Loss'!P355</f>
        <v>-61.986227575675002</v>
      </c>
      <c r="P355">
        <v>209</v>
      </c>
      <c r="Q355" s="23">
        <v>-41.854274050367167</v>
      </c>
    </row>
    <row r="356" spans="13:17" x14ac:dyDescent="0.3">
      <c r="M356">
        <v>352</v>
      </c>
      <c r="N356" s="23">
        <f>'$ Portfolio Loss'!P356</f>
        <v>-11.748956064722734</v>
      </c>
      <c r="P356">
        <v>60</v>
      </c>
      <c r="Q356" s="23">
        <v>-42.253586212715163</v>
      </c>
    </row>
    <row r="357" spans="13:17" x14ac:dyDescent="0.3">
      <c r="M357">
        <v>353</v>
      </c>
      <c r="N357" s="23">
        <f>'$ Portfolio Loss'!P357</f>
        <v>24.480307340751096</v>
      </c>
      <c r="P357">
        <v>479</v>
      </c>
      <c r="Q357" s="23">
        <v>-42.643079682384268</v>
      </c>
    </row>
    <row r="358" spans="13:17" x14ac:dyDescent="0.3">
      <c r="M358">
        <v>354</v>
      </c>
      <c r="N358" s="23">
        <f>'$ Portfolio Loss'!P358</f>
        <v>82.351789582846322</v>
      </c>
      <c r="P358">
        <v>54</v>
      </c>
      <c r="Q358" s="23">
        <v>-42.755986519845464</v>
      </c>
    </row>
    <row r="359" spans="13:17" x14ac:dyDescent="0.3">
      <c r="M359">
        <v>355</v>
      </c>
      <c r="N359" s="23">
        <f>'$ Portfolio Loss'!P359</f>
        <v>21.486835573465214</v>
      </c>
      <c r="P359">
        <v>251</v>
      </c>
      <c r="Q359" s="23">
        <v>-42.876090784016924</v>
      </c>
    </row>
    <row r="360" spans="13:17" x14ac:dyDescent="0.3">
      <c r="M360">
        <v>356</v>
      </c>
      <c r="N360" s="23">
        <f>'$ Portfolio Loss'!P360</f>
        <v>-12.665358205827943</v>
      </c>
      <c r="P360">
        <v>174</v>
      </c>
      <c r="Q360" s="23">
        <v>-43.574626298803196</v>
      </c>
    </row>
    <row r="361" spans="13:17" x14ac:dyDescent="0.3">
      <c r="M361">
        <v>357</v>
      </c>
      <c r="N361" s="23">
        <f>'$ Portfolio Loss'!P361</f>
        <v>-38.13463916701221</v>
      </c>
      <c r="P361">
        <v>210</v>
      </c>
      <c r="Q361" s="23">
        <v>-43.592971778736683</v>
      </c>
    </row>
    <row r="362" spans="13:17" x14ac:dyDescent="0.3">
      <c r="M362">
        <v>358</v>
      </c>
      <c r="N362" s="23">
        <f>'$ Portfolio Loss'!P362</f>
        <v>-10.239649408225887</v>
      </c>
      <c r="P362">
        <v>176</v>
      </c>
      <c r="Q362" s="23">
        <v>-44.188821497291428</v>
      </c>
    </row>
    <row r="363" spans="13:17" x14ac:dyDescent="0.3">
      <c r="M363">
        <v>359</v>
      </c>
      <c r="N363" s="23">
        <f>'$ Portfolio Loss'!P363</f>
        <v>-36.044709850335494</v>
      </c>
      <c r="P363">
        <v>26</v>
      </c>
      <c r="Q363" s="23">
        <v>-44.431147138187953</v>
      </c>
    </row>
    <row r="364" spans="13:17" x14ac:dyDescent="0.3">
      <c r="M364">
        <v>360</v>
      </c>
      <c r="N364" s="23">
        <f>'$ Portfolio Loss'!P364</f>
        <v>-9.7707250556213694</v>
      </c>
      <c r="P364">
        <v>108</v>
      </c>
      <c r="Q364" s="23">
        <v>-44.488959818489093</v>
      </c>
    </row>
    <row r="365" spans="13:17" x14ac:dyDescent="0.3">
      <c r="M365">
        <v>361</v>
      </c>
      <c r="N365" s="23">
        <f>'$ Portfolio Loss'!P365</f>
        <v>75.639754229416212</v>
      </c>
      <c r="P365">
        <v>212</v>
      </c>
      <c r="Q365" s="23">
        <v>-45.074079105233977</v>
      </c>
    </row>
    <row r="366" spans="13:17" x14ac:dyDescent="0.3">
      <c r="M366">
        <v>362</v>
      </c>
      <c r="N366" s="23">
        <f>'$ Portfolio Loss'!P366</f>
        <v>5.1240437290980481</v>
      </c>
      <c r="P366">
        <v>156</v>
      </c>
      <c r="Q366" s="23">
        <v>-45.905282390114735</v>
      </c>
    </row>
    <row r="367" spans="13:17" x14ac:dyDescent="0.3">
      <c r="M367">
        <v>363</v>
      </c>
      <c r="N367" s="23">
        <f>'$ Portfolio Loss'!P367</f>
        <v>3.9210081967721635</v>
      </c>
      <c r="P367">
        <v>66</v>
      </c>
      <c r="Q367" s="23">
        <v>-46.517793514769437</v>
      </c>
    </row>
    <row r="368" spans="13:17" x14ac:dyDescent="0.3">
      <c r="M368">
        <v>364</v>
      </c>
      <c r="N368" s="23">
        <f>'$ Portfolio Loss'!P368</f>
        <v>-21.98160118375381</v>
      </c>
      <c r="P368">
        <v>230</v>
      </c>
      <c r="Q368" s="23">
        <v>-47.126729810268444</v>
      </c>
    </row>
    <row r="369" spans="13:17" x14ac:dyDescent="0.3">
      <c r="M369">
        <v>365</v>
      </c>
      <c r="N369" s="23">
        <f>'$ Portfolio Loss'!P369</f>
        <v>-80.721208106333506</v>
      </c>
      <c r="P369">
        <v>301</v>
      </c>
      <c r="Q369" s="23">
        <v>-47.275092825513639</v>
      </c>
    </row>
    <row r="370" spans="13:17" x14ac:dyDescent="0.3">
      <c r="M370">
        <v>366</v>
      </c>
      <c r="N370" s="23">
        <f>'$ Portfolio Loss'!P370</f>
        <v>-54.682773939590334</v>
      </c>
      <c r="P370">
        <v>274</v>
      </c>
      <c r="Q370" s="23">
        <v>-48.730538840065492</v>
      </c>
    </row>
    <row r="371" spans="13:17" x14ac:dyDescent="0.3">
      <c r="M371">
        <v>367</v>
      </c>
      <c r="N371" s="23">
        <f>'$ Portfolio Loss'!P371</f>
        <v>7.6359337618996506</v>
      </c>
      <c r="P371">
        <v>169</v>
      </c>
      <c r="Q371" s="23">
        <v>-48.761662085873468</v>
      </c>
    </row>
    <row r="372" spans="13:17" x14ac:dyDescent="0.3">
      <c r="M372">
        <v>368</v>
      </c>
      <c r="N372" s="23">
        <f>'$ Portfolio Loss'!P372</f>
        <v>3.5425946430150361</v>
      </c>
      <c r="P372">
        <v>414</v>
      </c>
      <c r="Q372" s="23">
        <v>-48.954795306113738</v>
      </c>
    </row>
    <row r="373" spans="13:17" x14ac:dyDescent="0.3">
      <c r="M373">
        <v>369</v>
      </c>
      <c r="N373" s="23">
        <f>'$ Portfolio Loss'!P373</f>
        <v>31.832818162431067</v>
      </c>
      <c r="P373">
        <v>355</v>
      </c>
      <c r="Q373" s="23">
        <v>-49.039497274665337</v>
      </c>
    </row>
    <row r="374" spans="13:17" x14ac:dyDescent="0.3">
      <c r="M374">
        <v>370</v>
      </c>
      <c r="N374" s="23">
        <f>'$ Portfolio Loss'!P374</f>
        <v>27.63698473570912</v>
      </c>
      <c r="P374">
        <v>277</v>
      </c>
      <c r="Q374" s="23">
        <v>-49.126327506590314</v>
      </c>
    </row>
    <row r="375" spans="13:17" x14ac:dyDescent="0.3">
      <c r="M375">
        <v>371</v>
      </c>
      <c r="N375" s="23">
        <f>'$ Portfolio Loss'!P375</f>
        <v>46.881997397573286</v>
      </c>
      <c r="P375">
        <v>37</v>
      </c>
      <c r="Q375" s="23">
        <v>-49.14354850359814</v>
      </c>
    </row>
    <row r="376" spans="13:17" x14ac:dyDescent="0.3">
      <c r="M376">
        <v>372</v>
      </c>
      <c r="N376" s="23">
        <f>'$ Portfolio Loss'!P376</f>
        <v>97.491790212785418</v>
      </c>
      <c r="P376">
        <v>386</v>
      </c>
      <c r="Q376" s="23">
        <v>-49.309537910001382</v>
      </c>
    </row>
    <row r="377" spans="13:17" x14ac:dyDescent="0.3">
      <c r="M377">
        <v>373</v>
      </c>
      <c r="N377" s="23">
        <f>'$ Portfolio Loss'!P377</f>
        <v>120.13492984050026</v>
      </c>
      <c r="P377">
        <v>470</v>
      </c>
      <c r="Q377" s="23">
        <v>-49.350959462975879</v>
      </c>
    </row>
    <row r="378" spans="13:17" x14ac:dyDescent="0.3">
      <c r="M378">
        <v>374</v>
      </c>
      <c r="N378" s="23">
        <f>'$ Portfolio Loss'!P378</f>
        <v>226.9763257771483</v>
      </c>
      <c r="P378">
        <v>474</v>
      </c>
      <c r="Q378" s="23">
        <v>-50.812771020027867</v>
      </c>
    </row>
    <row r="379" spans="13:17" x14ac:dyDescent="0.3">
      <c r="M379">
        <v>375</v>
      </c>
      <c r="N379" s="23">
        <f>'$ Portfolio Loss'!P379</f>
        <v>-4.8215970909950556</v>
      </c>
      <c r="P379">
        <v>190</v>
      </c>
      <c r="Q379" s="23">
        <v>-51.633162864827682</v>
      </c>
    </row>
    <row r="380" spans="13:17" x14ac:dyDescent="0.3">
      <c r="M380">
        <v>376</v>
      </c>
      <c r="N380" s="23">
        <f>'$ Portfolio Loss'!P380</f>
        <v>-66.845870180441125</v>
      </c>
      <c r="P380">
        <v>234</v>
      </c>
      <c r="Q380" s="23">
        <v>-51.636043203981899</v>
      </c>
    </row>
    <row r="381" spans="13:17" x14ac:dyDescent="0.3">
      <c r="M381">
        <v>377</v>
      </c>
      <c r="N381" s="23">
        <f>'$ Portfolio Loss'!P381</f>
        <v>-73.785546109198549</v>
      </c>
      <c r="P381">
        <v>478</v>
      </c>
      <c r="Q381" s="23">
        <v>-51.849046228880979</v>
      </c>
    </row>
    <row r="382" spans="13:17" x14ac:dyDescent="0.3">
      <c r="M382">
        <v>378</v>
      </c>
      <c r="N382" s="23">
        <f>'$ Portfolio Loss'!P382</f>
        <v>77.340378506802153</v>
      </c>
      <c r="P382">
        <v>19</v>
      </c>
      <c r="Q382" s="23">
        <v>-51.870780668539737</v>
      </c>
    </row>
    <row r="383" spans="13:17" x14ac:dyDescent="0.3">
      <c r="M383">
        <v>379</v>
      </c>
      <c r="N383" s="23">
        <f>'$ Portfolio Loss'!P383</f>
        <v>67.711990227668139</v>
      </c>
      <c r="P383">
        <v>16</v>
      </c>
      <c r="Q383" s="23">
        <v>-51.929993037734675</v>
      </c>
    </row>
    <row r="384" spans="13:17" x14ac:dyDescent="0.3">
      <c r="M384">
        <v>380</v>
      </c>
      <c r="N384" s="23">
        <f>'$ Portfolio Loss'!P384</f>
        <v>-0.92461317281413358</v>
      </c>
      <c r="P384">
        <v>189</v>
      </c>
      <c r="Q384" s="23">
        <v>-52.192617955526657</v>
      </c>
    </row>
    <row r="385" spans="13:17" x14ac:dyDescent="0.3">
      <c r="M385">
        <v>381</v>
      </c>
      <c r="N385" s="23">
        <f>'$ Portfolio Loss'!P385</f>
        <v>135.72321012450811</v>
      </c>
      <c r="P385">
        <v>421</v>
      </c>
      <c r="Q385" s="23">
        <v>-52.625510077576109</v>
      </c>
    </row>
    <row r="386" spans="13:17" x14ac:dyDescent="0.3">
      <c r="M386">
        <v>382</v>
      </c>
      <c r="N386" s="23">
        <f>'$ Portfolio Loss'!P386</f>
        <v>-1.5264783645034186</v>
      </c>
      <c r="P386">
        <v>181</v>
      </c>
      <c r="Q386" s="23">
        <v>-52.638077186262308</v>
      </c>
    </row>
    <row r="387" spans="13:17" x14ac:dyDescent="0.3">
      <c r="M387">
        <v>383</v>
      </c>
      <c r="N387" s="23">
        <f>'$ Portfolio Loss'!P387</f>
        <v>-101.16648459841599</v>
      </c>
      <c r="P387">
        <v>413</v>
      </c>
      <c r="Q387" s="23">
        <v>-53.103458921050333</v>
      </c>
    </row>
    <row r="388" spans="13:17" x14ac:dyDescent="0.3">
      <c r="M388">
        <v>384</v>
      </c>
      <c r="N388" s="23">
        <f>'$ Portfolio Loss'!P388</f>
        <v>-94.314899560125923</v>
      </c>
      <c r="P388">
        <v>443</v>
      </c>
      <c r="Q388" s="23">
        <v>-53.31587297360602</v>
      </c>
    </row>
    <row r="389" spans="13:17" x14ac:dyDescent="0.3">
      <c r="M389">
        <v>385</v>
      </c>
      <c r="N389" s="23">
        <f>'$ Portfolio Loss'!P389</f>
        <v>50.882254436219228</v>
      </c>
      <c r="P389">
        <v>426</v>
      </c>
      <c r="Q389" s="23">
        <v>-53.925840280364355</v>
      </c>
    </row>
    <row r="390" spans="13:17" x14ac:dyDescent="0.3">
      <c r="M390">
        <v>386</v>
      </c>
      <c r="N390" s="23">
        <f>'$ Portfolio Loss'!P390</f>
        <v>-54.296571668201068</v>
      </c>
      <c r="P390">
        <v>308</v>
      </c>
      <c r="Q390" s="23">
        <v>-53.929405415899964</v>
      </c>
    </row>
    <row r="391" spans="13:17" x14ac:dyDescent="0.3">
      <c r="M391">
        <v>387</v>
      </c>
      <c r="N391" s="23">
        <f>'$ Portfolio Loss'!P391</f>
        <v>18.128821944152151</v>
      </c>
      <c r="P391">
        <v>311</v>
      </c>
      <c r="Q391" s="23">
        <v>-54.160290329495183</v>
      </c>
    </row>
    <row r="392" spans="13:17" x14ac:dyDescent="0.3">
      <c r="M392">
        <v>388</v>
      </c>
      <c r="N392" s="23">
        <f>'$ Portfolio Loss'!P392</f>
        <v>111.6685927713097</v>
      </c>
      <c r="P392">
        <v>33</v>
      </c>
      <c r="Q392" s="23">
        <v>-54.388348120268347</v>
      </c>
    </row>
    <row r="393" spans="13:17" x14ac:dyDescent="0.3">
      <c r="M393">
        <v>389</v>
      </c>
      <c r="N393" s="23">
        <f>'$ Portfolio Loss'!P393</f>
        <v>47.658805699786171</v>
      </c>
      <c r="P393">
        <v>46</v>
      </c>
      <c r="Q393" s="23">
        <v>-54.468400729452696</v>
      </c>
    </row>
    <row r="394" spans="13:17" x14ac:dyDescent="0.3">
      <c r="M394">
        <v>390</v>
      </c>
      <c r="N394" s="23">
        <f>'$ Portfolio Loss'!P394</f>
        <v>-12.196408355042877</v>
      </c>
      <c r="P394">
        <v>260</v>
      </c>
      <c r="Q394" s="23">
        <v>-54.56320213721483</v>
      </c>
    </row>
    <row r="395" spans="13:17" x14ac:dyDescent="0.3">
      <c r="M395">
        <v>391</v>
      </c>
      <c r="N395" s="23">
        <f>'$ Portfolio Loss'!P395</f>
        <v>-45.456983885202135</v>
      </c>
      <c r="P395">
        <v>316</v>
      </c>
      <c r="Q395" s="23">
        <v>-54.64850474900777</v>
      </c>
    </row>
    <row r="396" spans="13:17" x14ac:dyDescent="0.3">
      <c r="M396">
        <v>392</v>
      </c>
      <c r="N396" s="23">
        <f>'$ Portfolio Loss'!P396</f>
        <v>-67.673864083053559</v>
      </c>
      <c r="P396">
        <v>87</v>
      </c>
      <c r="Q396" s="23">
        <v>-54.83099058980406</v>
      </c>
    </row>
    <row r="397" spans="13:17" x14ac:dyDescent="0.3">
      <c r="M397">
        <v>393</v>
      </c>
      <c r="N397" s="23">
        <f>'$ Portfolio Loss'!P397</f>
        <v>-42.502698805903492</v>
      </c>
      <c r="P397">
        <v>287</v>
      </c>
      <c r="Q397" s="23">
        <v>-55.69907411186432</v>
      </c>
    </row>
    <row r="398" spans="13:17" x14ac:dyDescent="0.3">
      <c r="M398">
        <v>394</v>
      </c>
      <c r="N398" s="23">
        <f>'$ Portfolio Loss'!P398</f>
        <v>65.230333076477109</v>
      </c>
      <c r="P398">
        <v>18</v>
      </c>
      <c r="Q398" s="23">
        <v>-56.357542835272397</v>
      </c>
    </row>
    <row r="399" spans="13:17" x14ac:dyDescent="0.3">
      <c r="M399">
        <v>395</v>
      </c>
      <c r="N399" s="23">
        <f>'$ Portfolio Loss'!P399</f>
        <v>-29.04128729428885</v>
      </c>
      <c r="P399">
        <v>101</v>
      </c>
      <c r="Q399" s="23">
        <v>-56.5370993110173</v>
      </c>
    </row>
    <row r="400" spans="13:17" x14ac:dyDescent="0.3">
      <c r="M400">
        <v>396</v>
      </c>
      <c r="N400" s="23">
        <f>'$ Portfolio Loss'!P400</f>
        <v>-159.82527856132583</v>
      </c>
      <c r="P400">
        <v>72</v>
      </c>
      <c r="Q400" s="23">
        <v>-56.734803804652984</v>
      </c>
    </row>
    <row r="401" spans="13:17" x14ac:dyDescent="0.3">
      <c r="M401">
        <v>397</v>
      </c>
      <c r="N401" s="23">
        <f>'$ Portfolio Loss'!P401</f>
        <v>-18.562607575804577</v>
      </c>
      <c r="P401">
        <v>15</v>
      </c>
      <c r="Q401" s="23">
        <v>-57.041293595386378</v>
      </c>
    </row>
    <row r="402" spans="13:17" x14ac:dyDescent="0.3">
      <c r="M402">
        <v>398</v>
      </c>
      <c r="N402" s="23">
        <f>'$ Portfolio Loss'!P402</f>
        <v>-61.697542276444437</v>
      </c>
      <c r="P402">
        <v>235</v>
      </c>
      <c r="Q402" s="23">
        <v>-57.361210607934481</v>
      </c>
    </row>
    <row r="403" spans="13:17" x14ac:dyDescent="0.3">
      <c r="M403">
        <v>399</v>
      </c>
      <c r="N403" s="23">
        <f>'$ Portfolio Loss'!P403</f>
        <v>-12.917521512114035</v>
      </c>
      <c r="P403">
        <v>368</v>
      </c>
      <c r="Q403" s="23">
        <v>-57.59784257080355</v>
      </c>
    </row>
    <row r="404" spans="13:17" x14ac:dyDescent="0.3">
      <c r="M404">
        <v>400</v>
      </c>
      <c r="N404" s="23">
        <f>'$ Portfolio Loss'!P404</f>
        <v>-32.972840392661965</v>
      </c>
      <c r="P404">
        <v>247</v>
      </c>
      <c r="Q404" s="23">
        <v>-58.087907901919607</v>
      </c>
    </row>
    <row r="405" spans="13:17" x14ac:dyDescent="0.3">
      <c r="M405">
        <v>401</v>
      </c>
      <c r="N405" s="23">
        <f>'$ Portfolio Loss'!P405</f>
        <v>-82.787975343178914</v>
      </c>
      <c r="P405">
        <v>44</v>
      </c>
      <c r="Q405" s="23">
        <v>-61.699657502689661</v>
      </c>
    </row>
    <row r="406" spans="13:17" x14ac:dyDescent="0.3">
      <c r="M406">
        <v>402</v>
      </c>
      <c r="N406" s="23">
        <f>'$ Portfolio Loss'!P406</f>
        <v>-3.3921996143089928</v>
      </c>
      <c r="P406">
        <v>255</v>
      </c>
      <c r="Q406" s="23">
        <v>-61.820294132339768</v>
      </c>
    </row>
    <row r="407" spans="13:17" x14ac:dyDescent="0.3">
      <c r="M407">
        <v>403</v>
      </c>
      <c r="N407" s="23">
        <f>'$ Portfolio Loss'!P407</f>
        <v>-40.768016787827946</v>
      </c>
      <c r="P407">
        <v>219</v>
      </c>
      <c r="Q407" s="23">
        <v>-61.839156814225134</v>
      </c>
    </row>
    <row r="408" spans="13:17" x14ac:dyDescent="0.3">
      <c r="M408">
        <v>404</v>
      </c>
      <c r="N408" s="23">
        <f>'$ Portfolio Loss'!P408</f>
        <v>20.160332983850822</v>
      </c>
      <c r="P408">
        <v>109</v>
      </c>
      <c r="Q408" s="23">
        <v>-61.854301423270954</v>
      </c>
    </row>
    <row r="409" spans="13:17" x14ac:dyDescent="0.3">
      <c r="M409">
        <v>405</v>
      </c>
      <c r="N409" s="23">
        <f>'$ Portfolio Loss'!P409</f>
        <v>62.040037966264208</v>
      </c>
      <c r="P409">
        <v>295</v>
      </c>
      <c r="Q409" s="23">
        <v>-62.108956579337246</v>
      </c>
    </row>
    <row r="410" spans="13:17" x14ac:dyDescent="0.3">
      <c r="M410">
        <v>406</v>
      </c>
      <c r="N410" s="23">
        <f>'$ Portfolio Loss'!P410</f>
        <v>-11.028375910926115</v>
      </c>
      <c r="P410">
        <v>327</v>
      </c>
      <c r="Q410" s="23">
        <v>-63.098206046608539</v>
      </c>
    </row>
    <row r="411" spans="13:17" x14ac:dyDescent="0.3">
      <c r="M411">
        <v>407</v>
      </c>
      <c r="N411" s="23">
        <f>'$ Portfolio Loss'!P411</f>
        <v>14.122441934709059</v>
      </c>
      <c r="P411">
        <v>5</v>
      </c>
      <c r="Q411" s="23">
        <v>-63.635125298076673</v>
      </c>
    </row>
    <row r="412" spans="13:17" x14ac:dyDescent="0.3">
      <c r="M412">
        <v>408</v>
      </c>
      <c r="N412" s="23">
        <f>'$ Portfolio Loss'!P412</f>
        <v>-8.0178639760870283</v>
      </c>
      <c r="P412">
        <v>433</v>
      </c>
      <c r="Q412" s="23">
        <v>-64.430016567246639</v>
      </c>
    </row>
    <row r="413" spans="13:17" x14ac:dyDescent="0.3">
      <c r="M413">
        <v>409</v>
      </c>
      <c r="N413" s="23">
        <f>'$ Portfolio Loss'!P413</f>
        <v>85.948748993903791</v>
      </c>
      <c r="P413">
        <v>317</v>
      </c>
      <c r="Q413" s="23">
        <v>-64.506650788591287</v>
      </c>
    </row>
    <row r="414" spans="13:17" x14ac:dyDescent="0.3">
      <c r="M414">
        <v>410</v>
      </c>
      <c r="N414" s="23">
        <f>'$ Portfolio Loss'!P414</f>
        <v>-14.455337339792095</v>
      </c>
      <c r="P414">
        <v>244</v>
      </c>
      <c r="Q414" s="23">
        <v>-65.244727420282288</v>
      </c>
    </row>
    <row r="415" spans="13:17" x14ac:dyDescent="0.3">
      <c r="M415">
        <v>411</v>
      </c>
      <c r="N415" s="23">
        <f>'$ Portfolio Loss'!P415</f>
        <v>82.784639291330677</v>
      </c>
      <c r="P415">
        <v>482</v>
      </c>
      <c r="Q415" s="23">
        <v>-65.382288528113349</v>
      </c>
    </row>
    <row r="416" spans="13:17" x14ac:dyDescent="0.3">
      <c r="M416">
        <v>412</v>
      </c>
      <c r="N416" s="23">
        <f>'$ Portfolio Loss'!P416</f>
        <v>14.83914786366222</v>
      </c>
      <c r="P416">
        <v>211</v>
      </c>
      <c r="Q416" s="23">
        <v>-65.823117159405228</v>
      </c>
    </row>
    <row r="417" spans="13:17" x14ac:dyDescent="0.3">
      <c r="M417">
        <v>413</v>
      </c>
      <c r="N417" s="23">
        <f>'$ Portfolio Loss'!P417</f>
        <v>-42.023480715561163</v>
      </c>
      <c r="P417">
        <v>198</v>
      </c>
      <c r="Q417" s="23">
        <v>-66.175228287527716</v>
      </c>
    </row>
    <row r="418" spans="13:17" x14ac:dyDescent="0.3">
      <c r="M418">
        <v>414</v>
      </c>
      <c r="N418" s="23">
        <f>'$ Portfolio Loss'!P418</f>
        <v>45.41588796790893</v>
      </c>
      <c r="P418">
        <v>468</v>
      </c>
      <c r="Q418" s="23">
        <v>-66.715413849906327</v>
      </c>
    </row>
    <row r="419" spans="13:17" x14ac:dyDescent="0.3">
      <c r="M419">
        <v>415</v>
      </c>
      <c r="N419" s="23">
        <f>'$ Portfolio Loss'!P419</f>
        <v>122.17676990102154</v>
      </c>
      <c r="P419">
        <v>432</v>
      </c>
      <c r="Q419" s="23">
        <v>-68.949333618164019</v>
      </c>
    </row>
    <row r="420" spans="13:17" x14ac:dyDescent="0.3">
      <c r="M420">
        <v>416</v>
      </c>
      <c r="N420" s="23">
        <f>'$ Portfolio Loss'!P420</f>
        <v>-32.235273064254216</v>
      </c>
      <c r="P420">
        <v>232</v>
      </c>
      <c r="Q420" s="23">
        <v>-69.73312924108177</v>
      </c>
    </row>
    <row r="421" spans="13:17" x14ac:dyDescent="0.3">
      <c r="M421">
        <v>417</v>
      </c>
      <c r="N421" s="23">
        <f>'$ Portfolio Loss'!P421</f>
        <v>-17.226117058848104</v>
      </c>
      <c r="P421">
        <v>40</v>
      </c>
      <c r="Q421" s="23">
        <v>-69.73347489632215</v>
      </c>
    </row>
    <row r="422" spans="13:17" x14ac:dyDescent="0.3">
      <c r="M422">
        <v>418</v>
      </c>
      <c r="N422" s="23">
        <f>'$ Portfolio Loss'!P422</f>
        <v>-29.493453907487492</v>
      </c>
      <c r="P422">
        <v>458</v>
      </c>
      <c r="Q422" s="23">
        <v>-70.121141757776059</v>
      </c>
    </row>
    <row r="423" spans="13:17" x14ac:dyDescent="0.3">
      <c r="M423">
        <v>419</v>
      </c>
      <c r="N423" s="23">
        <f>'$ Portfolio Loss'!P423</f>
        <v>122.27976669996679</v>
      </c>
      <c r="P423">
        <v>250</v>
      </c>
      <c r="Q423" s="23">
        <v>-70.661347876699438</v>
      </c>
    </row>
    <row r="424" spans="13:17" x14ac:dyDescent="0.3">
      <c r="M424">
        <v>420</v>
      </c>
      <c r="N424" s="23">
        <f>'$ Portfolio Loss'!P424</f>
        <v>-45.425148246118624</v>
      </c>
      <c r="P424">
        <v>248</v>
      </c>
      <c r="Q424" s="23">
        <v>-70.899575864106737</v>
      </c>
    </row>
    <row r="425" spans="13:17" x14ac:dyDescent="0.3">
      <c r="M425">
        <v>421</v>
      </c>
      <c r="N425" s="23">
        <f>'$ Portfolio Loss'!P425</f>
        <v>-110.39226092801437</v>
      </c>
      <c r="P425">
        <v>315</v>
      </c>
      <c r="Q425" s="23">
        <v>-71.381076541454604</v>
      </c>
    </row>
    <row r="426" spans="13:17" x14ac:dyDescent="0.3">
      <c r="M426">
        <v>422</v>
      </c>
      <c r="N426" s="23">
        <f>'$ Portfolio Loss'!P426</f>
        <v>-132.72137228944484</v>
      </c>
      <c r="P426">
        <v>454</v>
      </c>
      <c r="Q426" s="23">
        <v>-71.403934052552358</v>
      </c>
    </row>
    <row r="427" spans="13:17" x14ac:dyDescent="0.3">
      <c r="M427">
        <v>423</v>
      </c>
      <c r="N427" s="23">
        <f>'$ Portfolio Loss'!P427</f>
        <v>-37.005160831489775</v>
      </c>
      <c r="P427">
        <v>289</v>
      </c>
      <c r="Q427" s="23">
        <v>-73.109402634596336</v>
      </c>
    </row>
    <row r="428" spans="13:17" x14ac:dyDescent="0.3">
      <c r="M428">
        <v>424</v>
      </c>
      <c r="N428" s="23">
        <f>'$ Portfolio Loss'!P428</f>
        <v>-57.308360526807519</v>
      </c>
      <c r="P428">
        <v>222</v>
      </c>
      <c r="Q428" s="23">
        <v>-74.574024710238518</v>
      </c>
    </row>
    <row r="429" spans="13:17" x14ac:dyDescent="0.3">
      <c r="M429">
        <v>425</v>
      </c>
      <c r="N429" s="23">
        <f>'$ Portfolio Loss'!P429</f>
        <v>-22.580773548461366</v>
      </c>
      <c r="P429">
        <v>310</v>
      </c>
      <c r="Q429" s="23">
        <v>-74.876668628279731</v>
      </c>
    </row>
    <row r="430" spans="13:17" x14ac:dyDescent="0.3">
      <c r="M430">
        <v>426</v>
      </c>
      <c r="N430" s="23">
        <f>'$ Portfolio Loss'!P430</f>
        <v>19.50450231179093</v>
      </c>
      <c r="P430">
        <v>34</v>
      </c>
      <c r="Q430" s="23">
        <v>-76.53321535586656</v>
      </c>
    </row>
    <row r="431" spans="13:17" x14ac:dyDescent="0.3">
      <c r="M431">
        <v>427</v>
      </c>
      <c r="N431" s="23">
        <f>'$ Portfolio Loss'!P431</f>
        <v>-16.742582179693272</v>
      </c>
      <c r="P431">
        <v>61</v>
      </c>
      <c r="Q431" s="23">
        <v>-78.696693547492032</v>
      </c>
    </row>
    <row r="432" spans="13:17" x14ac:dyDescent="0.3">
      <c r="M432">
        <v>428</v>
      </c>
      <c r="N432" s="23">
        <f>'$ Portfolio Loss'!P432</f>
        <v>-44.919579372890439</v>
      </c>
      <c r="P432">
        <v>102</v>
      </c>
      <c r="Q432" s="23">
        <v>-79.105912814644398</v>
      </c>
    </row>
    <row r="433" spans="13:17" x14ac:dyDescent="0.3">
      <c r="M433">
        <v>429</v>
      </c>
      <c r="N433" s="23">
        <f>'$ Portfolio Loss'!P433</f>
        <v>51.615710198466331</v>
      </c>
      <c r="P433">
        <v>199</v>
      </c>
      <c r="Q433" s="23">
        <v>-79.640877844030911</v>
      </c>
    </row>
    <row r="434" spans="13:17" x14ac:dyDescent="0.3">
      <c r="M434">
        <v>430</v>
      </c>
      <c r="N434" s="23">
        <f>'$ Portfolio Loss'!P434</f>
        <v>-53.189006605929535</v>
      </c>
      <c r="P434">
        <v>24</v>
      </c>
      <c r="Q434" s="23">
        <v>-82.827667048259173</v>
      </c>
    </row>
    <row r="435" spans="13:17" x14ac:dyDescent="0.3">
      <c r="M435">
        <v>431</v>
      </c>
      <c r="N435" s="23">
        <f>'$ Portfolio Loss'!P435</f>
        <v>17.59512494003684</v>
      </c>
      <c r="P435">
        <v>412</v>
      </c>
      <c r="Q435" s="23">
        <v>-83.197260851640749</v>
      </c>
    </row>
    <row r="436" spans="13:17" x14ac:dyDescent="0.3">
      <c r="M436">
        <v>432</v>
      </c>
      <c r="N436" s="23">
        <f>'$ Portfolio Loss'!P436</f>
        <v>-33.256625880991123</v>
      </c>
      <c r="P436">
        <v>146</v>
      </c>
      <c r="Q436" s="23">
        <v>-83.506856424844955</v>
      </c>
    </row>
    <row r="437" spans="13:17" x14ac:dyDescent="0.3">
      <c r="M437">
        <v>433</v>
      </c>
      <c r="N437" s="23">
        <f>'$ Portfolio Loss'!P437</f>
        <v>-14.331018736556871</v>
      </c>
      <c r="P437">
        <v>409</v>
      </c>
      <c r="Q437" s="23">
        <v>-83.888508856587578</v>
      </c>
    </row>
    <row r="438" spans="13:17" x14ac:dyDescent="0.3">
      <c r="M438">
        <v>434</v>
      </c>
      <c r="N438" s="23">
        <f>'$ Portfolio Loss'!P438</f>
        <v>23.327611057649847</v>
      </c>
      <c r="P438">
        <v>6</v>
      </c>
      <c r="Q438" s="23">
        <v>-85.833581737253553</v>
      </c>
    </row>
    <row r="439" spans="13:17" x14ac:dyDescent="0.3">
      <c r="M439">
        <v>435</v>
      </c>
      <c r="N439" s="23">
        <f>'$ Portfolio Loss'!P439</f>
        <v>-79.074290302931331</v>
      </c>
      <c r="P439">
        <v>347</v>
      </c>
      <c r="Q439" s="23">
        <v>-85.98337029958202</v>
      </c>
    </row>
    <row r="440" spans="13:17" x14ac:dyDescent="0.3">
      <c r="M440">
        <v>436</v>
      </c>
      <c r="N440" s="23">
        <f>'$ Portfolio Loss'!P440</f>
        <v>-10.139285442501205</v>
      </c>
      <c r="P440">
        <v>7</v>
      </c>
      <c r="Q440" s="23">
        <v>-86.960119385001235</v>
      </c>
    </row>
    <row r="441" spans="13:17" x14ac:dyDescent="0.3">
      <c r="M441">
        <v>437</v>
      </c>
      <c r="N441" s="23">
        <f>'$ Portfolio Loss'!P441</f>
        <v>-111.67337930629947</v>
      </c>
      <c r="P441">
        <v>166</v>
      </c>
      <c r="Q441" s="23">
        <v>-87.313202594199538</v>
      </c>
    </row>
    <row r="442" spans="13:17" x14ac:dyDescent="0.3">
      <c r="M442">
        <v>438</v>
      </c>
      <c r="N442" s="23">
        <f>'$ Portfolio Loss'!P442</f>
        <v>-38.67712411568391</v>
      </c>
      <c r="P442">
        <v>363</v>
      </c>
      <c r="Q442" s="23">
        <v>-87.375104154838482</v>
      </c>
    </row>
    <row r="443" spans="13:17" x14ac:dyDescent="0.3">
      <c r="M443">
        <v>439</v>
      </c>
      <c r="N443" s="23">
        <f>'$ Portfolio Loss'!P443</f>
        <v>2.6014912486716639</v>
      </c>
      <c r="P443">
        <v>155</v>
      </c>
      <c r="Q443" s="23">
        <v>-87.38756892881247</v>
      </c>
    </row>
    <row r="444" spans="13:17" x14ac:dyDescent="0.3">
      <c r="M444">
        <v>440</v>
      </c>
      <c r="N444" s="23">
        <f>'$ Portfolio Loss'!P444</f>
        <v>-26.524383193824178</v>
      </c>
      <c r="P444">
        <v>239</v>
      </c>
      <c r="Q444" s="23">
        <v>-88.340040657720238</v>
      </c>
    </row>
    <row r="445" spans="13:17" x14ac:dyDescent="0.3">
      <c r="M445">
        <v>441</v>
      </c>
      <c r="N445" s="23">
        <f>'$ Portfolio Loss'!P445</f>
        <v>5.5833371419648756</v>
      </c>
      <c r="P445">
        <v>270</v>
      </c>
      <c r="Q445" s="23">
        <v>-89.261676532634738</v>
      </c>
    </row>
    <row r="446" spans="13:17" x14ac:dyDescent="0.3">
      <c r="M446">
        <v>442</v>
      </c>
      <c r="N446" s="23">
        <f>'$ Portfolio Loss'!P446</f>
        <v>68.972944468960122</v>
      </c>
      <c r="P446">
        <v>480</v>
      </c>
      <c r="Q446" s="23">
        <v>-89.561242389332619</v>
      </c>
    </row>
    <row r="447" spans="13:17" x14ac:dyDescent="0.3">
      <c r="M447">
        <v>443</v>
      </c>
      <c r="N447" s="23">
        <f>'$ Portfolio Loss'!P447</f>
        <v>-19.972206654865658</v>
      </c>
      <c r="P447">
        <v>359</v>
      </c>
      <c r="Q447" s="23">
        <v>-89.974467416182961</v>
      </c>
    </row>
    <row r="448" spans="13:17" x14ac:dyDescent="0.3">
      <c r="M448">
        <v>444</v>
      </c>
      <c r="N448" s="23">
        <f>'$ Portfolio Loss'!P448</f>
        <v>34.841622106498107</v>
      </c>
      <c r="P448">
        <v>457</v>
      </c>
      <c r="Q448" s="23">
        <v>-92.288139743031934</v>
      </c>
    </row>
    <row r="449" spans="13:17" x14ac:dyDescent="0.3">
      <c r="M449">
        <v>445</v>
      </c>
      <c r="N449" s="23">
        <f>'$ Portfolio Loss'!P449</f>
        <v>40.451092404658993</v>
      </c>
      <c r="P449">
        <v>200</v>
      </c>
      <c r="Q449" s="23">
        <v>-92.301513271502699</v>
      </c>
    </row>
    <row r="450" spans="13:17" x14ac:dyDescent="0.3">
      <c r="M450">
        <v>446</v>
      </c>
      <c r="N450" s="23">
        <f>'$ Portfolio Loss'!P450</f>
        <v>25.148402235814501</v>
      </c>
      <c r="P450">
        <v>138</v>
      </c>
      <c r="Q450" s="23">
        <v>-92.979971152588405</v>
      </c>
    </row>
    <row r="451" spans="13:17" x14ac:dyDescent="0.3">
      <c r="M451">
        <v>447</v>
      </c>
      <c r="N451" s="23">
        <f>'$ Portfolio Loss'!P451</f>
        <v>-49.871650892429898</v>
      </c>
      <c r="P451">
        <v>285</v>
      </c>
      <c r="Q451" s="23">
        <v>-94.248271111107897</v>
      </c>
    </row>
    <row r="452" spans="13:17" x14ac:dyDescent="0.3">
      <c r="M452">
        <v>448</v>
      </c>
      <c r="N452" s="23">
        <f>'$ Portfolio Loss'!P452</f>
        <v>-63.950998369680747</v>
      </c>
      <c r="P452">
        <v>291</v>
      </c>
      <c r="Q452" s="23">
        <v>-94.43648862853297</v>
      </c>
    </row>
    <row r="453" spans="13:17" x14ac:dyDescent="0.3">
      <c r="M453">
        <v>449</v>
      </c>
      <c r="N453" s="23">
        <f>'$ Portfolio Loss'!P453</f>
        <v>16.506464299269282</v>
      </c>
      <c r="P453">
        <v>173</v>
      </c>
      <c r="Q453" s="23">
        <v>-96.415462354798365</v>
      </c>
    </row>
    <row r="454" spans="13:17" x14ac:dyDescent="0.3">
      <c r="M454">
        <v>450</v>
      </c>
      <c r="N454" s="23">
        <f>'$ Portfolio Loss'!P454</f>
        <v>70.009758010754013</v>
      </c>
      <c r="P454">
        <v>362</v>
      </c>
      <c r="Q454" s="23">
        <v>-96.709907885089706</v>
      </c>
    </row>
    <row r="455" spans="13:17" x14ac:dyDescent="0.3">
      <c r="M455">
        <v>451</v>
      </c>
      <c r="N455" s="23">
        <f>'$ Portfolio Loss'!P455</f>
        <v>-29.360698986305579</v>
      </c>
      <c r="P455">
        <v>471</v>
      </c>
      <c r="Q455" s="23">
        <v>-101.13409368716384</v>
      </c>
    </row>
    <row r="456" spans="13:17" x14ac:dyDescent="0.3">
      <c r="M456">
        <v>452</v>
      </c>
      <c r="N456" s="23">
        <f>'$ Portfolio Loss'!P456</f>
        <v>-62.666293150788988</v>
      </c>
      <c r="P456">
        <v>145</v>
      </c>
      <c r="Q456" s="23">
        <v>-103.59611941634466</v>
      </c>
    </row>
    <row r="457" spans="13:17" x14ac:dyDescent="0.3">
      <c r="M457">
        <v>453</v>
      </c>
      <c r="N457" s="23">
        <f>'$ Portfolio Loss'!P457</f>
        <v>-73.508171390427378</v>
      </c>
      <c r="P457">
        <v>314</v>
      </c>
      <c r="Q457" s="23">
        <v>-103.734615107016</v>
      </c>
    </row>
    <row r="458" spans="13:17" x14ac:dyDescent="0.3">
      <c r="M458">
        <v>454</v>
      </c>
      <c r="N458" s="23">
        <f>'$ Portfolio Loss'!P458</f>
        <v>-5.7935405258122046</v>
      </c>
      <c r="P458">
        <v>143</v>
      </c>
      <c r="Q458" s="23">
        <v>-104.577393267964</v>
      </c>
    </row>
    <row r="459" spans="13:17" x14ac:dyDescent="0.3">
      <c r="M459">
        <v>455</v>
      </c>
      <c r="N459" s="23">
        <f>'$ Portfolio Loss'!P459</f>
        <v>4.6693785776733421</v>
      </c>
      <c r="P459">
        <v>385</v>
      </c>
      <c r="Q459" s="23">
        <v>-104.75020755703372</v>
      </c>
    </row>
    <row r="460" spans="13:17" x14ac:dyDescent="0.3">
      <c r="M460">
        <v>456</v>
      </c>
      <c r="N460" s="23">
        <f>'$ Portfolio Loss'!P460</f>
        <v>109.67352871222283</v>
      </c>
      <c r="P460">
        <v>76</v>
      </c>
      <c r="Q460" s="23">
        <v>-105.52932995235642</v>
      </c>
    </row>
    <row r="461" spans="13:17" x14ac:dyDescent="0.3">
      <c r="M461">
        <v>457</v>
      </c>
      <c r="N461" s="23">
        <f>'$ Portfolio Loss'!P461</f>
        <v>8.5524906651262427</v>
      </c>
      <c r="P461">
        <v>94</v>
      </c>
      <c r="Q461" s="23">
        <v>-105.61996593252297</v>
      </c>
    </row>
    <row r="462" spans="13:17" x14ac:dyDescent="0.3">
      <c r="M462">
        <v>458</v>
      </c>
      <c r="N462" s="23">
        <f>'$ Portfolio Loss'!P462</f>
        <v>78.468832576483692</v>
      </c>
      <c r="P462">
        <v>268</v>
      </c>
      <c r="Q462" s="23">
        <v>-106.24029863249598</v>
      </c>
    </row>
    <row r="463" spans="13:17" x14ac:dyDescent="0.3">
      <c r="M463">
        <v>459</v>
      </c>
      <c r="N463" s="23">
        <f>'$ Portfolio Loss'!P463</f>
        <v>26.968299304957327</v>
      </c>
      <c r="P463">
        <v>162</v>
      </c>
      <c r="Q463" s="23">
        <v>-107.42657340114602</v>
      </c>
    </row>
    <row r="464" spans="13:17" x14ac:dyDescent="0.3">
      <c r="M464">
        <v>460</v>
      </c>
      <c r="N464" s="23">
        <f>'$ Portfolio Loss'!P464</f>
        <v>-47.658911320102561</v>
      </c>
      <c r="P464">
        <v>397</v>
      </c>
      <c r="Q464" s="23">
        <v>-109.59086693698191</v>
      </c>
    </row>
    <row r="465" spans="13:17" x14ac:dyDescent="0.3">
      <c r="M465">
        <v>461</v>
      </c>
      <c r="N465" s="23">
        <f>'$ Portfolio Loss'!P465</f>
        <v>-75.488547441018454</v>
      </c>
      <c r="P465">
        <v>300</v>
      </c>
      <c r="Q465" s="23">
        <v>-109.82742441342816</v>
      </c>
    </row>
    <row r="466" spans="13:17" x14ac:dyDescent="0.3">
      <c r="M466">
        <v>462</v>
      </c>
      <c r="N466" s="23">
        <f>'$ Portfolio Loss'!P466</f>
        <v>5.4075800788705237</v>
      </c>
      <c r="P466">
        <v>115</v>
      </c>
      <c r="Q466" s="23">
        <v>-109.97030305324552</v>
      </c>
    </row>
    <row r="467" spans="13:17" x14ac:dyDescent="0.3">
      <c r="M467">
        <v>463</v>
      </c>
      <c r="N467" s="23">
        <f>'$ Portfolio Loss'!P467</f>
        <v>17.89160130541859</v>
      </c>
      <c r="P467">
        <v>402</v>
      </c>
      <c r="Q467" s="23">
        <v>-110.3941495597519</v>
      </c>
    </row>
    <row r="468" spans="13:17" x14ac:dyDescent="0.3">
      <c r="M468">
        <v>464</v>
      </c>
      <c r="N468" s="23">
        <f>'$ Portfolio Loss'!P468</f>
        <v>-35.566780533506972</v>
      </c>
      <c r="P468">
        <v>243</v>
      </c>
      <c r="Q468" s="23">
        <v>-110.83699916832848</v>
      </c>
    </row>
    <row r="469" spans="13:17" x14ac:dyDescent="0.3">
      <c r="M469">
        <v>465</v>
      </c>
      <c r="N469" s="23">
        <f>'$ Portfolio Loss'!P469</f>
        <v>-92.704740292765564</v>
      </c>
      <c r="P469">
        <v>218</v>
      </c>
      <c r="Q469" s="23">
        <v>-112.25882303735489</v>
      </c>
    </row>
    <row r="470" spans="13:17" x14ac:dyDescent="0.3">
      <c r="M470">
        <v>466</v>
      </c>
      <c r="N470" s="23">
        <f>'$ Portfolio Loss'!P470</f>
        <v>-122.99075109720616</v>
      </c>
      <c r="P470">
        <v>123</v>
      </c>
      <c r="Q470" s="23">
        <v>-113.43222126451474</v>
      </c>
    </row>
    <row r="471" spans="13:17" x14ac:dyDescent="0.3">
      <c r="M471">
        <v>467</v>
      </c>
      <c r="N471" s="23">
        <f>'$ Portfolio Loss'!P471</f>
        <v>-7.013120770072419</v>
      </c>
      <c r="P471">
        <v>307</v>
      </c>
      <c r="Q471" s="23">
        <v>-114.00879925697154</v>
      </c>
    </row>
    <row r="472" spans="13:17" x14ac:dyDescent="0.3">
      <c r="M472">
        <v>468</v>
      </c>
      <c r="N472" s="23">
        <f>'$ Portfolio Loss'!P472</f>
        <v>-32.333962758788402</v>
      </c>
      <c r="P472">
        <v>246</v>
      </c>
      <c r="Q472" s="23">
        <v>-118.91029100954074</v>
      </c>
    </row>
    <row r="473" spans="13:17" x14ac:dyDescent="0.3">
      <c r="M473">
        <v>469</v>
      </c>
      <c r="N473" s="23">
        <f>'$ Portfolio Loss'!P473</f>
        <v>23.893183116668297</v>
      </c>
      <c r="P473">
        <v>357</v>
      </c>
      <c r="Q473" s="23">
        <v>-120.3057466587743</v>
      </c>
    </row>
    <row r="474" spans="13:17" x14ac:dyDescent="0.3">
      <c r="M474">
        <v>470</v>
      </c>
      <c r="N474" s="23">
        <f>'$ Portfolio Loss'!P474</f>
        <v>13.502199969872891</v>
      </c>
      <c r="P474">
        <v>136</v>
      </c>
      <c r="Q474" s="23">
        <v>-121.229195178792</v>
      </c>
    </row>
    <row r="475" spans="13:17" x14ac:dyDescent="0.3">
      <c r="M475">
        <v>471</v>
      </c>
      <c r="N475" s="23">
        <f>'$ Portfolio Loss'!P475</f>
        <v>-27.698499162819644</v>
      </c>
      <c r="P475">
        <v>288</v>
      </c>
      <c r="Q475" s="23">
        <v>-122.8295610603036</v>
      </c>
    </row>
    <row r="476" spans="13:17" x14ac:dyDescent="0.3">
      <c r="M476">
        <v>472</v>
      </c>
      <c r="N476" s="23">
        <f>'$ Portfolio Loss'!P476</f>
        <v>-20.627131358325641</v>
      </c>
      <c r="P476">
        <v>373</v>
      </c>
      <c r="Q476" s="23">
        <v>-123.89287551661437</v>
      </c>
    </row>
    <row r="477" spans="13:17" x14ac:dyDescent="0.3">
      <c r="M477">
        <v>473</v>
      </c>
      <c r="N477" s="23">
        <f>'$ Portfolio Loss'!P477</f>
        <v>-21.491818802924172</v>
      </c>
      <c r="P477">
        <v>500</v>
      </c>
      <c r="Q477" s="23">
        <v>-126.43896718726137</v>
      </c>
    </row>
    <row r="478" spans="13:17" x14ac:dyDescent="0.3">
      <c r="M478">
        <v>474</v>
      </c>
      <c r="N478" s="23">
        <f>'$ Portfolio Loss'!P478</f>
        <v>-42.337281221785815</v>
      </c>
      <c r="P478">
        <v>483</v>
      </c>
      <c r="Q478" s="23">
        <v>-127.951464586984</v>
      </c>
    </row>
    <row r="479" spans="13:17" x14ac:dyDescent="0.3">
      <c r="M479">
        <v>475</v>
      </c>
      <c r="N479" s="23">
        <f>'$ Portfolio Loss'!P479</f>
        <v>-1.8337507828091475</v>
      </c>
      <c r="P479">
        <v>496</v>
      </c>
      <c r="Q479" s="23">
        <v>-129.78058522602987</v>
      </c>
    </row>
    <row r="480" spans="13:17" x14ac:dyDescent="0.3">
      <c r="M480">
        <v>476</v>
      </c>
      <c r="N480" s="23">
        <f>'$ Portfolio Loss'!P480</f>
        <v>35.780308145516756</v>
      </c>
      <c r="P480">
        <v>236</v>
      </c>
      <c r="Q480" s="23">
        <v>-131.00500554685641</v>
      </c>
    </row>
    <row r="481" spans="13:17" x14ac:dyDescent="0.3">
      <c r="M481">
        <v>477</v>
      </c>
      <c r="N481" s="23">
        <f>'$ Portfolio Loss'!P481</f>
        <v>-12.539629671722651</v>
      </c>
      <c r="P481">
        <v>305</v>
      </c>
      <c r="Q481" s="23">
        <v>-131.96805083459549</v>
      </c>
    </row>
    <row r="482" spans="13:17" x14ac:dyDescent="0.3">
      <c r="M482">
        <v>478</v>
      </c>
      <c r="N482" s="23">
        <f>'$ Portfolio Loss'!P482</f>
        <v>-6.4255922076281422</v>
      </c>
      <c r="P482">
        <v>326</v>
      </c>
      <c r="Q482" s="23">
        <v>-138.65604476265617</v>
      </c>
    </row>
    <row r="483" spans="13:17" x14ac:dyDescent="0.3">
      <c r="M483">
        <v>479</v>
      </c>
      <c r="N483" s="23">
        <f>'$ Portfolio Loss'!P483</f>
        <v>-28.028253685497475</v>
      </c>
      <c r="P483">
        <v>252</v>
      </c>
      <c r="Q483" s="23">
        <v>-144.04172982201271</v>
      </c>
    </row>
    <row r="484" spans="13:17" x14ac:dyDescent="0.3">
      <c r="M484">
        <v>480</v>
      </c>
      <c r="N484" s="23">
        <f>'$ Portfolio Loss'!P484</f>
        <v>66.743037878131872</v>
      </c>
      <c r="P484">
        <v>346</v>
      </c>
      <c r="Q484" s="23">
        <v>-145.47521045654139</v>
      </c>
    </row>
    <row r="485" spans="13:17" x14ac:dyDescent="0.3">
      <c r="M485">
        <v>481</v>
      </c>
      <c r="N485" s="23">
        <f>'$ Portfolio Loss'!P485</f>
        <v>-36.45878635076042</v>
      </c>
      <c r="P485">
        <v>405</v>
      </c>
      <c r="Q485" s="23">
        <v>-146.29342979794274</v>
      </c>
    </row>
    <row r="486" spans="13:17" x14ac:dyDescent="0.3">
      <c r="M486">
        <v>482</v>
      </c>
      <c r="N486" s="23">
        <f>'$ Portfolio Loss'!P486</f>
        <v>-20.022615070331085</v>
      </c>
      <c r="P486">
        <v>258</v>
      </c>
      <c r="Q486" s="23">
        <v>-149.5501741129865</v>
      </c>
    </row>
    <row r="487" spans="13:17" x14ac:dyDescent="0.3">
      <c r="M487">
        <v>483</v>
      </c>
      <c r="N487" s="23">
        <f>'$ Portfolio Loss'!P487</f>
        <v>-95.535747797157455</v>
      </c>
      <c r="P487">
        <v>493</v>
      </c>
      <c r="Q487" s="23">
        <v>-155.02247434568926</v>
      </c>
    </row>
    <row r="488" spans="13:17" x14ac:dyDescent="0.3">
      <c r="M488">
        <v>484</v>
      </c>
      <c r="N488" s="23">
        <f>'$ Portfolio Loss'!P488</f>
        <v>-27.413056304234487</v>
      </c>
      <c r="P488">
        <v>344</v>
      </c>
      <c r="Q488" s="23">
        <v>-155.54047619443372</v>
      </c>
    </row>
    <row r="489" spans="13:17" x14ac:dyDescent="0.3">
      <c r="M489">
        <v>485</v>
      </c>
      <c r="N489" s="23">
        <f>'$ Portfolio Loss'!P489</f>
        <v>-46.187955856754343</v>
      </c>
      <c r="P489">
        <v>147</v>
      </c>
      <c r="Q489" s="23">
        <v>-162.94083828421026</v>
      </c>
    </row>
    <row r="490" spans="13:17" x14ac:dyDescent="0.3">
      <c r="M490">
        <v>486</v>
      </c>
      <c r="N490" s="23">
        <f>'$ Portfolio Loss'!P490</f>
        <v>5.8969759222982248</v>
      </c>
      <c r="P490">
        <v>372</v>
      </c>
      <c r="Q490" s="23">
        <v>-165.04413540546375</v>
      </c>
    </row>
    <row r="491" spans="13:17" x14ac:dyDescent="0.3">
      <c r="M491">
        <v>487</v>
      </c>
      <c r="N491" s="23">
        <f>'$ Portfolio Loss'!P491</f>
        <v>-14.380401273407188</v>
      </c>
      <c r="P491">
        <v>309</v>
      </c>
      <c r="Q491" s="23">
        <v>-167.15159190420309</v>
      </c>
    </row>
    <row r="492" spans="13:17" x14ac:dyDescent="0.3">
      <c r="M492">
        <v>488</v>
      </c>
      <c r="N492" s="23">
        <f>'$ Portfolio Loss'!P492</f>
        <v>-80.313251589239371</v>
      </c>
      <c r="P492">
        <v>463</v>
      </c>
      <c r="Q492" s="23">
        <v>-167.8823659226091</v>
      </c>
    </row>
    <row r="493" spans="13:17" x14ac:dyDescent="0.3">
      <c r="M493">
        <v>489</v>
      </c>
      <c r="N493" s="23">
        <f>'$ Portfolio Loss'!P493</f>
        <v>11.210985196823458</v>
      </c>
      <c r="P493">
        <v>361</v>
      </c>
      <c r="Q493" s="23">
        <v>-179.87323824558371</v>
      </c>
    </row>
    <row r="494" spans="13:17" x14ac:dyDescent="0.3">
      <c r="M494">
        <v>490</v>
      </c>
      <c r="N494" s="23">
        <f>'$ Portfolio Loss'!P494</f>
        <v>16.928266969009201</v>
      </c>
      <c r="P494">
        <v>384</v>
      </c>
      <c r="Q494" s="23">
        <v>-180.23579095732021</v>
      </c>
    </row>
    <row r="495" spans="13:17" x14ac:dyDescent="0.3">
      <c r="M495">
        <v>491</v>
      </c>
      <c r="N495" s="23">
        <f>'$ Portfolio Loss'!P495</f>
        <v>117.49099864514392</v>
      </c>
      <c r="P495">
        <v>353</v>
      </c>
      <c r="Q495" s="23">
        <v>-185.88264424074259</v>
      </c>
    </row>
    <row r="496" spans="13:17" x14ac:dyDescent="0.3">
      <c r="M496">
        <v>492</v>
      </c>
      <c r="N496" s="23">
        <f>'$ Portfolio Loss'!P496</f>
        <v>-76.684384230396972</v>
      </c>
      <c r="P496">
        <v>467</v>
      </c>
      <c r="Q496" s="23">
        <v>-188.98647754204467</v>
      </c>
    </row>
    <row r="497" spans="13:17" x14ac:dyDescent="0.3">
      <c r="M497">
        <v>493</v>
      </c>
      <c r="N497" s="23">
        <f>'$ Portfolio Loss'!P497</f>
        <v>165.26531208639426</v>
      </c>
      <c r="P497">
        <v>455</v>
      </c>
      <c r="Q497" s="23">
        <v>-205.51035918357775</v>
      </c>
    </row>
    <row r="498" spans="13:17" x14ac:dyDescent="0.3">
      <c r="M498">
        <v>494</v>
      </c>
      <c r="N498" s="23">
        <f>'$ Portfolio Loss'!P498</f>
        <v>15.090537042637152</v>
      </c>
      <c r="P498">
        <v>263</v>
      </c>
      <c r="Q498" s="23">
        <v>-214.9094175198843</v>
      </c>
    </row>
    <row r="499" spans="13:17" x14ac:dyDescent="0.3">
      <c r="M499">
        <v>495</v>
      </c>
      <c r="N499" s="23">
        <f>'$ Portfolio Loss'!P499</f>
        <v>26.445632558526995</v>
      </c>
      <c r="P499">
        <v>395</v>
      </c>
      <c r="Q499" s="23">
        <v>-224.5146280105364</v>
      </c>
    </row>
    <row r="500" spans="13:17" x14ac:dyDescent="0.3">
      <c r="M500">
        <v>496</v>
      </c>
      <c r="N500" s="23">
        <f>'$ Portfolio Loss'!P500</f>
        <v>131.22854906940665</v>
      </c>
      <c r="P500">
        <v>489</v>
      </c>
      <c r="Q500" s="23">
        <v>-284.92469158141466</v>
      </c>
    </row>
    <row r="501" spans="13:17" x14ac:dyDescent="0.3">
      <c r="M501">
        <v>497</v>
      </c>
      <c r="N501" s="23">
        <f>'$ Portfolio Loss'!P501</f>
        <v>27.583760532148517</v>
      </c>
      <c r="P501">
        <v>341</v>
      </c>
      <c r="Q501" s="23">
        <v>-307.93011510920951</v>
      </c>
    </row>
    <row r="502" spans="13:17" x14ac:dyDescent="0.3">
      <c r="M502">
        <v>498</v>
      </c>
      <c r="N502" s="23">
        <f>'$ Portfolio Loss'!P502</f>
        <v>82.803764222195241</v>
      </c>
      <c r="P502">
        <v>377</v>
      </c>
      <c r="Q502" s="23">
        <v>-316.48933902174576</v>
      </c>
    </row>
    <row r="503" spans="13:17" x14ac:dyDescent="0.3">
      <c r="M503">
        <v>499</v>
      </c>
      <c r="N503" s="23">
        <f>'$ Portfolio Loss'!P503</f>
        <v>-105.55205215652313</v>
      </c>
      <c r="P503">
        <v>379</v>
      </c>
      <c r="Q503" s="23">
        <v>-333.02184034411766</v>
      </c>
    </row>
    <row r="504" spans="13:17" x14ac:dyDescent="0.3">
      <c r="M504">
        <v>500</v>
      </c>
      <c r="N504" s="23">
        <f>'$ Portfolio Loss'!P504</f>
        <v>-95.629317915525462</v>
      </c>
      <c r="P504">
        <v>497</v>
      </c>
      <c r="Q504" s="23">
        <v>-555.7954114142467</v>
      </c>
    </row>
    <row r="505" spans="13:17" x14ac:dyDescent="0.3">
      <c r="N505" s="23"/>
    </row>
  </sheetData>
  <pageMargins left="0.7" right="0.7" top="0.75" bottom="0.75" header="0.3" footer="0.3"/>
  <pageSetup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W505"/>
  <sheetViews>
    <sheetView tabSelected="1" zoomScale="60" zoomScaleNormal="90" zoomScalePageLayoutView="90" workbookViewId="0">
      <selection activeCell="M23" sqref="M23"/>
    </sheetView>
  </sheetViews>
  <sheetFormatPr defaultColWidth="8.88671875" defaultRowHeight="14.4" x14ac:dyDescent="0.3"/>
  <cols>
    <col min="1" max="1" width="14.109375" customWidth="1"/>
    <col min="2" max="2" width="11.44140625" bestFit="1" customWidth="1"/>
    <col min="3" max="3" width="12" customWidth="1"/>
    <col min="4" max="4" width="12.6640625" bestFit="1" customWidth="1"/>
    <col min="5" max="5" width="11.44140625" bestFit="1" customWidth="1"/>
    <col min="6" max="13" width="11.44140625" customWidth="1"/>
    <col min="14" max="14" width="2.88671875" style="29" customWidth="1"/>
    <col min="17" max="17" width="2.44140625" style="29" customWidth="1"/>
    <col min="19" max="19" width="8.88671875" style="23"/>
    <col min="20" max="20" width="3.109375" style="29" customWidth="1"/>
    <col min="22" max="22" width="11" customWidth="1"/>
  </cols>
  <sheetData>
    <row r="1" spans="1:23" x14ac:dyDescent="0.3">
      <c r="A1" s="9" t="s">
        <v>15</v>
      </c>
      <c r="B1" s="4">
        <v>43138</v>
      </c>
    </row>
    <row r="3" spans="1:23" x14ac:dyDescent="0.3">
      <c r="A3" s="9" t="s">
        <v>21</v>
      </c>
      <c r="R3" s="27" t="s">
        <v>23</v>
      </c>
      <c r="V3" s="27" t="s">
        <v>29</v>
      </c>
    </row>
    <row r="4" spans="1:23" x14ac:dyDescent="0.3">
      <c r="A4" s="27" t="s">
        <v>17</v>
      </c>
      <c r="B4" s="27" t="s">
        <v>18</v>
      </c>
      <c r="C4" s="27" t="s">
        <v>19</v>
      </c>
      <c r="D4" s="27" t="s">
        <v>20</v>
      </c>
      <c r="E4" s="27"/>
      <c r="F4" s="27"/>
      <c r="G4" s="27"/>
      <c r="H4" s="27"/>
      <c r="I4" s="27"/>
      <c r="J4" s="27"/>
      <c r="K4" s="27"/>
      <c r="L4" s="27"/>
      <c r="M4" s="27"/>
      <c r="O4" s="27" t="s">
        <v>2</v>
      </c>
      <c r="P4" s="27" t="s">
        <v>29</v>
      </c>
      <c r="Q4" s="30"/>
      <c r="R4" s="27" t="s">
        <v>2</v>
      </c>
      <c r="S4" s="28" t="s">
        <v>29</v>
      </c>
      <c r="U4" s="27" t="s">
        <v>26</v>
      </c>
      <c r="V4" s="27" t="s">
        <v>27</v>
      </c>
      <c r="W4" s="27" t="s">
        <v>41</v>
      </c>
    </row>
    <row r="5" spans="1:23" x14ac:dyDescent="0.3">
      <c r="A5" t="s">
        <v>0</v>
      </c>
      <c r="B5" s="23">
        <v>4000</v>
      </c>
      <c r="C5" s="24">
        <v>11022.06</v>
      </c>
      <c r="D5" s="31">
        <f>B5/C5</f>
        <v>0.36290856700108692</v>
      </c>
      <c r="E5" s="31"/>
      <c r="F5" s="31"/>
      <c r="G5" s="31"/>
      <c r="H5" s="31"/>
      <c r="I5" s="31"/>
      <c r="J5" s="31"/>
      <c r="K5" s="31"/>
      <c r="L5" s="31"/>
      <c r="M5" s="31"/>
      <c r="O5" s="3">
        <f>Data!A3</f>
        <v>1</v>
      </c>
      <c r="P5" s="23">
        <f>'$ Portfolio Loss'!P5</f>
        <v>148.27449625830559</v>
      </c>
      <c r="R5">
        <v>494</v>
      </c>
      <c r="S5" s="23">
        <v>477.84100103359742</v>
      </c>
      <c r="U5">
        <v>-600</v>
      </c>
      <c r="V5">
        <f t="array" ref="V5:V27">FREQUENCY($S$5:$S$504,U5:U27)</f>
        <v>0</v>
      </c>
      <c r="W5" s="40">
        <f>V5/$B$12</f>
        <v>0</v>
      </c>
    </row>
    <row r="6" spans="1:23" x14ac:dyDescent="0.3">
      <c r="A6" t="s">
        <v>7</v>
      </c>
      <c r="B6" s="23">
        <v>3000</v>
      </c>
      <c r="C6" s="25">
        <v>9599.8984</v>
      </c>
      <c r="D6" s="31">
        <f t="shared" ref="D6:D8" si="0">B6/C6</f>
        <v>0.3125033073266692</v>
      </c>
      <c r="E6" s="31"/>
      <c r="F6" s="31"/>
      <c r="G6" s="31"/>
      <c r="H6" s="31"/>
      <c r="I6" s="31"/>
      <c r="J6" s="31"/>
      <c r="K6" s="31"/>
      <c r="L6" s="31"/>
      <c r="M6" s="31"/>
      <c r="O6">
        <v>2</v>
      </c>
      <c r="P6" s="23">
        <f>'$ Portfolio Loss'!P6</f>
        <v>96.491509347586543</v>
      </c>
      <c r="R6">
        <v>339</v>
      </c>
      <c r="S6" s="23">
        <v>345.43507527311704</v>
      </c>
      <c r="U6">
        <v>-550</v>
      </c>
      <c r="V6">
        <v>1</v>
      </c>
      <c r="W6" s="40">
        <f t="shared" ref="W6:W27" si="1">V6/$B$12</f>
        <v>2E-3</v>
      </c>
    </row>
    <row r="7" spans="1:23" x14ac:dyDescent="0.3">
      <c r="A7" t="s">
        <v>8</v>
      </c>
      <c r="B7" s="23">
        <v>1000</v>
      </c>
      <c r="C7" s="23">
        <v>6200.3960686519004</v>
      </c>
      <c r="D7" s="31">
        <f t="shared" si="0"/>
        <v>0.16128001968387506</v>
      </c>
      <c r="E7" s="31"/>
      <c r="F7" s="31"/>
      <c r="G7" s="31"/>
      <c r="H7" s="31"/>
      <c r="I7" s="31"/>
      <c r="J7" s="31"/>
      <c r="K7" s="31"/>
      <c r="L7" s="31"/>
      <c r="M7" s="31"/>
      <c r="O7">
        <v>3</v>
      </c>
      <c r="P7" s="23">
        <f>'$ Portfolio Loss'!P7</f>
        <v>-65.775320899459985</v>
      </c>
      <c r="R7">
        <v>349</v>
      </c>
      <c r="S7" s="23">
        <v>282.20384520461448</v>
      </c>
      <c r="U7">
        <v>-500</v>
      </c>
      <c r="V7">
        <v>0</v>
      </c>
      <c r="W7" s="40">
        <f t="shared" si="1"/>
        <v>0</v>
      </c>
    </row>
    <row r="8" spans="1:23" x14ac:dyDescent="0.3">
      <c r="A8" t="s">
        <v>10</v>
      </c>
      <c r="B8" s="23">
        <v>2000</v>
      </c>
      <c r="C8" s="23">
        <v>112.82211990227401</v>
      </c>
      <c r="D8" s="31">
        <f t="shared" si="0"/>
        <v>17.727020213167336</v>
      </c>
      <c r="E8" s="31"/>
      <c r="F8" s="31"/>
      <c r="G8" s="31"/>
      <c r="H8" s="31"/>
      <c r="I8" s="31"/>
      <c r="J8" s="31"/>
      <c r="K8" s="31"/>
      <c r="L8" s="31"/>
      <c r="M8" s="31"/>
      <c r="O8">
        <v>4</v>
      </c>
      <c r="P8" s="23">
        <f>'$ Portfolio Loss'!P8</f>
        <v>-23.50448540245452</v>
      </c>
      <c r="R8">
        <v>329</v>
      </c>
      <c r="S8" s="23">
        <v>277.04129403526349</v>
      </c>
      <c r="U8">
        <v>-450</v>
      </c>
      <c r="V8">
        <v>0</v>
      </c>
      <c r="W8" s="40">
        <f t="shared" si="1"/>
        <v>0</v>
      </c>
    </row>
    <row r="9" spans="1:23" x14ac:dyDescent="0.3">
      <c r="B9" s="26">
        <f>SUM(B5:B8)</f>
        <v>10000</v>
      </c>
      <c r="C9" s="23"/>
      <c r="O9">
        <v>5</v>
      </c>
      <c r="P9" s="23">
        <f>'$ Portfolio Loss'!P9</f>
        <v>-118.58631800325747</v>
      </c>
      <c r="R9">
        <v>487</v>
      </c>
      <c r="S9" s="23">
        <v>253.38495609979509</v>
      </c>
      <c r="U9">
        <v>-400</v>
      </c>
      <c r="V9">
        <v>0</v>
      </c>
      <c r="W9" s="40">
        <f t="shared" si="1"/>
        <v>0</v>
      </c>
    </row>
    <row r="10" spans="1:23" x14ac:dyDescent="0.3">
      <c r="O10">
        <v>6</v>
      </c>
      <c r="P10" s="23">
        <f>'$ Portfolio Loss'!P10</f>
        <v>-150.56444115341947</v>
      </c>
      <c r="R10">
        <v>227</v>
      </c>
      <c r="S10" s="23">
        <v>217.97395897909701</v>
      </c>
      <c r="U10">
        <v>-350</v>
      </c>
      <c r="V10">
        <v>0</v>
      </c>
      <c r="W10" s="40">
        <f t="shared" si="1"/>
        <v>0</v>
      </c>
    </row>
    <row r="11" spans="1:23" x14ac:dyDescent="0.3">
      <c r="A11" s="9" t="s">
        <v>29</v>
      </c>
      <c r="O11">
        <v>7</v>
      </c>
      <c r="P11" s="23">
        <f>'$ Portfolio Loss'!P11</f>
        <v>-14.973300534576993</v>
      </c>
      <c r="R11">
        <v>131</v>
      </c>
      <c r="S11" s="23">
        <v>202.25553909110386</v>
      </c>
      <c r="U11">
        <v>-300</v>
      </c>
      <c r="V11">
        <v>3</v>
      </c>
      <c r="W11" s="40">
        <f t="shared" si="1"/>
        <v>6.0000000000000001E-3</v>
      </c>
    </row>
    <row r="12" spans="1:23" x14ac:dyDescent="0.3">
      <c r="A12" s="9" t="s">
        <v>36</v>
      </c>
      <c r="B12" s="39">
        <f>COUNT($S$5:$S$504)</f>
        <v>500</v>
      </c>
      <c r="O12">
        <v>8</v>
      </c>
      <c r="P12" s="23">
        <f>'$ Portfolio Loss'!P12</f>
        <v>-69.431549180715592</v>
      </c>
      <c r="R12">
        <v>238</v>
      </c>
      <c r="S12" s="23">
        <v>201.38921638536704</v>
      </c>
      <c r="U12">
        <v>-250</v>
      </c>
      <c r="V12">
        <v>1</v>
      </c>
      <c r="W12" s="40">
        <f t="shared" si="1"/>
        <v>2E-3</v>
      </c>
    </row>
    <row r="13" spans="1:23" x14ac:dyDescent="0.3">
      <c r="A13" s="9" t="s">
        <v>25</v>
      </c>
      <c r="B13" s="38">
        <f>MIN($P$5:$P$504)</f>
        <v>-159.82527856132583</v>
      </c>
      <c r="O13">
        <v>9</v>
      </c>
      <c r="P13" s="23">
        <f>'$ Portfolio Loss'!P13</f>
        <v>91.300137142372478</v>
      </c>
      <c r="R13">
        <v>473</v>
      </c>
      <c r="S13" s="23">
        <v>191.26906641746609</v>
      </c>
      <c r="U13">
        <v>-200</v>
      </c>
      <c r="V13">
        <v>3</v>
      </c>
      <c r="W13" s="40">
        <f t="shared" si="1"/>
        <v>6.0000000000000001E-3</v>
      </c>
    </row>
    <row r="14" spans="1:23" x14ac:dyDescent="0.3">
      <c r="A14" s="9" t="s">
        <v>24</v>
      </c>
      <c r="B14" s="38">
        <f>MAX($P$5:$P$504)</f>
        <v>237.67317481744431</v>
      </c>
      <c r="O14">
        <v>10</v>
      </c>
      <c r="P14" s="23">
        <f>'$ Portfolio Loss'!P14</f>
        <v>-37.026300411896955</v>
      </c>
      <c r="R14">
        <v>306</v>
      </c>
      <c r="S14" s="23">
        <v>191.04965748705217</v>
      </c>
      <c r="U14">
        <v>-150</v>
      </c>
      <c r="V14">
        <v>10</v>
      </c>
      <c r="W14" s="40">
        <f t="shared" si="1"/>
        <v>0.02</v>
      </c>
    </row>
    <row r="15" spans="1:23" x14ac:dyDescent="0.3">
      <c r="A15" s="9" t="s">
        <v>3</v>
      </c>
      <c r="B15" s="38">
        <f>AVERAGE($P$5:$P$504)</f>
        <v>-2.0143944008631296</v>
      </c>
      <c r="O15">
        <v>11</v>
      </c>
      <c r="P15" s="23">
        <f>'$ Portfolio Loss'!P15</f>
        <v>-61.255034663041442</v>
      </c>
      <c r="R15">
        <v>477</v>
      </c>
      <c r="S15" s="23">
        <v>185.12694936397929</v>
      </c>
      <c r="U15">
        <v>-100</v>
      </c>
      <c r="V15">
        <v>32</v>
      </c>
      <c r="W15" s="40">
        <f t="shared" si="1"/>
        <v>6.4000000000000001E-2</v>
      </c>
    </row>
    <row r="16" spans="1:23" x14ac:dyDescent="0.3">
      <c r="A16" s="9" t="s">
        <v>28</v>
      </c>
      <c r="B16" s="38">
        <f>_xlfn.STDEV.S($P$5:$P$504)</f>
        <v>61.668444402402322</v>
      </c>
      <c r="O16">
        <v>12</v>
      </c>
      <c r="P16" s="23">
        <f>'$ Portfolio Loss'!P16</f>
        <v>-39.824610230856706</v>
      </c>
      <c r="R16">
        <v>495</v>
      </c>
      <c r="S16" s="23">
        <v>184.44962935786134</v>
      </c>
      <c r="U16">
        <v>-50</v>
      </c>
      <c r="V16">
        <v>77</v>
      </c>
      <c r="W16" s="40">
        <f t="shared" si="1"/>
        <v>0.154</v>
      </c>
    </row>
    <row r="17" spans="1:23" x14ac:dyDescent="0.3">
      <c r="A17" s="9" t="s">
        <v>4</v>
      </c>
      <c r="B17" s="38">
        <f>SKEW($P$5:$P$504)</f>
        <v>0.42840607464062852</v>
      </c>
      <c r="O17">
        <v>13</v>
      </c>
      <c r="P17" s="23">
        <f>'$ Portfolio Loss'!P17</f>
        <v>72.558275954686906</v>
      </c>
      <c r="R17">
        <v>376</v>
      </c>
      <c r="S17" s="23">
        <v>182.70721906115796</v>
      </c>
      <c r="U17">
        <v>0</v>
      </c>
      <c r="V17">
        <v>145</v>
      </c>
      <c r="W17" s="40">
        <f t="shared" si="1"/>
        <v>0.28999999999999998</v>
      </c>
    </row>
    <row r="18" spans="1:23" x14ac:dyDescent="0.3">
      <c r="A18" s="9" t="s">
        <v>5</v>
      </c>
      <c r="B18" s="38">
        <f>KURT($P$5:$P$504)</f>
        <v>0.56807805591012128</v>
      </c>
      <c r="C18" s="23"/>
      <c r="E18" s="1"/>
      <c r="F18" s="1"/>
      <c r="O18">
        <v>14</v>
      </c>
      <c r="P18" s="23">
        <f>'$ Portfolio Loss'!P18</f>
        <v>35.767826695031545</v>
      </c>
      <c r="R18">
        <v>237</v>
      </c>
      <c r="S18" s="23">
        <v>180.10475010029586</v>
      </c>
      <c r="U18">
        <v>50</v>
      </c>
      <c r="V18">
        <v>101</v>
      </c>
      <c r="W18" s="40">
        <f t="shared" si="1"/>
        <v>0.20200000000000001</v>
      </c>
    </row>
    <row r="19" spans="1:23" x14ac:dyDescent="0.3">
      <c r="J19" s="31">
        <f>'$ Portfolio Loss'!AC2</f>
        <v>1.5328155516745268</v>
      </c>
      <c r="K19" s="31"/>
      <c r="L19" s="31">
        <f>(J19-2+I23^2)/(J19-1)</f>
        <v>183.9948699064511</v>
      </c>
      <c r="O19">
        <v>15</v>
      </c>
      <c r="P19" s="23">
        <f>'$ Portfolio Loss'!P19</f>
        <v>81.492869819576299</v>
      </c>
      <c r="R19">
        <v>365</v>
      </c>
      <c r="S19" s="23">
        <v>172.22374096282692</v>
      </c>
      <c r="U19">
        <v>100</v>
      </c>
      <c r="V19">
        <v>56</v>
      </c>
      <c r="W19" s="40">
        <f t="shared" si="1"/>
        <v>0.112</v>
      </c>
    </row>
    <row r="20" spans="1:23" x14ac:dyDescent="0.3">
      <c r="J20">
        <f>'$ Portfolio Loss'!AD2</f>
        <v>2</v>
      </c>
      <c r="O20">
        <v>16</v>
      </c>
      <c r="P20" s="23">
        <f>'$ Portfolio Loss'!P20</f>
        <v>87.058226931147146</v>
      </c>
      <c r="R20">
        <v>283</v>
      </c>
      <c r="S20" s="23">
        <v>172.21194565829319</v>
      </c>
      <c r="U20">
        <v>150</v>
      </c>
      <c r="V20">
        <v>43</v>
      </c>
      <c r="W20" s="40">
        <f t="shared" si="1"/>
        <v>8.5999999999999993E-2</v>
      </c>
    </row>
    <row r="21" spans="1:23" x14ac:dyDescent="0.3">
      <c r="A21" s="9" t="s">
        <v>37</v>
      </c>
      <c r="B21" s="3">
        <v>0.95</v>
      </c>
      <c r="O21">
        <v>17</v>
      </c>
      <c r="P21" s="23">
        <f>'$ Portfolio Loss'!P21</f>
        <v>56.88225094142399</v>
      </c>
      <c r="R21">
        <v>378</v>
      </c>
      <c r="S21" s="23">
        <v>167.10418072299581</v>
      </c>
      <c r="U21">
        <v>200</v>
      </c>
      <c r="V21">
        <v>20</v>
      </c>
      <c r="W21" s="40">
        <f t="shared" si="1"/>
        <v>0.04</v>
      </c>
    </row>
    <row r="22" spans="1:23" x14ac:dyDescent="0.3">
      <c r="A22" s="9" t="s">
        <v>30</v>
      </c>
      <c r="B22" s="9" t="s">
        <v>32</v>
      </c>
      <c r="C22" s="27" t="s">
        <v>6</v>
      </c>
      <c r="D22" s="27" t="s">
        <v>34</v>
      </c>
      <c r="E22" s="27" t="s">
        <v>35</v>
      </c>
      <c r="F22" s="27" t="s">
        <v>48</v>
      </c>
      <c r="G22" s="27" t="s">
        <v>31</v>
      </c>
      <c r="H22" s="27" t="s">
        <v>51</v>
      </c>
      <c r="I22" s="27" t="s">
        <v>55</v>
      </c>
      <c r="J22" s="27" t="s">
        <v>53</v>
      </c>
      <c r="K22" s="27" t="s">
        <v>56</v>
      </c>
      <c r="L22" s="27" t="s">
        <v>54</v>
      </c>
      <c r="M22" s="27" t="s">
        <v>57</v>
      </c>
      <c r="O22">
        <v>18</v>
      </c>
      <c r="P22" s="23">
        <f>'$ Portfolio Loss'!P22</f>
        <v>-59.339269308005896</v>
      </c>
      <c r="R22">
        <v>320</v>
      </c>
      <c r="S22" s="23">
        <v>167.06585266724323</v>
      </c>
      <c r="U22">
        <v>250</v>
      </c>
      <c r="V22">
        <v>3</v>
      </c>
      <c r="W22" s="40">
        <f t="shared" si="1"/>
        <v>6.0000000000000001E-3</v>
      </c>
    </row>
    <row r="23" spans="1:23" x14ac:dyDescent="0.3">
      <c r="A23" s="2">
        <v>0.995</v>
      </c>
      <c r="B23" s="1">
        <f>_xlfn.PERCENTILE.EXC($P$5:$P$504,A23)</f>
        <v>196.96382663103071</v>
      </c>
      <c r="C23" s="1">
        <f>SQRT(A23*(1-A23)/$B$12)/_xlfn.NORM.DIST(_xlfn.NORM.INV(A23,$B$15,$B$16),$B$15,$B$16,FALSE)</f>
        <v>13.452839438821224</v>
      </c>
      <c r="D23" s="1">
        <f>B23-_xlfn.NORM.S.INV($B$21)*C23</f>
        <v>174.83587488728983</v>
      </c>
      <c r="E23" s="1">
        <f>B23+_xlfn.NORM.S.INV($B$21)*C23</f>
        <v>219.09177837477159</v>
      </c>
      <c r="F23" s="1">
        <f>E23-D23</f>
        <v>44.25590348748176</v>
      </c>
      <c r="G23" s="1">
        <f>SUMIF($P$5:$P$504,"&gt;"&amp;B23)/COUNTIF($P$5:$P$504,"&gt;"&amp;B23)</f>
        <v>232.3247502972963</v>
      </c>
      <c r="H23" s="1">
        <f>B23/G23</f>
        <v>0.84779527957733436</v>
      </c>
      <c r="I23" s="1">
        <f>_xlfn.T.INV(A23,$J$20)</f>
        <v>9.9248432009182892</v>
      </c>
      <c r="J23" s="1">
        <f>I23*$B$16*SQRT(ABS(($J$19-2)/$J$19))+$B$15</f>
        <v>335.88381267988223</v>
      </c>
      <c r="K23" s="1">
        <f>($J$19-2+I23^2)/($J$19-1)</f>
        <v>183.9948699064511</v>
      </c>
      <c r="L23" s="1">
        <f>$B$15+$B$16*_xlfn.T.DIST(I23,$J$19,FALSE)*K23/(1-A23)</f>
        <v>7257.6205643012636</v>
      </c>
      <c r="M23" s="1">
        <f>J23/L23</f>
        <v>4.6280156106813478E-2</v>
      </c>
      <c r="O23">
        <v>19</v>
      </c>
      <c r="P23" s="23">
        <f>'$ Portfolio Loss'!P23</f>
        <v>-39.43281075685627</v>
      </c>
      <c r="R23">
        <v>242</v>
      </c>
      <c r="S23" s="23">
        <v>166.79971104959259</v>
      </c>
      <c r="U23">
        <v>300</v>
      </c>
      <c r="V23">
        <v>3</v>
      </c>
      <c r="W23" s="40">
        <f t="shared" si="1"/>
        <v>6.0000000000000001E-3</v>
      </c>
    </row>
    <row r="24" spans="1:23" x14ac:dyDescent="0.3">
      <c r="A24" s="2">
        <v>0.99</v>
      </c>
      <c r="B24" s="1">
        <f t="shared" ref="B24:B42" si="2">_xlfn.PERCENTILE.EXC($P$5:$P$504,A24)</f>
        <v>155.89542405713226</v>
      </c>
      <c r="C24" s="1">
        <f t="shared" ref="C24:C42" si="3">SQRT(A24*(1-A24)/$B$12)/_xlfn.NORM.DIST(_xlfn.NORM.INV(A24,$B$15,$B$16),$B$15,$B$16,FALSE)</f>
        <v>10.295879871584194</v>
      </c>
      <c r="D24" s="1">
        <f t="shared" ref="D24:D42" si="4">B24-_xlfn.NORM.S.INV($B$21)*C24</f>
        <v>138.96020870770036</v>
      </c>
      <c r="E24" s="1">
        <f t="shared" ref="E24:E42" si="5">B24+_xlfn.NORM.S.INV($B$21)*C24</f>
        <v>172.83063940656416</v>
      </c>
      <c r="F24" s="1">
        <f t="shared" ref="F24:F42" si="6">E24-D24</f>
        <v>33.8704306988638</v>
      </c>
      <c r="G24" s="1">
        <f t="shared" ref="G24:G42" si="7">SUMIF($P$5:$P$504,"&gt;"&amp;B24)/COUNTIF($P$5:$P$504,"&gt;"&amp;B24)</f>
        <v>190.67280901173035</v>
      </c>
      <c r="H24" s="1">
        <f t="shared" ref="H24:H42" si="8">B24/G24</f>
        <v>0.81760700366847505</v>
      </c>
      <c r="I24" s="1">
        <f t="shared" ref="I24:I42" si="9">_xlfn.T.INV(A24,$J$20)</f>
        <v>6.9645567342832715</v>
      </c>
      <c r="J24" s="1">
        <f t="shared" ref="J24:J42" si="10">I24*$B$16*SQRT(ABS(($J$19-2)/$J$19))+$B$15</f>
        <v>235.0987958013468</v>
      </c>
      <c r="K24" s="1">
        <f t="shared" ref="K24:K42" si="11">($J$19-2+I24^2)/($J$19-1)</f>
        <v>90.158528417108187</v>
      </c>
      <c r="L24" s="1">
        <f t="shared" ref="L24:L42" si="12">$B$15+$B$16*_xlfn.T.DIST(I24,$J$19,FALSE)*K24/(1-A24)</f>
        <v>3572.939352803593</v>
      </c>
      <c r="M24" s="1">
        <f t="shared" ref="M24:M42" si="13">J24/L24</f>
        <v>6.579982826097254E-2</v>
      </c>
      <c r="O24">
        <v>20</v>
      </c>
      <c r="P24" s="23">
        <f>'$ Portfolio Loss'!P24</f>
        <v>-55.64056134970815</v>
      </c>
      <c r="R24">
        <v>322</v>
      </c>
      <c r="S24" s="23">
        <v>166.5165397828132</v>
      </c>
      <c r="U24">
        <v>350</v>
      </c>
      <c r="V24">
        <v>1</v>
      </c>
      <c r="W24" s="40">
        <f t="shared" si="1"/>
        <v>2E-3</v>
      </c>
    </row>
    <row r="25" spans="1:23" x14ac:dyDescent="0.3">
      <c r="A25" s="2">
        <v>0.98499999999999999</v>
      </c>
      <c r="B25" s="1">
        <f t="shared" si="2"/>
        <v>149.55511986915934</v>
      </c>
      <c r="C25" s="1">
        <f t="shared" si="3"/>
        <v>8.8520016955484699</v>
      </c>
      <c r="D25" s="1">
        <f t="shared" si="4"/>
        <v>134.99487277445587</v>
      </c>
      <c r="E25" s="1">
        <f t="shared" si="5"/>
        <v>164.11536696386281</v>
      </c>
      <c r="F25" s="1">
        <f t="shared" si="6"/>
        <v>29.120494189406941</v>
      </c>
      <c r="G25" s="1">
        <f t="shared" si="7"/>
        <v>179.89637365473573</v>
      </c>
      <c r="H25" s="1">
        <f t="shared" si="8"/>
        <v>0.83134038130302434</v>
      </c>
      <c r="I25" s="1">
        <f t="shared" si="9"/>
        <v>5.6427783534825533</v>
      </c>
      <c r="J25" s="1">
        <f t="shared" si="10"/>
        <v>190.09792918923452</v>
      </c>
      <c r="K25" s="1">
        <f t="shared" si="11"/>
        <v>58.882971789401964</v>
      </c>
      <c r="L25" s="1">
        <f t="shared" si="12"/>
        <v>2344.352394954532</v>
      </c>
      <c r="M25" s="1">
        <f t="shared" si="13"/>
        <v>8.1087608500479469E-2</v>
      </c>
      <c r="O25">
        <v>21</v>
      </c>
      <c r="P25" s="23">
        <f>'$ Portfolio Loss'!P25</f>
        <v>-112.10616656601997</v>
      </c>
      <c r="R25">
        <v>441</v>
      </c>
      <c r="S25" s="23">
        <v>164.07487392111034</v>
      </c>
      <c r="U25">
        <v>400</v>
      </c>
      <c r="V25">
        <v>0</v>
      </c>
      <c r="W25" s="40">
        <f t="shared" si="1"/>
        <v>0</v>
      </c>
    </row>
    <row r="26" spans="1:23" x14ac:dyDescent="0.3">
      <c r="A26" s="2">
        <v>0.98</v>
      </c>
      <c r="B26" s="1">
        <f t="shared" si="2"/>
        <v>142.52361130594082</v>
      </c>
      <c r="C26" s="1">
        <f t="shared" si="3"/>
        <v>7.9743990031387515</v>
      </c>
      <c r="D26" s="1">
        <f t="shared" si="4"/>
        <v>129.40689218286985</v>
      </c>
      <c r="E26" s="1">
        <f t="shared" si="5"/>
        <v>155.64033042901178</v>
      </c>
      <c r="F26" s="1">
        <f t="shared" si="6"/>
        <v>26.23343824614193</v>
      </c>
      <c r="G26" s="1">
        <f t="shared" si="7"/>
        <v>169.857131844799</v>
      </c>
      <c r="H26" s="1">
        <f t="shared" si="8"/>
        <v>0.8390793472020166</v>
      </c>
      <c r="I26" s="1">
        <f t="shared" si="9"/>
        <v>4.8487322138506093</v>
      </c>
      <c r="J26" s="1">
        <f t="shared" si="10"/>
        <v>163.06407470010808</v>
      </c>
      <c r="K26" s="1">
        <f t="shared" si="11"/>
        <v>43.247648385802201</v>
      </c>
      <c r="L26" s="1">
        <f t="shared" si="12"/>
        <v>1729.7894329757196</v>
      </c>
      <c r="M26" s="1">
        <f t="shared" si="13"/>
        <v>9.4268164431778531E-2</v>
      </c>
      <c r="O26">
        <v>22</v>
      </c>
      <c r="P26" s="23">
        <f>'$ Portfolio Loss'!P26</f>
        <v>-55.451828801084048</v>
      </c>
      <c r="R26">
        <v>304</v>
      </c>
      <c r="S26" s="23">
        <v>160.77775746024599</v>
      </c>
      <c r="U26">
        <v>450</v>
      </c>
      <c r="V26">
        <v>0</v>
      </c>
      <c r="W26" s="40">
        <f t="shared" si="1"/>
        <v>0</v>
      </c>
    </row>
    <row r="27" spans="1:23" x14ac:dyDescent="0.3">
      <c r="A27" s="2">
        <v>0.97499999999999998</v>
      </c>
      <c r="B27" s="1">
        <f t="shared" si="2"/>
        <v>132.94389701629018</v>
      </c>
      <c r="C27" s="1">
        <f t="shared" si="3"/>
        <v>7.3671993517473009</v>
      </c>
      <c r="D27" s="1">
        <f t="shared" si="4"/>
        <v>120.8259324420941</v>
      </c>
      <c r="E27" s="1">
        <f t="shared" si="5"/>
        <v>145.06186159048625</v>
      </c>
      <c r="F27" s="1">
        <f t="shared" si="6"/>
        <v>24.235929148392145</v>
      </c>
      <c r="G27" s="1">
        <f t="shared" si="7"/>
        <v>164.09452803978743</v>
      </c>
      <c r="H27" s="1">
        <f t="shared" si="8"/>
        <v>0.81016654610235228</v>
      </c>
      <c r="I27" s="1">
        <f t="shared" si="9"/>
        <v>4.3026527297494619</v>
      </c>
      <c r="J27" s="1">
        <f t="shared" si="10"/>
        <v>144.47241789848894</v>
      </c>
      <c r="K27" s="1">
        <f t="shared" si="11"/>
        <v>33.868448486125075</v>
      </c>
      <c r="L27" s="1">
        <f t="shared" si="12"/>
        <v>1360.8365654038512</v>
      </c>
      <c r="M27" s="1">
        <f t="shared" si="13"/>
        <v>0.10616441501600475</v>
      </c>
      <c r="O27">
        <v>23</v>
      </c>
      <c r="P27" s="23">
        <f>'$ Portfolio Loss'!P27</f>
        <v>25.203174980855692</v>
      </c>
      <c r="R27">
        <v>292</v>
      </c>
      <c r="S27" s="23">
        <v>157.59697152135959</v>
      </c>
      <c r="U27">
        <v>500</v>
      </c>
      <c r="V27">
        <v>1</v>
      </c>
      <c r="W27" s="40">
        <f t="shared" si="1"/>
        <v>2E-3</v>
      </c>
    </row>
    <row r="28" spans="1:23" x14ac:dyDescent="0.3">
      <c r="A28" s="2">
        <v>0.97</v>
      </c>
      <c r="B28" s="1">
        <f t="shared" si="2"/>
        <v>129.94808580125098</v>
      </c>
      <c r="C28" s="1">
        <f t="shared" si="3"/>
        <v>6.9142921397137798</v>
      </c>
      <c r="D28" s="1">
        <f t="shared" si="4"/>
        <v>118.57508729744072</v>
      </c>
      <c r="E28" s="1">
        <f t="shared" si="5"/>
        <v>141.32108430506125</v>
      </c>
      <c r="F28" s="1">
        <f t="shared" si="6"/>
        <v>22.745997007620531</v>
      </c>
      <c r="G28" s="1">
        <f t="shared" si="7"/>
        <v>157.44453587042869</v>
      </c>
      <c r="H28" s="1">
        <f t="shared" si="8"/>
        <v>0.82535786385240884</v>
      </c>
      <c r="I28" s="1">
        <f t="shared" si="9"/>
        <v>3.8964253597614866</v>
      </c>
      <c r="J28" s="1">
        <f t="shared" si="10"/>
        <v>130.64212383667814</v>
      </c>
      <c r="K28" s="1">
        <f t="shared" si="11"/>
        <v>27.617336036121671</v>
      </c>
      <c r="L28" s="1">
        <f t="shared" si="12"/>
        <v>1114.689289463776</v>
      </c>
      <c r="M28" s="1">
        <f t="shared" si="13"/>
        <v>0.11720048364286684</v>
      </c>
      <c r="O28">
        <v>24</v>
      </c>
      <c r="P28" s="23">
        <f>'$ Portfolio Loss'!P28</f>
        <v>23.094865730034144</v>
      </c>
      <c r="R28">
        <v>485</v>
      </c>
      <c r="S28" s="23">
        <v>156.82985649326292</v>
      </c>
    </row>
    <row r="29" spans="1:23" x14ac:dyDescent="0.3">
      <c r="A29" s="2">
        <v>0.96499999999999997</v>
      </c>
      <c r="B29" s="1">
        <f t="shared" si="2"/>
        <v>122.22466341253107</v>
      </c>
      <c r="C29" s="1">
        <f t="shared" si="3"/>
        <v>6.5594043199490146</v>
      </c>
      <c r="D29" s="1">
        <f t="shared" si="4"/>
        <v>111.43540342622178</v>
      </c>
      <c r="E29" s="1">
        <f t="shared" si="5"/>
        <v>133.01392339884035</v>
      </c>
      <c r="F29" s="1">
        <f t="shared" si="6"/>
        <v>21.578519972618565</v>
      </c>
      <c r="G29" s="1">
        <f t="shared" si="7"/>
        <v>153.51084685939145</v>
      </c>
      <c r="H29" s="1">
        <f t="shared" si="8"/>
        <v>0.79619561687704699</v>
      </c>
      <c r="I29" s="1">
        <f t="shared" si="9"/>
        <v>3.5782466377738951</v>
      </c>
      <c r="J29" s="1">
        <f t="shared" si="10"/>
        <v>119.80950738981048</v>
      </c>
      <c r="K29" s="1">
        <f t="shared" si="11"/>
        <v>23.153724611909652</v>
      </c>
      <c r="L29" s="1">
        <f t="shared" si="12"/>
        <v>938.71722154286022</v>
      </c>
      <c r="M29" s="1">
        <f t="shared" si="13"/>
        <v>0.1276310955421629</v>
      </c>
      <c r="O29">
        <v>25</v>
      </c>
      <c r="P29" s="23">
        <f>'$ Portfolio Loss'!P29</f>
        <v>1.7622115508602292</v>
      </c>
      <c r="R29">
        <v>490</v>
      </c>
      <c r="S29" s="23">
        <v>156.51117493912352</v>
      </c>
    </row>
    <row r="30" spans="1:23" x14ac:dyDescent="0.3">
      <c r="A30" s="2">
        <v>0.96</v>
      </c>
      <c r="B30" s="1">
        <f t="shared" si="2"/>
        <v>120.07404964620034</v>
      </c>
      <c r="C30" s="1">
        <f t="shared" si="3"/>
        <v>6.2714575922396341</v>
      </c>
      <c r="D30" s="1">
        <f t="shared" si="4"/>
        <v>109.75841987933264</v>
      </c>
      <c r="E30" s="1">
        <f t="shared" si="5"/>
        <v>130.38967941306805</v>
      </c>
      <c r="F30" s="1">
        <f t="shared" si="6"/>
        <v>20.631259533735417</v>
      </c>
      <c r="G30" s="1">
        <f t="shared" si="7"/>
        <v>148.69853827819142</v>
      </c>
      <c r="H30" s="1">
        <f t="shared" si="8"/>
        <v>0.80749986540930752</v>
      </c>
      <c r="I30" s="1">
        <f t="shared" si="9"/>
        <v>3.3197640478403461</v>
      </c>
      <c r="J30" s="1">
        <f t="shared" si="10"/>
        <v>111.00928738310525</v>
      </c>
      <c r="K30" s="1">
        <f t="shared" si="11"/>
        <v>19.807321411396412</v>
      </c>
      <c r="L30" s="1">
        <f t="shared" si="12"/>
        <v>806.60527742613556</v>
      </c>
      <c r="M30" s="1">
        <f t="shared" si="13"/>
        <v>0.13762529268012488</v>
      </c>
      <c r="O30">
        <v>26</v>
      </c>
      <c r="P30" s="23">
        <f>'$ Portfolio Loss'!P30</f>
        <v>-11.092839921404448</v>
      </c>
      <c r="R30">
        <v>249</v>
      </c>
      <c r="S30" s="23">
        <v>152.98155537234743</v>
      </c>
    </row>
    <row r="31" spans="1:23" x14ac:dyDescent="0.3">
      <c r="A31" s="2">
        <v>0.95499999999999996</v>
      </c>
      <c r="B31" s="1">
        <f t="shared" si="2"/>
        <v>117.72804759613484</v>
      </c>
      <c r="C31" s="1">
        <f t="shared" si="3"/>
        <v>6.0316776076924379</v>
      </c>
      <c r="D31" s="1">
        <f t="shared" si="4"/>
        <v>107.80682080651997</v>
      </c>
      <c r="E31" s="1">
        <f t="shared" si="5"/>
        <v>127.64927438574972</v>
      </c>
      <c r="F31" s="1">
        <f t="shared" si="6"/>
        <v>19.842453579229755</v>
      </c>
      <c r="G31" s="1">
        <f t="shared" si="7"/>
        <v>145.93616708624771</v>
      </c>
      <c r="H31" s="1">
        <f t="shared" si="8"/>
        <v>0.80670919311289047</v>
      </c>
      <c r="I31" s="1">
        <f t="shared" si="9"/>
        <v>3.1039766945863474</v>
      </c>
      <c r="J31" s="1">
        <f t="shared" si="10"/>
        <v>103.66265647930625</v>
      </c>
      <c r="K31" s="1">
        <f t="shared" si="11"/>
        <v>17.205741918377267</v>
      </c>
      <c r="L31" s="1">
        <f t="shared" si="12"/>
        <v>703.73406580949859</v>
      </c>
      <c r="M31" s="1">
        <f t="shared" si="13"/>
        <v>0.14730373519727807</v>
      </c>
      <c r="O31">
        <v>27</v>
      </c>
      <c r="P31" s="23">
        <f>'$ Portfolio Loss'!P31</f>
        <v>83.47111815237804</v>
      </c>
      <c r="R31">
        <v>370</v>
      </c>
      <c r="S31" s="23">
        <v>152.58539501708401</v>
      </c>
    </row>
    <row r="32" spans="1:23" x14ac:dyDescent="0.3">
      <c r="A32" s="2">
        <v>0.95</v>
      </c>
      <c r="B32" s="1">
        <f t="shared" si="2"/>
        <v>109.73128310811953</v>
      </c>
      <c r="C32" s="1">
        <f t="shared" si="3"/>
        <v>5.8279528101716709</v>
      </c>
      <c r="D32" s="1">
        <f t="shared" si="4"/>
        <v>100.14515379060663</v>
      </c>
      <c r="E32" s="1">
        <f t="shared" si="5"/>
        <v>119.31741242563243</v>
      </c>
      <c r="F32" s="1">
        <f t="shared" si="6"/>
        <v>19.172258635025798</v>
      </c>
      <c r="G32" s="1">
        <f t="shared" si="7"/>
        <v>141.97958360508281</v>
      </c>
      <c r="H32" s="1">
        <f t="shared" si="8"/>
        <v>0.77286663562373759</v>
      </c>
      <c r="I32" s="1">
        <f t="shared" si="9"/>
        <v>2.9199855803537247</v>
      </c>
      <c r="J32" s="1">
        <f t="shared" si="10"/>
        <v>97.398550703585812</v>
      </c>
      <c r="K32" s="1">
        <f t="shared" si="11"/>
        <v>15.125555768445679</v>
      </c>
      <c r="L32" s="1">
        <f t="shared" si="12"/>
        <v>621.33204579396738</v>
      </c>
      <c r="M32" s="1">
        <f t="shared" si="13"/>
        <v>0.15675764893009075</v>
      </c>
      <c r="O32">
        <v>28</v>
      </c>
      <c r="P32" s="23">
        <f>'$ Portfolio Loss'!P32</f>
        <v>-1.6298478305016033</v>
      </c>
      <c r="R32">
        <v>228</v>
      </c>
      <c r="S32" s="23">
        <v>151.05667825214732</v>
      </c>
    </row>
    <row r="33" spans="1:19" x14ac:dyDescent="0.3">
      <c r="A33" s="2">
        <v>0.94499999999999995</v>
      </c>
      <c r="B33" s="1">
        <f t="shared" si="2"/>
        <v>107.75725166548226</v>
      </c>
      <c r="C33" s="1">
        <f t="shared" si="3"/>
        <v>5.6520667897519337</v>
      </c>
      <c r="D33" s="1">
        <f t="shared" si="4"/>
        <v>98.46042910658683</v>
      </c>
      <c r="E33" s="1">
        <f t="shared" si="5"/>
        <v>117.05407422437769</v>
      </c>
      <c r="F33" s="1">
        <f t="shared" si="6"/>
        <v>18.593645117790857</v>
      </c>
      <c r="G33" s="1">
        <f t="shared" si="7"/>
        <v>139.54193096193032</v>
      </c>
      <c r="H33" s="1">
        <f t="shared" si="8"/>
        <v>0.77222130239032216</v>
      </c>
      <c r="I33" s="1">
        <f t="shared" si="9"/>
        <v>2.7604364908487962</v>
      </c>
      <c r="J33" s="1">
        <f t="shared" si="10"/>
        <v>91.966590702435113</v>
      </c>
      <c r="K33" s="1">
        <f t="shared" si="11"/>
        <v>13.424580324662678</v>
      </c>
      <c r="L33" s="1">
        <f t="shared" si="12"/>
        <v>553.81741673412228</v>
      </c>
      <c r="M33" s="1">
        <f t="shared" si="13"/>
        <v>0.16605940500167876</v>
      </c>
      <c r="O33">
        <v>29</v>
      </c>
      <c r="P33" s="23">
        <f>'$ Portfolio Loss'!P33</f>
        <v>26.017542645062349</v>
      </c>
      <c r="R33">
        <v>336</v>
      </c>
      <c r="S33" s="23">
        <v>145.72147568348373</v>
      </c>
    </row>
    <row r="34" spans="1:19" x14ac:dyDescent="0.3">
      <c r="A34" s="2">
        <v>0.94</v>
      </c>
      <c r="B34" s="1">
        <f t="shared" si="2"/>
        <v>104.25253582970373</v>
      </c>
      <c r="C34" s="1">
        <f t="shared" si="3"/>
        <v>5.498219173237354</v>
      </c>
      <c r="D34" s="1">
        <f t="shared" si="4"/>
        <v>95.208770080830149</v>
      </c>
      <c r="E34" s="1">
        <f t="shared" si="5"/>
        <v>113.29630157857731</v>
      </c>
      <c r="F34" s="1">
        <f t="shared" si="6"/>
        <v>18.087531497747165</v>
      </c>
      <c r="G34" s="1">
        <f t="shared" si="7"/>
        <v>136.2094641033562</v>
      </c>
      <c r="H34" s="1">
        <f t="shared" si="8"/>
        <v>0.76538393654200532</v>
      </c>
      <c r="I34" s="1">
        <f t="shared" si="9"/>
        <v>2.6201618703718186</v>
      </c>
      <c r="J34" s="1">
        <f t="shared" si="10"/>
        <v>87.19084343886955</v>
      </c>
      <c r="K34" s="1">
        <f t="shared" si="11"/>
        <v>12.00802746563442</v>
      </c>
      <c r="L34" s="1">
        <f t="shared" si="12"/>
        <v>497.46906323134141</v>
      </c>
      <c r="M34" s="1">
        <f t="shared" si="13"/>
        <v>0.17526887576187347</v>
      </c>
      <c r="O34">
        <v>30</v>
      </c>
      <c r="P34" s="23">
        <f>'$ Portfolio Loss'!P34</f>
        <v>130.07833819139523</v>
      </c>
      <c r="R34">
        <v>499</v>
      </c>
      <c r="S34" s="23">
        <v>142.53549443205702</v>
      </c>
    </row>
    <row r="35" spans="1:19" x14ac:dyDescent="0.3">
      <c r="A35" s="2">
        <v>0.93500000000000005</v>
      </c>
      <c r="B35" s="1">
        <f t="shared" si="2"/>
        <v>99.539487292416354</v>
      </c>
      <c r="C35" s="1">
        <f t="shared" si="3"/>
        <v>5.3621806594279624</v>
      </c>
      <c r="D35" s="1">
        <f t="shared" si="4"/>
        <v>90.719484986387243</v>
      </c>
      <c r="E35" s="1">
        <f t="shared" si="5"/>
        <v>108.35948959844546</v>
      </c>
      <c r="F35" s="1">
        <f t="shared" si="6"/>
        <v>17.64000461205822</v>
      </c>
      <c r="G35" s="1">
        <f t="shared" si="7"/>
        <v>134.06398119775406</v>
      </c>
      <c r="H35" s="1">
        <f t="shared" si="8"/>
        <v>0.74247748278926928</v>
      </c>
      <c r="I35" s="1">
        <f t="shared" si="9"/>
        <v>2.4954091950212236</v>
      </c>
      <c r="J35" s="1">
        <f t="shared" si="10"/>
        <v>82.943551620134116</v>
      </c>
      <c r="K35" s="1">
        <f t="shared" si="11"/>
        <v>10.810274933171344</v>
      </c>
      <c r="L35" s="1">
        <f t="shared" si="12"/>
        <v>449.71091019088874</v>
      </c>
      <c r="M35" s="1">
        <f t="shared" si="13"/>
        <v>0.18443749026441691</v>
      </c>
      <c r="O35">
        <v>31</v>
      </c>
      <c r="P35" s="23">
        <f>'$ Portfolio Loss'!P35</f>
        <v>155.08620579541093</v>
      </c>
      <c r="R35">
        <v>135</v>
      </c>
      <c r="S35" s="23">
        <v>139.7373309141276</v>
      </c>
    </row>
    <row r="36" spans="1:19" x14ac:dyDescent="0.3">
      <c r="A36" s="2">
        <v>0.93</v>
      </c>
      <c r="B36" s="1">
        <f t="shared" si="2"/>
        <v>96.861200030373169</v>
      </c>
      <c r="C36" s="1">
        <f t="shared" si="3"/>
        <v>5.2407837757821687</v>
      </c>
      <c r="D36" s="1">
        <f t="shared" si="4"/>
        <v>88.240877828709444</v>
      </c>
      <c r="E36" s="1">
        <f t="shared" si="5"/>
        <v>105.48152223203689</v>
      </c>
      <c r="F36" s="1">
        <f t="shared" si="6"/>
        <v>17.240644403327451</v>
      </c>
      <c r="G36" s="1">
        <f t="shared" si="7"/>
        <v>130.94905921049684</v>
      </c>
      <c r="H36" s="1">
        <f t="shared" si="8"/>
        <v>0.73968610858571793</v>
      </c>
      <c r="I36" s="1">
        <f t="shared" si="9"/>
        <v>2.3833781805368823</v>
      </c>
      <c r="J36" s="1">
        <f t="shared" si="10"/>
        <v>79.129377616035654</v>
      </c>
      <c r="K36" s="1">
        <f t="shared" si="11"/>
        <v>9.7844499597459258</v>
      </c>
      <c r="L36" s="1">
        <f t="shared" si="12"/>
        <v>408.70298290774286</v>
      </c>
      <c r="M36" s="1">
        <f t="shared" si="13"/>
        <v>0.19361096181159423</v>
      </c>
      <c r="O36">
        <v>32</v>
      </c>
      <c r="P36" s="23">
        <f>'$ Portfolio Loss'!P36</f>
        <v>-32.206177312229556</v>
      </c>
      <c r="R36">
        <v>437</v>
      </c>
      <c r="S36" s="23">
        <v>136.98427225466185</v>
      </c>
    </row>
    <row r="37" spans="1:19" x14ac:dyDescent="0.3">
      <c r="A37" s="2">
        <v>0.92500000000000004</v>
      </c>
      <c r="B37" s="1">
        <f t="shared" si="2"/>
        <v>91.242870247424619</v>
      </c>
      <c r="C37" s="1">
        <f t="shared" si="3"/>
        <v>5.1316021614079688</v>
      </c>
      <c r="D37" s="1">
        <f t="shared" si="4"/>
        <v>82.802135820160714</v>
      </c>
      <c r="E37" s="1">
        <f t="shared" si="5"/>
        <v>99.683604674688524</v>
      </c>
      <c r="F37" s="1">
        <f t="shared" si="6"/>
        <v>16.88146885452781</v>
      </c>
      <c r="G37" s="1">
        <f t="shared" si="7"/>
        <v>128.94618159073917</v>
      </c>
      <c r="H37" s="1">
        <f t="shared" si="8"/>
        <v>0.70760428204860948</v>
      </c>
      <c r="I37" s="1">
        <f t="shared" si="9"/>
        <v>2.281930587727683</v>
      </c>
      <c r="J37" s="1">
        <f t="shared" si="10"/>
        <v>75.675523582380563</v>
      </c>
      <c r="K37" s="1">
        <f t="shared" si="11"/>
        <v>8.8961794451848206</v>
      </c>
      <c r="L37" s="1">
        <f t="shared" si="12"/>
        <v>373.09604316439942</v>
      </c>
      <c r="M37" s="1">
        <f t="shared" si="13"/>
        <v>0.20283121455950481</v>
      </c>
      <c r="O37">
        <v>33</v>
      </c>
      <c r="P37" s="23">
        <f>'$ Portfolio Loss'!P37</f>
        <v>27.475564070495238</v>
      </c>
      <c r="R37">
        <v>408</v>
      </c>
      <c r="S37" s="23">
        <v>136.62167548815887</v>
      </c>
    </row>
    <row r="38" spans="1:19" x14ac:dyDescent="0.3">
      <c r="A38" s="2">
        <v>0.92</v>
      </c>
      <c r="B38" s="1">
        <f t="shared" si="2"/>
        <v>86.993617099999625</v>
      </c>
      <c r="C38" s="1">
        <f t="shared" si="3"/>
        <v>5.0327410009998719</v>
      </c>
      <c r="D38" s="1">
        <f t="shared" si="4"/>
        <v>78.715494810997612</v>
      </c>
      <c r="E38" s="1">
        <f t="shared" si="5"/>
        <v>95.271739389001638</v>
      </c>
      <c r="F38" s="1">
        <f t="shared" si="6"/>
        <v>16.556244578004026</v>
      </c>
      <c r="G38" s="1">
        <f t="shared" si="7"/>
        <v>126.00605373327912</v>
      </c>
      <c r="H38" s="1">
        <f t="shared" si="8"/>
        <v>0.6903923622919077</v>
      </c>
      <c r="I38" s="1">
        <f t="shared" si="9"/>
        <v>2.1894013475992855</v>
      </c>
      <c r="J38" s="1">
        <f t="shared" si="10"/>
        <v>72.525301084252177</v>
      </c>
      <c r="K38" s="1">
        <f t="shared" si="11"/>
        <v>8.119683817312513</v>
      </c>
      <c r="L38" s="1">
        <f t="shared" si="12"/>
        <v>341.87823683182296</v>
      </c>
      <c r="M38" s="1">
        <f t="shared" si="13"/>
        <v>0.2121378118605686</v>
      </c>
      <c r="O38">
        <v>34</v>
      </c>
      <c r="P38" s="23">
        <f>'$ Portfolio Loss'!P38</f>
        <v>41.076332986156558</v>
      </c>
      <c r="R38">
        <v>256</v>
      </c>
      <c r="S38" s="23">
        <v>133.91624239557677</v>
      </c>
    </row>
    <row r="39" spans="1:19" x14ac:dyDescent="0.3">
      <c r="A39" s="2">
        <v>0.91500000000000004</v>
      </c>
      <c r="B39" s="1">
        <f t="shared" si="2"/>
        <v>85.07203760967478</v>
      </c>
      <c r="C39" s="1">
        <f t="shared" si="3"/>
        <v>4.9426957302798264</v>
      </c>
      <c r="D39" s="1">
        <f t="shared" si="4"/>
        <v>76.942026610806451</v>
      </c>
      <c r="E39" s="1">
        <f t="shared" si="5"/>
        <v>93.202048608543109</v>
      </c>
      <c r="F39" s="1">
        <f t="shared" si="6"/>
        <v>16.260021997736658</v>
      </c>
      <c r="G39" s="1">
        <f t="shared" si="7"/>
        <v>124.10575005635408</v>
      </c>
      <c r="H39" s="1">
        <f t="shared" si="8"/>
        <v>0.68548022610592318</v>
      </c>
      <c r="I39" s="1">
        <f t="shared" si="9"/>
        <v>2.1044716744608771</v>
      </c>
      <c r="J39" s="1">
        <f t="shared" si="10"/>
        <v>69.633811143255755</v>
      </c>
      <c r="K39" s="1">
        <f t="shared" si="11"/>
        <v>7.4352495302214257</v>
      </c>
      <c r="L39" s="1">
        <f t="shared" si="12"/>
        <v>314.27586588027441</v>
      </c>
      <c r="M39" s="1">
        <f t="shared" si="13"/>
        <v>0.2215690694168137</v>
      </c>
      <c r="O39">
        <v>35</v>
      </c>
      <c r="P39" s="23">
        <f>'$ Portfolio Loss'!P39</f>
        <v>-43.392817476582422</v>
      </c>
      <c r="R39">
        <v>459</v>
      </c>
      <c r="S39" s="23">
        <v>133.87470779802788</v>
      </c>
    </row>
    <row r="40" spans="1:19" x14ac:dyDescent="0.3">
      <c r="A40" s="2">
        <v>0.91</v>
      </c>
      <c r="B40" s="1">
        <f t="shared" si="2"/>
        <v>83.411056298661606</v>
      </c>
      <c r="C40" s="1">
        <f t="shared" si="3"/>
        <v>4.8602541668787573</v>
      </c>
      <c r="D40" s="1">
        <f t="shared" si="4"/>
        <v>75.416649604365077</v>
      </c>
      <c r="E40" s="1">
        <f t="shared" si="5"/>
        <v>91.405462992958135</v>
      </c>
      <c r="F40" s="1">
        <f t="shared" si="6"/>
        <v>15.988813388593059</v>
      </c>
      <c r="G40" s="1">
        <f t="shared" si="7"/>
        <v>121.43028142275948</v>
      </c>
      <c r="H40" s="1">
        <f t="shared" si="8"/>
        <v>0.68690490807862037</v>
      </c>
      <c r="I40" s="1">
        <f t="shared" si="9"/>
        <v>2.0260814655403436</v>
      </c>
      <c r="J40" s="1">
        <f t="shared" si="10"/>
        <v>66.964961821335734</v>
      </c>
      <c r="K40" s="1">
        <f t="shared" si="11"/>
        <v>6.8275440633212146</v>
      </c>
      <c r="L40" s="1">
        <f t="shared" si="12"/>
        <v>289.68723641444598</v>
      </c>
      <c r="M40" s="1">
        <f t="shared" si="13"/>
        <v>0.23116296958810836</v>
      </c>
      <c r="O40">
        <v>36</v>
      </c>
      <c r="P40" s="23">
        <f>'$ Portfolio Loss'!P40</f>
        <v>81.319532510622594</v>
      </c>
      <c r="R40">
        <v>498</v>
      </c>
      <c r="S40" s="23">
        <v>133.74437618429511</v>
      </c>
    </row>
    <row r="41" spans="1:19" x14ac:dyDescent="0.3">
      <c r="A41" s="2">
        <v>0.90500000000000003</v>
      </c>
      <c r="B41" s="1">
        <f t="shared" si="2"/>
        <v>82.543854124078678</v>
      </c>
      <c r="C41" s="1">
        <f t="shared" si="3"/>
        <v>4.7844271096161295</v>
      </c>
      <c r="D41" s="1">
        <f t="shared" si="4"/>
        <v>74.674171839941636</v>
      </c>
      <c r="E41" s="1">
        <f t="shared" si="5"/>
        <v>90.41353640821572</v>
      </c>
      <c r="F41" s="1">
        <f t="shared" si="6"/>
        <v>15.739364568274084</v>
      </c>
      <c r="G41" s="1">
        <f t="shared" si="7"/>
        <v>119.7861929263341</v>
      </c>
      <c r="H41" s="1">
        <f t="shared" si="8"/>
        <v>0.68909322608525803</v>
      </c>
      <c r="I41" s="1">
        <f t="shared" si="9"/>
        <v>1.9533673701027534</v>
      </c>
      <c r="J41" s="1">
        <f t="shared" si="10"/>
        <v>64.489359740731928</v>
      </c>
      <c r="K41" s="1">
        <f t="shared" si="11"/>
        <v>6.2844630261507426</v>
      </c>
      <c r="L41" s="1">
        <f t="shared" si="12"/>
        <v>267.63739682507622</v>
      </c>
      <c r="M41" s="1">
        <f t="shared" si="13"/>
        <v>0.24095795470197762</v>
      </c>
      <c r="O41">
        <v>37</v>
      </c>
      <c r="P41" s="23">
        <f>'$ Portfolio Loss'!P41</f>
        <v>-15.751944281506439</v>
      </c>
      <c r="R41">
        <v>366</v>
      </c>
      <c r="S41" s="23">
        <v>131.2871219465178</v>
      </c>
    </row>
    <row r="42" spans="1:19" x14ac:dyDescent="0.3">
      <c r="A42" s="2">
        <v>0.9</v>
      </c>
      <c r="B42" s="1">
        <f t="shared" si="2"/>
        <v>82.130682785245</v>
      </c>
      <c r="C42" s="1">
        <f t="shared" si="3"/>
        <v>4.714398099355793</v>
      </c>
      <c r="D42" s="1">
        <f t="shared" si="4"/>
        <v>74.376187972626497</v>
      </c>
      <c r="E42" s="1">
        <f t="shared" si="5"/>
        <v>89.885177597863503</v>
      </c>
      <c r="F42" s="1">
        <f t="shared" si="6"/>
        <v>15.508989625237007</v>
      </c>
      <c r="G42" s="1">
        <f t="shared" si="7"/>
        <v>117.53768732702112</v>
      </c>
      <c r="H42" s="1">
        <f t="shared" si="8"/>
        <v>0.6987604116859607</v>
      </c>
      <c r="I42" s="1">
        <f t="shared" si="9"/>
        <v>1.8856180831641269</v>
      </c>
      <c r="J42" s="1">
        <f t="shared" si="10"/>
        <v>62.182788027292368</v>
      </c>
      <c r="K42" s="1">
        <f t="shared" si="11"/>
        <v>5.7963231319430992</v>
      </c>
      <c r="L42" s="1">
        <f t="shared" si="12"/>
        <v>247.74645451195494</v>
      </c>
      <c r="M42" s="1">
        <f t="shared" si="13"/>
        <v>0.25099365458039985</v>
      </c>
      <c r="O42">
        <v>38</v>
      </c>
      <c r="P42" s="23">
        <f>'$ Portfolio Loss'!P42</f>
        <v>-97.387233190371262</v>
      </c>
      <c r="R42">
        <v>415</v>
      </c>
      <c r="S42" s="23">
        <v>131.03039933957552</v>
      </c>
    </row>
    <row r="43" spans="1:19" x14ac:dyDescent="0.3">
      <c r="A43" s="2"/>
      <c r="O43">
        <v>39</v>
      </c>
      <c r="P43" s="23">
        <f>'$ Portfolio Loss'!P43</f>
        <v>-45.240596867106433</v>
      </c>
      <c r="R43">
        <v>375</v>
      </c>
      <c r="S43" s="23">
        <v>129.24069165022593</v>
      </c>
    </row>
    <row r="44" spans="1:19" x14ac:dyDescent="0.3">
      <c r="A44" s="2"/>
      <c r="J44" s="1"/>
      <c r="O44">
        <v>40</v>
      </c>
      <c r="P44" s="23">
        <f>'$ Portfolio Loss'!P44</f>
        <v>35.174552520771613</v>
      </c>
      <c r="R44">
        <v>298</v>
      </c>
      <c r="S44" s="23">
        <v>128.27438934693964</v>
      </c>
    </row>
    <row r="45" spans="1:19" x14ac:dyDescent="0.3">
      <c r="A45" s="2"/>
      <c r="O45">
        <v>41</v>
      </c>
      <c r="P45" s="23">
        <f>'$ Portfolio Loss'!P45</f>
        <v>-51.852351654193626</v>
      </c>
      <c r="R45">
        <v>241</v>
      </c>
      <c r="S45" s="23">
        <v>127.9211213055969</v>
      </c>
    </row>
    <row r="46" spans="1:19" x14ac:dyDescent="0.3">
      <c r="O46">
        <v>42</v>
      </c>
      <c r="P46" s="23">
        <f>'$ Portfolio Loss'!P46</f>
        <v>-28.987070945604501</v>
      </c>
      <c r="R46">
        <v>142</v>
      </c>
      <c r="S46" s="23">
        <v>127.69298705638721</v>
      </c>
    </row>
    <row r="47" spans="1:19" x14ac:dyDescent="0.3">
      <c r="O47">
        <v>43</v>
      </c>
      <c r="P47" s="23">
        <f>'$ Portfolio Loss'!P47</f>
        <v>9.0124274134759617</v>
      </c>
      <c r="R47">
        <v>429</v>
      </c>
      <c r="S47" s="23">
        <v>125.46235599386819</v>
      </c>
    </row>
    <row r="48" spans="1:19" x14ac:dyDescent="0.3">
      <c r="O48">
        <v>44</v>
      </c>
      <c r="P48" s="23">
        <f>'$ Portfolio Loss'!P48</f>
        <v>-0.76697302039065107</v>
      </c>
      <c r="R48">
        <v>98</v>
      </c>
      <c r="S48" s="23">
        <v>124.43121451282423</v>
      </c>
    </row>
    <row r="49" spans="15:19" x14ac:dyDescent="0.3">
      <c r="O49">
        <v>45</v>
      </c>
      <c r="P49" s="23">
        <f>'$ Portfolio Loss'!P49</f>
        <v>59.84980215948417</v>
      </c>
      <c r="R49">
        <v>481</v>
      </c>
      <c r="S49" s="23">
        <v>123.34256543069023</v>
      </c>
    </row>
    <row r="50" spans="15:19" x14ac:dyDescent="0.3">
      <c r="O50">
        <v>46</v>
      </c>
      <c r="P50" s="23">
        <f>'$ Portfolio Loss'!P50</f>
        <v>-70.807302666375108</v>
      </c>
      <c r="R50">
        <v>488</v>
      </c>
      <c r="S50" s="23">
        <v>123.0999335494671</v>
      </c>
    </row>
    <row r="51" spans="15:19" x14ac:dyDescent="0.3">
      <c r="O51">
        <v>47</v>
      </c>
      <c r="P51" s="23">
        <f>'$ Portfolio Loss'!P51</f>
        <v>-101.25381715687399</v>
      </c>
      <c r="R51">
        <v>451</v>
      </c>
      <c r="S51" s="23">
        <v>123.04408139780935</v>
      </c>
    </row>
    <row r="52" spans="15:19" x14ac:dyDescent="0.3">
      <c r="O52">
        <v>48</v>
      </c>
      <c r="P52" s="23">
        <f>'$ Portfolio Loss'!P52</f>
        <v>24.048701912724937</v>
      </c>
      <c r="R52">
        <v>240</v>
      </c>
      <c r="S52" s="23">
        <v>122.93748785324351</v>
      </c>
    </row>
    <row r="53" spans="15:19" x14ac:dyDescent="0.3">
      <c r="O53">
        <v>49</v>
      </c>
      <c r="P53" s="23">
        <f>'$ Portfolio Loss'!P53</f>
        <v>29.747836032629493</v>
      </c>
      <c r="R53">
        <v>141</v>
      </c>
      <c r="S53" s="23">
        <v>122.608223349529</v>
      </c>
    </row>
    <row r="54" spans="15:19" x14ac:dyDescent="0.3">
      <c r="O54">
        <v>50</v>
      </c>
      <c r="P54" s="23">
        <f>'$ Portfolio Loss'!P54</f>
        <v>-23.652915855562242</v>
      </c>
      <c r="R54">
        <v>296</v>
      </c>
      <c r="S54" s="23">
        <v>121.03198824976062</v>
      </c>
    </row>
    <row r="55" spans="15:19" x14ac:dyDescent="0.3">
      <c r="O55">
        <v>51</v>
      </c>
      <c r="P55" s="23">
        <f>'$ Portfolio Loss'!P55</f>
        <v>43.190384607334636</v>
      </c>
      <c r="R55">
        <v>427</v>
      </c>
      <c r="S55" s="23">
        <v>121.01042413684809</v>
      </c>
    </row>
    <row r="56" spans="15:19" x14ac:dyDescent="0.3">
      <c r="O56">
        <v>52</v>
      </c>
      <c r="P56" s="23">
        <f>'$ Portfolio Loss'!P56</f>
        <v>84.450097055050719</v>
      </c>
      <c r="R56">
        <v>469</v>
      </c>
      <c r="S56" s="23">
        <v>120.23273209612489</v>
      </c>
    </row>
    <row r="57" spans="15:19" x14ac:dyDescent="0.3">
      <c r="O57">
        <v>53</v>
      </c>
      <c r="P57" s="23">
        <f>'$ Portfolio Loss'!P57</f>
        <v>-2.4106247774107032</v>
      </c>
      <c r="R57">
        <v>358</v>
      </c>
      <c r="S57" s="23">
        <v>119.18281433402262</v>
      </c>
    </row>
    <row r="58" spans="15:19" x14ac:dyDescent="0.3">
      <c r="O58">
        <v>54</v>
      </c>
      <c r="P58" s="23">
        <f>'$ Portfolio Loss'!P58</f>
        <v>-75.519634658701762</v>
      </c>
      <c r="R58">
        <v>445</v>
      </c>
      <c r="S58" s="23">
        <v>118.11657607364032</v>
      </c>
    </row>
    <row r="59" spans="15:19" x14ac:dyDescent="0.3">
      <c r="O59">
        <v>55</v>
      </c>
      <c r="P59" s="23">
        <f>'$ Portfolio Loss'!P59</f>
        <v>-45.211974040936184</v>
      </c>
      <c r="R59">
        <v>21</v>
      </c>
      <c r="S59" s="23">
        <v>118.08934495997346</v>
      </c>
    </row>
    <row r="60" spans="15:19" x14ac:dyDescent="0.3">
      <c r="O60">
        <v>56</v>
      </c>
      <c r="P60" s="23">
        <f>'$ Portfolio Loss'!P60</f>
        <v>-38.067827783341272</v>
      </c>
      <c r="R60">
        <v>302</v>
      </c>
      <c r="S60" s="23">
        <v>117.99525083352819</v>
      </c>
    </row>
    <row r="61" spans="15:19" x14ac:dyDescent="0.3">
      <c r="O61">
        <v>57</v>
      </c>
      <c r="P61" s="23">
        <f>'$ Portfolio Loss'!P61</f>
        <v>-12.17901148486817</v>
      </c>
      <c r="R61">
        <v>225</v>
      </c>
      <c r="S61" s="23">
        <v>117.81808259283571</v>
      </c>
    </row>
    <row r="62" spans="15:19" x14ac:dyDescent="0.3">
      <c r="O62">
        <v>58</v>
      </c>
      <c r="P62" s="23">
        <f>'$ Portfolio Loss'!P62</f>
        <v>18.049147858888318</v>
      </c>
      <c r="R62">
        <v>334</v>
      </c>
      <c r="S62" s="23">
        <v>117.38142640045953</v>
      </c>
    </row>
    <row r="63" spans="15:19" x14ac:dyDescent="0.3">
      <c r="O63">
        <v>59</v>
      </c>
      <c r="P63" s="23">
        <f>'$ Portfolio Loss'!P63</f>
        <v>41.47714379673198</v>
      </c>
      <c r="R63">
        <v>132</v>
      </c>
      <c r="S63" s="23">
        <v>113.97078774600413</v>
      </c>
    </row>
    <row r="64" spans="15:19" x14ac:dyDescent="0.3">
      <c r="O64">
        <v>60</v>
      </c>
      <c r="P64" s="23">
        <f>'$ Portfolio Loss'!P64</f>
        <v>14.292364227270809</v>
      </c>
      <c r="R64">
        <v>465</v>
      </c>
      <c r="S64" s="23">
        <v>113.09410090882193</v>
      </c>
    </row>
    <row r="65" spans="15:19" x14ac:dyDescent="0.3">
      <c r="O65">
        <v>61</v>
      </c>
      <c r="P65" s="23">
        <f>'$ Portfolio Loss'!P65</f>
        <v>-39.02391067921053</v>
      </c>
      <c r="R65">
        <v>371</v>
      </c>
      <c r="S65" s="23">
        <v>112.44478436864847</v>
      </c>
    </row>
    <row r="66" spans="15:19" x14ac:dyDescent="0.3">
      <c r="O66">
        <v>62</v>
      </c>
      <c r="P66" s="23">
        <f>'$ Portfolio Loss'!P66</f>
        <v>-31.425997423397348</v>
      </c>
      <c r="R66">
        <v>254</v>
      </c>
      <c r="S66" s="23">
        <v>112.42275590582722</v>
      </c>
    </row>
    <row r="67" spans="15:19" x14ac:dyDescent="0.3">
      <c r="O67">
        <v>63</v>
      </c>
      <c r="P67" s="23">
        <f>'$ Portfolio Loss'!P67</f>
        <v>-45.503498612602925</v>
      </c>
      <c r="R67">
        <v>233</v>
      </c>
      <c r="S67" s="23">
        <v>108.81012583367192</v>
      </c>
    </row>
    <row r="68" spans="15:19" x14ac:dyDescent="0.3">
      <c r="O68">
        <v>64</v>
      </c>
      <c r="P68" s="23">
        <f>'$ Portfolio Loss'!P68</f>
        <v>-75.332368974681231</v>
      </c>
      <c r="R68">
        <v>194</v>
      </c>
      <c r="S68" s="23">
        <v>106.08073291957771</v>
      </c>
    </row>
    <row r="69" spans="15:19" x14ac:dyDescent="0.3">
      <c r="O69">
        <v>65</v>
      </c>
      <c r="P69" s="23">
        <f>'$ Portfolio Loss'!P69</f>
        <v>-13.703420104413453</v>
      </c>
      <c r="R69">
        <v>350</v>
      </c>
      <c r="S69" s="23">
        <v>105.65210020491941</v>
      </c>
    </row>
    <row r="70" spans="15:19" x14ac:dyDescent="0.3">
      <c r="O70">
        <v>66</v>
      </c>
      <c r="P70" s="23">
        <f>'$ Portfolio Loss'!P70</f>
        <v>-52.041807418727331</v>
      </c>
      <c r="R70">
        <v>364</v>
      </c>
      <c r="S70" s="23">
        <v>104.89806083192889</v>
      </c>
    </row>
    <row r="71" spans="15:19" x14ac:dyDescent="0.3">
      <c r="O71">
        <v>67</v>
      </c>
      <c r="P71" s="23">
        <f>'$ Portfolio Loss'!P71</f>
        <v>27.793594823559033</v>
      </c>
      <c r="R71">
        <v>472</v>
      </c>
      <c r="S71" s="23">
        <v>103.14199662658939</v>
      </c>
    </row>
    <row r="72" spans="15:19" x14ac:dyDescent="0.3">
      <c r="O72">
        <v>68</v>
      </c>
      <c r="P72" s="23">
        <f>'$ Portfolio Loss'!P72</f>
        <v>-21.149687750057637</v>
      </c>
      <c r="R72">
        <v>453</v>
      </c>
      <c r="S72" s="23">
        <v>102.16532099117103</v>
      </c>
    </row>
    <row r="73" spans="15:19" x14ac:dyDescent="0.3">
      <c r="O73">
        <v>69</v>
      </c>
      <c r="P73" s="23">
        <f>'$ Portfolio Loss'!P73</f>
        <v>14.972752358245998</v>
      </c>
      <c r="R73">
        <v>20</v>
      </c>
      <c r="S73" s="23">
        <v>101.20088325966572</v>
      </c>
    </row>
    <row r="74" spans="15:19" x14ac:dyDescent="0.3">
      <c r="O74">
        <v>70</v>
      </c>
      <c r="P74" s="23">
        <f>'$ Portfolio Loss'!P74</f>
        <v>10.577998784774536</v>
      </c>
      <c r="R74">
        <v>461</v>
      </c>
      <c r="S74" s="23">
        <v>100.80099496688126</v>
      </c>
    </row>
    <row r="75" spans="15:19" x14ac:dyDescent="0.3">
      <c r="O75">
        <v>71</v>
      </c>
      <c r="P75" s="23">
        <f>'$ Portfolio Loss'!P75</f>
        <v>-49.688514878745991</v>
      </c>
      <c r="R75">
        <v>351</v>
      </c>
      <c r="S75" s="23">
        <v>100.48137997735466</v>
      </c>
    </row>
    <row r="76" spans="15:19" x14ac:dyDescent="0.3">
      <c r="O76">
        <v>72</v>
      </c>
      <c r="P76" s="23">
        <f>'$ Portfolio Loss'!P76</f>
        <v>42.140566460897389</v>
      </c>
      <c r="R76">
        <v>193</v>
      </c>
      <c r="S76" s="23">
        <v>99.966077181925357</v>
      </c>
    </row>
    <row r="77" spans="15:19" x14ac:dyDescent="0.3">
      <c r="O77">
        <v>73</v>
      </c>
      <c r="P77" s="23">
        <f>'$ Portfolio Loss'!P77</f>
        <v>-52.090910776058081</v>
      </c>
      <c r="R77">
        <v>175</v>
      </c>
      <c r="S77" s="23">
        <v>99.588270163307243</v>
      </c>
    </row>
    <row r="78" spans="15:19" x14ac:dyDescent="0.3">
      <c r="O78">
        <v>74</v>
      </c>
      <c r="P78" s="23">
        <f>'$ Portfolio Loss'!P78</f>
        <v>42.062891708150346</v>
      </c>
      <c r="R78">
        <v>318</v>
      </c>
      <c r="S78" s="23">
        <v>98.372581884141255</v>
      </c>
    </row>
    <row r="79" spans="15:19" x14ac:dyDescent="0.3">
      <c r="O79">
        <v>75</v>
      </c>
      <c r="P79" s="23">
        <f>'$ Portfolio Loss'!P79</f>
        <v>29.492935027308704</v>
      </c>
      <c r="R79">
        <v>321</v>
      </c>
      <c r="S79" s="23">
        <v>97.34824603116067</v>
      </c>
    </row>
    <row r="80" spans="15:19" x14ac:dyDescent="0.3">
      <c r="O80">
        <v>76</v>
      </c>
      <c r="P80" s="23">
        <f>'$ Portfolio Loss'!P80</f>
        <v>90.974661000205742</v>
      </c>
      <c r="R80">
        <v>335</v>
      </c>
      <c r="S80" s="23">
        <v>96.385817169086295</v>
      </c>
    </row>
    <row r="81" spans="15:19" x14ac:dyDescent="0.3">
      <c r="O81">
        <v>77</v>
      </c>
      <c r="P81" s="23">
        <f>'$ Portfolio Loss'!P81</f>
        <v>-7.7669676584409899</v>
      </c>
      <c r="R81">
        <v>284</v>
      </c>
      <c r="S81" s="23">
        <v>95.038025661946449</v>
      </c>
    </row>
    <row r="82" spans="15:19" x14ac:dyDescent="0.3">
      <c r="O82">
        <v>78</v>
      </c>
      <c r="P82" s="23">
        <f>'$ Portfolio Loss'!P82</f>
        <v>-18.078819578435287</v>
      </c>
      <c r="R82">
        <v>416</v>
      </c>
      <c r="S82" s="23">
        <v>93.601425174438191</v>
      </c>
    </row>
    <row r="83" spans="15:19" x14ac:dyDescent="0.3">
      <c r="O83">
        <v>79</v>
      </c>
      <c r="P83" s="23">
        <f>'$ Portfolio Loss'!P83</f>
        <v>-35.439429521753482</v>
      </c>
      <c r="R83">
        <v>389</v>
      </c>
      <c r="S83" s="23">
        <v>93.099163924864115</v>
      </c>
    </row>
    <row r="84" spans="15:19" x14ac:dyDescent="0.3">
      <c r="O84">
        <v>80</v>
      </c>
      <c r="P84" s="23">
        <f>'$ Portfolio Loss'!P84</f>
        <v>-44.390868681701249</v>
      </c>
      <c r="R84">
        <v>430</v>
      </c>
      <c r="S84" s="23">
        <v>90.567430256933221</v>
      </c>
    </row>
    <row r="85" spans="15:19" x14ac:dyDescent="0.3">
      <c r="O85">
        <v>81</v>
      </c>
      <c r="P85" s="23">
        <f>'$ Portfolio Loss'!P85</f>
        <v>-31.677569586667232</v>
      </c>
      <c r="R85">
        <v>418</v>
      </c>
      <c r="S85" s="23">
        <v>90.533427239264711</v>
      </c>
    </row>
    <row r="86" spans="15:19" x14ac:dyDescent="0.3">
      <c r="O86">
        <v>82</v>
      </c>
      <c r="P86" s="23">
        <f>'$ Portfolio Loss'!P86</f>
        <v>-42.637269321383428</v>
      </c>
      <c r="R86">
        <v>444</v>
      </c>
      <c r="S86" s="23">
        <v>88.545575824464322</v>
      </c>
    </row>
    <row r="87" spans="15:19" x14ac:dyDescent="0.3">
      <c r="O87">
        <v>83</v>
      </c>
      <c r="P87" s="23">
        <f>'$ Portfolio Loss'!P87</f>
        <v>-42.78123194343425</v>
      </c>
      <c r="R87">
        <v>299</v>
      </c>
      <c r="S87" s="23">
        <v>86.96428468583872</v>
      </c>
    </row>
    <row r="88" spans="15:19" x14ac:dyDescent="0.3">
      <c r="O88">
        <v>84</v>
      </c>
      <c r="P88" s="23">
        <f>'$ Portfolio Loss'!P88</f>
        <v>52.159878670374383</v>
      </c>
      <c r="R88">
        <v>466</v>
      </c>
      <c r="S88" s="23">
        <v>84.359650178445008</v>
      </c>
    </row>
    <row r="89" spans="15:19" x14ac:dyDescent="0.3">
      <c r="O89">
        <v>85</v>
      </c>
      <c r="P89" s="23">
        <f>'$ Portfolio Loss'!P89</f>
        <v>-25.871490935322072</v>
      </c>
      <c r="R89">
        <v>435</v>
      </c>
      <c r="S89" s="23">
        <v>82.771221278409939</v>
      </c>
    </row>
    <row r="90" spans="15:19" x14ac:dyDescent="0.3">
      <c r="O90">
        <v>86</v>
      </c>
      <c r="P90" s="23">
        <f>'$ Portfolio Loss'!P90</f>
        <v>-23.92512322683433</v>
      </c>
      <c r="R90">
        <v>134</v>
      </c>
      <c r="S90" s="23">
        <v>81.942326419741221</v>
      </c>
    </row>
    <row r="91" spans="15:19" x14ac:dyDescent="0.3">
      <c r="O91">
        <v>87</v>
      </c>
      <c r="P91" s="23">
        <f>'$ Portfolio Loss'!P91</f>
        <v>62.287658887842554</v>
      </c>
      <c r="R91">
        <v>392</v>
      </c>
      <c r="S91" s="23">
        <v>81.909793142953276</v>
      </c>
    </row>
    <row r="92" spans="15:19" x14ac:dyDescent="0.3">
      <c r="O92">
        <v>88</v>
      </c>
      <c r="P92" s="23">
        <f>'$ Portfolio Loss'!P92</f>
        <v>15.815665313972204</v>
      </c>
      <c r="R92">
        <v>294</v>
      </c>
      <c r="S92" s="23">
        <v>81.74057500199342</v>
      </c>
    </row>
    <row r="93" spans="15:19" x14ac:dyDescent="0.3">
      <c r="O93">
        <v>89</v>
      </c>
      <c r="P93" s="23">
        <f>'$ Portfolio Loss'!P93</f>
        <v>21.396406804200524</v>
      </c>
      <c r="R93">
        <v>406</v>
      </c>
      <c r="S93" s="23">
        <v>81.162557870480668</v>
      </c>
    </row>
    <row r="94" spans="15:19" x14ac:dyDescent="0.3">
      <c r="O94">
        <v>90</v>
      </c>
      <c r="P94" s="23">
        <f>'$ Portfolio Loss'!P94</f>
        <v>98.788857615676534</v>
      </c>
      <c r="R94">
        <v>393</v>
      </c>
      <c r="S94" s="23">
        <v>80.53876630713421</v>
      </c>
    </row>
    <row r="95" spans="15:19" x14ac:dyDescent="0.3">
      <c r="O95">
        <v>91</v>
      </c>
      <c r="P95" s="23">
        <f>'$ Portfolio Loss'!P95</f>
        <v>14.180501838131022</v>
      </c>
      <c r="R95">
        <v>486</v>
      </c>
      <c r="S95" s="23">
        <v>79.353220281544054</v>
      </c>
    </row>
    <row r="96" spans="15:19" x14ac:dyDescent="0.3">
      <c r="O96">
        <v>92</v>
      </c>
      <c r="P96" s="23">
        <f>'$ Portfolio Loss'!P96</f>
        <v>40.34537678045308</v>
      </c>
      <c r="R96">
        <v>337</v>
      </c>
      <c r="S96" s="23">
        <v>77.734542978660102</v>
      </c>
    </row>
    <row r="97" spans="15:19" x14ac:dyDescent="0.3">
      <c r="O97">
        <v>93</v>
      </c>
      <c r="P97" s="23">
        <f>'$ Portfolio Loss'!P97</f>
        <v>33.763832907512551</v>
      </c>
      <c r="R97">
        <v>313</v>
      </c>
      <c r="S97" s="23">
        <v>77.697118357044019</v>
      </c>
    </row>
    <row r="98" spans="15:19" x14ac:dyDescent="0.3">
      <c r="O98">
        <v>94</v>
      </c>
      <c r="P98" s="23">
        <f>'$ Portfolio Loss'!P98</f>
        <v>83.999946449876006</v>
      </c>
      <c r="R98">
        <v>221</v>
      </c>
      <c r="S98" s="23">
        <v>76.827023197807648</v>
      </c>
    </row>
    <row r="99" spans="15:19" x14ac:dyDescent="0.3">
      <c r="O99">
        <v>95</v>
      </c>
      <c r="P99" s="23">
        <f>'$ Portfolio Loss'!P99</f>
        <v>45.596149453640464</v>
      </c>
      <c r="R99">
        <v>74</v>
      </c>
      <c r="S99" s="23">
        <v>76.726569187892892</v>
      </c>
    </row>
    <row r="100" spans="15:19" x14ac:dyDescent="0.3">
      <c r="O100">
        <v>96</v>
      </c>
      <c r="P100" s="23">
        <f>'$ Portfolio Loss'!P100</f>
        <v>27.742666606205603</v>
      </c>
      <c r="R100">
        <v>345</v>
      </c>
      <c r="S100" s="23">
        <v>74.993330123194028</v>
      </c>
    </row>
    <row r="101" spans="15:19" x14ac:dyDescent="0.3">
      <c r="O101">
        <v>97</v>
      </c>
      <c r="P101" s="23">
        <f>'$ Portfolio Loss'!P101</f>
        <v>55.943662541565573</v>
      </c>
      <c r="R101">
        <v>331</v>
      </c>
      <c r="S101" s="23">
        <v>74.736998641259561</v>
      </c>
    </row>
    <row r="102" spans="15:19" x14ac:dyDescent="0.3">
      <c r="O102">
        <v>98</v>
      </c>
      <c r="P102" s="23">
        <f>'$ Portfolio Loss'!P102</f>
        <v>-75.187363725979594</v>
      </c>
      <c r="R102">
        <v>205</v>
      </c>
      <c r="S102" s="23">
        <v>74.376110768313083</v>
      </c>
    </row>
    <row r="103" spans="15:19" x14ac:dyDescent="0.3">
      <c r="O103">
        <v>99</v>
      </c>
      <c r="P103" s="23">
        <f>'$ Portfolio Loss'!P103</f>
        <v>54.684932618347375</v>
      </c>
      <c r="R103">
        <v>356</v>
      </c>
      <c r="S103" s="23">
        <v>73.181802204910127</v>
      </c>
    </row>
    <row r="104" spans="15:19" x14ac:dyDescent="0.3">
      <c r="O104">
        <v>100</v>
      </c>
      <c r="P104" s="23">
        <f>'$ Portfolio Loss'!P104</f>
        <v>17.608126440696651</v>
      </c>
      <c r="R104">
        <v>127</v>
      </c>
      <c r="S104" s="23">
        <v>70.760172174293984</v>
      </c>
    </row>
    <row r="105" spans="15:19" x14ac:dyDescent="0.3">
      <c r="O105">
        <v>101</v>
      </c>
      <c r="P105" s="23">
        <f>'$ Portfolio Loss'!P105</f>
        <v>46.923438349458593</v>
      </c>
      <c r="R105">
        <v>23</v>
      </c>
      <c r="S105" s="23">
        <v>70.545222813823784</v>
      </c>
    </row>
    <row r="106" spans="15:19" x14ac:dyDescent="0.3">
      <c r="O106">
        <v>102</v>
      </c>
      <c r="P106" s="23">
        <f>'$ Portfolio Loss'!P106</f>
        <v>-64.205861462356552</v>
      </c>
      <c r="R106">
        <v>280</v>
      </c>
      <c r="S106" s="23">
        <v>70.031677358780144</v>
      </c>
    </row>
    <row r="107" spans="15:19" x14ac:dyDescent="0.3">
      <c r="O107">
        <v>103</v>
      </c>
      <c r="P107" s="23">
        <f>'$ Portfolio Loss'!P107</f>
        <v>-25.158564551336895</v>
      </c>
      <c r="R107">
        <v>185</v>
      </c>
      <c r="S107" s="23">
        <v>69.843817755114287</v>
      </c>
    </row>
    <row r="108" spans="15:19" x14ac:dyDescent="0.3">
      <c r="O108">
        <v>104</v>
      </c>
      <c r="P108" s="23">
        <f>'$ Portfolio Loss'!P108</f>
        <v>-46.415000211824008</v>
      </c>
      <c r="R108">
        <v>197</v>
      </c>
      <c r="S108" s="23">
        <v>68.742833969195999</v>
      </c>
    </row>
    <row r="109" spans="15:19" x14ac:dyDescent="0.3">
      <c r="O109">
        <v>105</v>
      </c>
      <c r="P109" s="23">
        <f>'$ Portfolio Loss'!P109</f>
        <v>41.544658048424026</v>
      </c>
      <c r="R109">
        <v>464</v>
      </c>
      <c r="S109" s="23">
        <v>68.619104822671943</v>
      </c>
    </row>
    <row r="110" spans="15:19" x14ac:dyDescent="0.3">
      <c r="O110">
        <v>106</v>
      </c>
      <c r="P110" s="23">
        <f>'$ Portfolio Loss'!P110</f>
        <v>43.216045745144584</v>
      </c>
      <c r="R110">
        <v>423</v>
      </c>
      <c r="S110" s="23">
        <v>66.859117746642369</v>
      </c>
    </row>
    <row r="111" spans="15:19" x14ac:dyDescent="0.3">
      <c r="O111">
        <v>107</v>
      </c>
      <c r="P111" s="23">
        <f>'$ Portfolio Loss'!P111</f>
        <v>-69.165800514263537</v>
      </c>
      <c r="R111">
        <v>257</v>
      </c>
      <c r="S111" s="23">
        <v>65.949462420958298</v>
      </c>
    </row>
    <row r="112" spans="15:19" x14ac:dyDescent="0.3">
      <c r="O112">
        <v>108</v>
      </c>
      <c r="P112" s="23">
        <f>'$ Portfolio Loss'!P112</f>
        <v>-29.763899731253332</v>
      </c>
      <c r="R112">
        <v>100</v>
      </c>
      <c r="S112" s="23">
        <v>65.274593593121608</v>
      </c>
    </row>
    <row r="113" spans="15:19" x14ac:dyDescent="0.3">
      <c r="O113">
        <v>109</v>
      </c>
      <c r="P113" s="23">
        <f>'$ Portfolio Loss'!P113</f>
        <v>19.397871418801515</v>
      </c>
      <c r="R113">
        <v>111</v>
      </c>
      <c r="S113" s="23">
        <v>64.899406574546447</v>
      </c>
    </row>
    <row r="114" spans="15:19" x14ac:dyDescent="0.3">
      <c r="O114">
        <v>110</v>
      </c>
      <c r="P114" s="23">
        <f>'$ Portfolio Loss'!P114</f>
        <v>1.7180168891118228</v>
      </c>
      <c r="R114">
        <v>231</v>
      </c>
      <c r="S114" s="23">
        <v>63.470986382711999</v>
      </c>
    </row>
    <row r="115" spans="15:19" x14ac:dyDescent="0.3">
      <c r="O115">
        <v>111</v>
      </c>
      <c r="P115" s="23">
        <f>'$ Portfolio Loss'!P115</f>
        <v>-18.899386624620092</v>
      </c>
      <c r="R115">
        <v>31</v>
      </c>
      <c r="S115" s="23">
        <v>62.820878858023207</v>
      </c>
    </row>
    <row r="116" spans="15:19" x14ac:dyDescent="0.3">
      <c r="O116">
        <v>112</v>
      </c>
      <c r="P116" s="23">
        <f>'$ Portfolio Loss'!P116</f>
        <v>-27.654003693322011</v>
      </c>
      <c r="R116">
        <v>110</v>
      </c>
      <c r="S116" s="23">
        <v>60.567651861278136</v>
      </c>
    </row>
    <row r="117" spans="15:19" x14ac:dyDescent="0.3">
      <c r="O117">
        <v>113</v>
      </c>
      <c r="P117" s="23">
        <f>'$ Portfolio Loss'!P117</f>
        <v>10.472959496466501</v>
      </c>
      <c r="R117">
        <v>338</v>
      </c>
      <c r="S117" s="23">
        <v>59.425550734591525</v>
      </c>
    </row>
    <row r="118" spans="15:19" x14ac:dyDescent="0.3">
      <c r="O118">
        <v>114</v>
      </c>
      <c r="P118" s="23">
        <f>'$ Portfolio Loss'!P118</f>
        <v>-67.019059327893046</v>
      </c>
      <c r="R118">
        <v>133</v>
      </c>
      <c r="S118" s="23">
        <v>59.06638542447763</v>
      </c>
    </row>
    <row r="119" spans="15:19" x14ac:dyDescent="0.3">
      <c r="O119">
        <v>115</v>
      </c>
      <c r="P119" s="23">
        <f>'$ Portfolio Loss'!P119</f>
        <v>-71.669762178946257</v>
      </c>
      <c r="R119">
        <v>223</v>
      </c>
      <c r="S119" s="23">
        <v>58.904445030450006</v>
      </c>
    </row>
    <row r="120" spans="15:19" x14ac:dyDescent="0.3">
      <c r="O120">
        <v>116</v>
      </c>
      <c r="P120" s="23">
        <f>'$ Portfolio Loss'!P120</f>
        <v>-3.4396613283497572</v>
      </c>
      <c r="R120">
        <v>279</v>
      </c>
      <c r="S120" s="23">
        <v>58.066200834919073</v>
      </c>
    </row>
    <row r="121" spans="15:19" x14ac:dyDescent="0.3">
      <c r="O121">
        <v>117</v>
      </c>
      <c r="P121" s="23">
        <f>'$ Portfolio Loss'!P121</f>
        <v>-18.888991996265759</v>
      </c>
      <c r="R121">
        <v>374</v>
      </c>
      <c r="S121" s="23">
        <v>57.551068875509372</v>
      </c>
    </row>
    <row r="122" spans="15:19" x14ac:dyDescent="0.3">
      <c r="O122">
        <v>118</v>
      </c>
      <c r="P122" s="23">
        <f>'$ Portfolio Loss'!P122</f>
        <v>66.048228246800136</v>
      </c>
      <c r="R122">
        <v>324</v>
      </c>
      <c r="S122" s="23">
        <v>56.143111055313057</v>
      </c>
    </row>
    <row r="123" spans="15:19" x14ac:dyDescent="0.3">
      <c r="O123">
        <v>119</v>
      </c>
      <c r="P123" s="23">
        <f>'$ Portfolio Loss'!P123</f>
        <v>48.198099265851852</v>
      </c>
      <c r="R123">
        <v>216</v>
      </c>
      <c r="S123" s="23">
        <v>55.459022986871787</v>
      </c>
    </row>
    <row r="124" spans="15:19" x14ac:dyDescent="0.3">
      <c r="O124">
        <v>120</v>
      </c>
      <c r="P124" s="23">
        <f>'$ Portfolio Loss'!P124</f>
        <v>5.6860837377735152</v>
      </c>
      <c r="R124">
        <v>293</v>
      </c>
      <c r="S124" s="23">
        <v>55.267326009172393</v>
      </c>
    </row>
    <row r="125" spans="15:19" x14ac:dyDescent="0.3">
      <c r="O125">
        <v>121</v>
      </c>
      <c r="P125" s="23">
        <f>'$ Portfolio Loss'!P125</f>
        <v>91.200542542463154</v>
      </c>
      <c r="R125">
        <v>442</v>
      </c>
      <c r="S125" s="23">
        <v>54.546715863871214</v>
      </c>
    </row>
    <row r="126" spans="15:19" x14ac:dyDescent="0.3">
      <c r="O126">
        <v>122</v>
      </c>
      <c r="P126" s="23">
        <f>'$ Portfolio Loss'!P126</f>
        <v>-19.239699253575964</v>
      </c>
      <c r="R126">
        <v>404</v>
      </c>
      <c r="S126" s="23">
        <v>53.868515290299911</v>
      </c>
    </row>
    <row r="127" spans="15:19" x14ac:dyDescent="0.3">
      <c r="O127">
        <v>123</v>
      </c>
      <c r="P127" s="23">
        <f>'$ Portfolio Loss'!P127</f>
        <v>-34.816118621238274</v>
      </c>
      <c r="R127">
        <v>3</v>
      </c>
      <c r="S127" s="23">
        <v>53.264059162311241</v>
      </c>
    </row>
    <row r="128" spans="15:19" x14ac:dyDescent="0.3">
      <c r="O128">
        <v>124</v>
      </c>
      <c r="P128" s="23">
        <f>'$ Portfolio Loss'!P128</f>
        <v>-87.853599859987298</v>
      </c>
      <c r="R128">
        <v>450</v>
      </c>
      <c r="S128" s="23">
        <v>52.834439323774859</v>
      </c>
    </row>
    <row r="129" spans="15:19" x14ac:dyDescent="0.3">
      <c r="O129">
        <v>125</v>
      </c>
      <c r="P129" s="23">
        <f>'$ Portfolio Loss'!P129</f>
        <v>-49.33026997747038</v>
      </c>
      <c r="R129">
        <v>120</v>
      </c>
      <c r="S129" s="23">
        <v>51.672309483385106</v>
      </c>
    </row>
    <row r="130" spans="15:19" x14ac:dyDescent="0.3">
      <c r="O130">
        <v>126</v>
      </c>
      <c r="P130" s="23">
        <f>'$ Portfolio Loss'!P130</f>
        <v>0.40734739194158465</v>
      </c>
      <c r="R130">
        <v>41</v>
      </c>
      <c r="S130" s="23">
        <v>51.42113813609285</v>
      </c>
    </row>
    <row r="131" spans="15:19" x14ac:dyDescent="0.3">
      <c r="O131">
        <v>127</v>
      </c>
      <c r="P131" s="23">
        <f>'$ Portfolio Loss'!P131</f>
        <v>39.593918074420799</v>
      </c>
      <c r="R131">
        <v>56</v>
      </c>
      <c r="S131" s="23">
        <v>51.261844210452182</v>
      </c>
    </row>
    <row r="132" spans="15:19" x14ac:dyDescent="0.3">
      <c r="O132">
        <v>128</v>
      </c>
      <c r="P132" s="23">
        <f>'$ Portfolio Loss'!P132</f>
        <v>107.18655683130601</v>
      </c>
      <c r="R132">
        <v>70</v>
      </c>
      <c r="S132" s="23">
        <v>49.799432483365308</v>
      </c>
    </row>
    <row r="133" spans="15:19" x14ac:dyDescent="0.3">
      <c r="O133">
        <v>129</v>
      </c>
      <c r="P133" s="23">
        <f>'$ Portfolio Loss'!P133</f>
        <v>13.553403503401569</v>
      </c>
      <c r="R133">
        <v>436</v>
      </c>
      <c r="S133" s="23">
        <v>48.382162982183218</v>
      </c>
    </row>
    <row r="134" spans="15:19" x14ac:dyDescent="0.3">
      <c r="O134">
        <v>130</v>
      </c>
      <c r="P134" s="23">
        <f>'$ Portfolio Loss'!P134</f>
        <v>9.043945226152573</v>
      </c>
      <c r="R134">
        <v>399</v>
      </c>
      <c r="S134" s="23">
        <v>48.126874003788544</v>
      </c>
    </row>
    <row r="135" spans="15:19" x14ac:dyDescent="0.3">
      <c r="O135">
        <v>131</v>
      </c>
      <c r="P135" s="23">
        <f>'$ Portfolio Loss'!P135</f>
        <v>42.910175496283046</v>
      </c>
      <c r="R135">
        <v>226</v>
      </c>
      <c r="S135" s="23">
        <v>47.245018210911439</v>
      </c>
    </row>
    <row r="136" spans="15:19" x14ac:dyDescent="0.3">
      <c r="O136">
        <v>132</v>
      </c>
      <c r="P136" s="23">
        <f>'$ Portfolio Loss'!P136</f>
        <v>-28.333702697371336</v>
      </c>
      <c r="R136">
        <v>491</v>
      </c>
      <c r="S136" s="23">
        <v>47.048775944464069</v>
      </c>
    </row>
    <row r="137" spans="15:19" x14ac:dyDescent="0.3">
      <c r="O137">
        <v>133</v>
      </c>
      <c r="P137" s="23">
        <f>'$ Portfolio Loss'!P137</f>
        <v>-24.83953552730236</v>
      </c>
      <c r="R137">
        <v>343</v>
      </c>
      <c r="S137" s="23">
        <v>46.519402504671234</v>
      </c>
    </row>
    <row r="138" spans="15:19" x14ac:dyDescent="0.3">
      <c r="O138">
        <v>134</v>
      </c>
      <c r="P138" s="23">
        <f>'$ Portfolio Loss'!P138</f>
        <v>-87.609325575729599</v>
      </c>
      <c r="R138">
        <v>297</v>
      </c>
      <c r="S138" s="23">
        <v>45.30601771561669</v>
      </c>
    </row>
    <row r="139" spans="15:19" x14ac:dyDescent="0.3">
      <c r="O139">
        <v>135</v>
      </c>
      <c r="P139" s="23">
        <f>'$ Portfolio Loss'!P139</f>
        <v>-36.315758456334152</v>
      </c>
      <c r="R139">
        <v>425</v>
      </c>
      <c r="S139" s="23">
        <v>44.835349503879115</v>
      </c>
    </row>
    <row r="140" spans="15:19" x14ac:dyDescent="0.3">
      <c r="O140">
        <v>136</v>
      </c>
      <c r="P140" s="23">
        <f>'$ Portfolio Loss'!P140</f>
        <v>24.892207019420312</v>
      </c>
      <c r="R140">
        <v>290</v>
      </c>
      <c r="S140" s="23">
        <v>44.719708930526394</v>
      </c>
    </row>
    <row r="141" spans="15:19" x14ac:dyDescent="0.3">
      <c r="O141">
        <v>137</v>
      </c>
      <c r="P141" s="23">
        <f>'$ Portfolio Loss'!P141</f>
        <v>15.156891216052827</v>
      </c>
      <c r="R141">
        <v>150</v>
      </c>
      <c r="S141" s="23">
        <v>43.48924320686092</v>
      </c>
    </row>
    <row r="142" spans="15:19" x14ac:dyDescent="0.3">
      <c r="O142">
        <v>138</v>
      </c>
      <c r="P142" s="23">
        <f>'$ Portfolio Loss'!P142</f>
        <v>-72.369997942865666</v>
      </c>
      <c r="R142">
        <v>303</v>
      </c>
      <c r="S142" s="23">
        <v>43.330577313707181</v>
      </c>
    </row>
    <row r="143" spans="15:19" x14ac:dyDescent="0.3">
      <c r="O143">
        <v>139</v>
      </c>
      <c r="P143" s="23">
        <f>'$ Portfolio Loss'!P143</f>
        <v>-34.399038984664003</v>
      </c>
      <c r="R143">
        <v>424</v>
      </c>
      <c r="S143" s="23">
        <v>42.77773107995381</v>
      </c>
    </row>
    <row r="144" spans="15:19" x14ac:dyDescent="0.3">
      <c r="O144">
        <v>140</v>
      </c>
      <c r="P144" s="23">
        <f>'$ Portfolio Loss'!P144</f>
        <v>-31.84725860632534</v>
      </c>
      <c r="R144">
        <v>431</v>
      </c>
      <c r="S144" s="23">
        <v>42.706899719754801</v>
      </c>
    </row>
    <row r="145" spans="15:19" x14ac:dyDescent="0.3">
      <c r="O145">
        <v>141</v>
      </c>
      <c r="P145" s="23">
        <f>'$ Portfolio Loss'!P145</f>
        <v>-12.457893633387357</v>
      </c>
      <c r="R145">
        <v>419</v>
      </c>
      <c r="S145" s="23">
        <v>42.37526669874751</v>
      </c>
    </row>
    <row r="146" spans="15:19" x14ac:dyDescent="0.3">
      <c r="O146">
        <v>142</v>
      </c>
      <c r="P146" s="23">
        <f>'$ Portfolio Loss'!P146</f>
        <v>20.865210194791871</v>
      </c>
      <c r="R146">
        <v>12</v>
      </c>
      <c r="S146" s="23">
        <v>42.100045235552898</v>
      </c>
    </row>
    <row r="147" spans="15:19" x14ac:dyDescent="0.3">
      <c r="O147">
        <v>143</v>
      </c>
      <c r="P147" s="23">
        <f>'$ Portfolio Loss'!P147</f>
        <v>21.858328850499674</v>
      </c>
      <c r="R147">
        <v>382</v>
      </c>
      <c r="S147" s="23">
        <v>41.649376522495004</v>
      </c>
    </row>
    <row r="148" spans="15:19" x14ac:dyDescent="0.3">
      <c r="O148">
        <v>144</v>
      </c>
      <c r="P148" s="23">
        <f>'$ Portfolio Loss'!P148</f>
        <v>-25.103977404985926</v>
      </c>
      <c r="R148">
        <v>369</v>
      </c>
      <c r="S148" s="23">
        <v>41.44472704799955</v>
      </c>
    </row>
    <row r="149" spans="15:19" x14ac:dyDescent="0.3">
      <c r="O149">
        <v>145</v>
      </c>
      <c r="P149" s="23">
        <f>'$ Portfolio Loss'!P149</f>
        <v>107.14864104106528</v>
      </c>
      <c r="R149">
        <v>475</v>
      </c>
      <c r="S149" s="23">
        <v>40.125074150193541</v>
      </c>
    </row>
    <row r="150" spans="15:19" x14ac:dyDescent="0.3">
      <c r="O150">
        <v>146</v>
      </c>
      <c r="P150" s="23">
        <f>'$ Portfolio Loss'!P150</f>
        <v>53.356654524550322</v>
      </c>
      <c r="R150">
        <v>165</v>
      </c>
      <c r="S150" s="23">
        <v>39.965420581183935</v>
      </c>
    </row>
    <row r="151" spans="15:19" x14ac:dyDescent="0.3">
      <c r="O151">
        <v>147</v>
      </c>
      <c r="P151" s="23">
        <f>'$ Portfolio Loss'!P151</f>
        <v>23.081471128129124</v>
      </c>
      <c r="R151">
        <v>448</v>
      </c>
      <c r="S151" s="23">
        <v>39.412465563396836</v>
      </c>
    </row>
    <row r="152" spans="15:19" x14ac:dyDescent="0.3">
      <c r="O152">
        <v>148</v>
      </c>
      <c r="P152" s="23">
        <f>'$ Portfolio Loss'!P152</f>
        <v>38.41166371422878</v>
      </c>
      <c r="R152">
        <v>63</v>
      </c>
      <c r="S152" s="23">
        <v>38.06411497586123</v>
      </c>
    </row>
    <row r="153" spans="15:19" x14ac:dyDescent="0.3">
      <c r="O153">
        <v>149</v>
      </c>
      <c r="P153" s="23">
        <f>'$ Portfolio Loss'!P153</f>
        <v>7.9674619568995695</v>
      </c>
      <c r="R153">
        <v>62</v>
      </c>
      <c r="S153" s="23">
        <v>37.966521516747889</v>
      </c>
    </row>
    <row r="154" spans="15:19" x14ac:dyDescent="0.3">
      <c r="O154">
        <v>150</v>
      </c>
      <c r="P154" s="23">
        <f>'$ Portfolio Loss'!P154</f>
        <v>19.359922914582057</v>
      </c>
      <c r="R154">
        <v>428</v>
      </c>
      <c r="S154" s="23">
        <v>37.414250719673873</v>
      </c>
    </row>
    <row r="155" spans="15:19" x14ac:dyDescent="0.3">
      <c r="O155">
        <v>151</v>
      </c>
      <c r="P155" s="23">
        <f>'$ Portfolio Loss'!P155</f>
        <v>-120.39769123922815</v>
      </c>
      <c r="R155">
        <v>47</v>
      </c>
      <c r="S155" s="23">
        <v>36.334046200441662</v>
      </c>
    </row>
    <row r="156" spans="15:19" x14ac:dyDescent="0.3">
      <c r="O156">
        <v>152</v>
      </c>
      <c r="P156" s="23">
        <f>'$ Portfolio Loss'!P156</f>
        <v>7.5972480953714694</v>
      </c>
      <c r="R156">
        <v>367</v>
      </c>
      <c r="S156" s="23">
        <v>35.690833211936479</v>
      </c>
    </row>
    <row r="157" spans="15:19" x14ac:dyDescent="0.3">
      <c r="O157">
        <v>153</v>
      </c>
      <c r="P157" s="23">
        <f>'$ Portfolio Loss'!P157</f>
        <v>61.820757565295935</v>
      </c>
      <c r="R157">
        <v>151</v>
      </c>
      <c r="S157" s="23">
        <v>35.544016705925969</v>
      </c>
    </row>
    <row r="158" spans="15:19" x14ac:dyDescent="0.3">
      <c r="O158">
        <v>154</v>
      </c>
      <c r="P158" s="23">
        <f>'$ Portfolio Loss'!P158</f>
        <v>-63.194243897371052</v>
      </c>
      <c r="R158">
        <v>93</v>
      </c>
      <c r="S158" s="23">
        <v>34.950311239832445</v>
      </c>
    </row>
    <row r="159" spans="15:19" x14ac:dyDescent="0.3">
      <c r="O159">
        <v>155</v>
      </c>
      <c r="P159" s="23">
        <f>'$ Portfolio Loss'!P159</f>
        <v>-20.937162408294171</v>
      </c>
      <c r="R159">
        <v>476</v>
      </c>
      <c r="S159" s="23">
        <v>34.434843855615327</v>
      </c>
    </row>
    <row r="160" spans="15:19" x14ac:dyDescent="0.3">
      <c r="O160">
        <v>156</v>
      </c>
      <c r="P160" s="23">
        <f>'$ Portfolio Loss'!P160</f>
        <v>-63.222461090364959</v>
      </c>
      <c r="R160">
        <v>14</v>
      </c>
      <c r="S160" s="23">
        <v>34.097057896085971</v>
      </c>
    </row>
    <row r="161" spans="15:19" x14ac:dyDescent="0.3">
      <c r="O161">
        <v>157</v>
      </c>
      <c r="P161" s="23">
        <f>'$ Portfolio Loss'!P161</f>
        <v>-82.1583569084396</v>
      </c>
      <c r="R161">
        <v>330</v>
      </c>
      <c r="S161" s="23">
        <v>32.90564005457054</v>
      </c>
    </row>
    <row r="162" spans="15:19" x14ac:dyDescent="0.3">
      <c r="O162">
        <v>158</v>
      </c>
      <c r="P162" s="23">
        <f>'$ Portfolio Loss'!P162</f>
        <v>49.54171393076831</v>
      </c>
      <c r="R162">
        <v>438</v>
      </c>
      <c r="S162" s="23">
        <v>31.033680529879348</v>
      </c>
    </row>
    <row r="163" spans="15:19" x14ac:dyDescent="0.3">
      <c r="O163">
        <v>159</v>
      </c>
      <c r="P163" s="23">
        <f>'$ Portfolio Loss'!P163</f>
        <v>-33.801581568774054</v>
      </c>
      <c r="R163">
        <v>65</v>
      </c>
      <c r="S163" s="23">
        <v>30.414433623716832</v>
      </c>
    </row>
    <row r="164" spans="15:19" x14ac:dyDescent="0.3">
      <c r="O164">
        <v>160</v>
      </c>
      <c r="P164" s="23">
        <f>'$ Portfolio Loss'!P164</f>
        <v>-2.791838083330731</v>
      </c>
      <c r="R164">
        <v>312</v>
      </c>
      <c r="S164" s="23">
        <v>30.033040300642824</v>
      </c>
    </row>
    <row r="165" spans="15:19" x14ac:dyDescent="0.3">
      <c r="O165">
        <v>161</v>
      </c>
      <c r="P165" s="23">
        <f>'$ Portfolio Loss'!P165</f>
        <v>-14.791293190472061</v>
      </c>
      <c r="R165">
        <v>352</v>
      </c>
      <c r="S165" s="23">
        <v>29.714113086716679</v>
      </c>
    </row>
    <row r="166" spans="15:19" x14ac:dyDescent="0.3">
      <c r="O166">
        <v>162</v>
      </c>
      <c r="P166" s="23">
        <f>'$ Portfolio Loss'!P166</f>
        <v>57.163245013412961</v>
      </c>
      <c r="R166">
        <v>203</v>
      </c>
      <c r="S166" s="23">
        <v>29.4999993688416</v>
      </c>
    </row>
    <row r="167" spans="15:19" x14ac:dyDescent="0.3">
      <c r="O167">
        <v>163</v>
      </c>
      <c r="P167" s="23">
        <f>'$ Portfolio Loss'!P167</f>
        <v>-13.40463791807997</v>
      </c>
      <c r="R167">
        <v>192</v>
      </c>
      <c r="S167" s="23">
        <v>29.492662898668641</v>
      </c>
    </row>
    <row r="168" spans="15:19" x14ac:dyDescent="0.3">
      <c r="O168">
        <v>164</v>
      </c>
      <c r="P168" s="23">
        <f>'$ Portfolio Loss'!P168</f>
        <v>28.543314137965353</v>
      </c>
      <c r="R168">
        <v>107</v>
      </c>
      <c r="S168" s="23">
        <v>29.048133751541172</v>
      </c>
    </row>
    <row r="169" spans="15:19" x14ac:dyDescent="0.3">
      <c r="O169">
        <v>165</v>
      </c>
      <c r="P169" s="23">
        <f>'$ Portfolio Loss'!P169</f>
        <v>-2.4376457887829019</v>
      </c>
      <c r="R169">
        <v>460</v>
      </c>
      <c r="S169" s="23">
        <v>28.760453568007506</v>
      </c>
    </row>
    <row r="170" spans="15:19" x14ac:dyDescent="0.3">
      <c r="O170">
        <v>166</v>
      </c>
      <c r="P170" s="23">
        <f>'$ Portfolio Loss'!P170</f>
        <v>108.46901713282568</v>
      </c>
      <c r="R170">
        <v>390</v>
      </c>
      <c r="S170" s="23">
        <v>28.40791700977752</v>
      </c>
    </row>
    <row r="171" spans="15:19" x14ac:dyDescent="0.3">
      <c r="O171">
        <v>167</v>
      </c>
      <c r="P171" s="23">
        <f>'$ Portfolio Loss'!P171</f>
        <v>12.470583163538322</v>
      </c>
      <c r="R171">
        <v>401</v>
      </c>
      <c r="S171" s="23">
        <v>28.132764101326757</v>
      </c>
    </row>
    <row r="172" spans="15:19" x14ac:dyDescent="0.3">
      <c r="O172">
        <v>168</v>
      </c>
      <c r="P172" s="23">
        <f>'$ Portfolio Loss'!P172</f>
        <v>0.69950210104252619</v>
      </c>
      <c r="R172">
        <v>159</v>
      </c>
      <c r="S172" s="23">
        <v>26.814799178344401</v>
      </c>
    </row>
    <row r="173" spans="15:19" x14ac:dyDescent="0.3">
      <c r="O173">
        <v>169</v>
      </c>
      <c r="P173" s="23">
        <f>'$ Portfolio Loss'!P173</f>
        <v>104.31658925619558</v>
      </c>
      <c r="R173">
        <v>380</v>
      </c>
      <c r="S173" s="23">
        <v>26.562813273298161</v>
      </c>
    </row>
    <row r="174" spans="15:19" x14ac:dyDescent="0.3">
      <c r="O174">
        <v>170</v>
      </c>
      <c r="P174" s="23">
        <f>'$ Portfolio Loss'!P174</f>
        <v>121.97466921265186</v>
      </c>
      <c r="R174">
        <v>92</v>
      </c>
      <c r="S174" s="23">
        <v>26.368146574946877</v>
      </c>
    </row>
    <row r="175" spans="15:19" x14ac:dyDescent="0.3">
      <c r="O175">
        <v>171</v>
      </c>
      <c r="P175" s="23">
        <f>'$ Portfolio Loss'!P175</f>
        <v>150.82436472908739</v>
      </c>
      <c r="R175">
        <v>266</v>
      </c>
      <c r="S175" s="23">
        <v>25.301010824408877</v>
      </c>
    </row>
    <row r="176" spans="15:19" x14ac:dyDescent="0.3">
      <c r="O176">
        <v>172</v>
      </c>
      <c r="P176" s="23">
        <f>'$ Portfolio Loss'!P176</f>
        <v>-23.621238437392094</v>
      </c>
      <c r="R176">
        <v>447</v>
      </c>
      <c r="S176" s="23">
        <v>25.296383002289076</v>
      </c>
    </row>
    <row r="177" spans="15:19" x14ac:dyDescent="0.3">
      <c r="O177">
        <v>173</v>
      </c>
      <c r="P177" s="23">
        <f>'$ Portfolio Loss'!P177</f>
        <v>28.138868324731448</v>
      </c>
      <c r="R177">
        <v>4</v>
      </c>
      <c r="S177" s="23">
        <v>25.139366356226674</v>
      </c>
    </row>
    <row r="178" spans="15:19" x14ac:dyDescent="0.3">
      <c r="O178">
        <v>174</v>
      </c>
      <c r="P178" s="23">
        <f>'$ Portfolio Loss'!P178</f>
        <v>-105.74613258189856</v>
      </c>
      <c r="R178">
        <v>27</v>
      </c>
      <c r="S178" s="23">
        <v>24.954395007905987</v>
      </c>
    </row>
    <row r="179" spans="15:19" x14ac:dyDescent="0.3">
      <c r="O179">
        <v>175</v>
      </c>
      <c r="P179" s="23">
        <f>'$ Portfolio Loss'!P179</f>
        <v>-53.229231986304512</v>
      </c>
      <c r="R179">
        <v>286</v>
      </c>
      <c r="S179" s="23">
        <v>24.877059392490992</v>
      </c>
    </row>
    <row r="180" spans="15:19" x14ac:dyDescent="0.3">
      <c r="O180">
        <v>176</v>
      </c>
      <c r="P180" s="23">
        <f>'$ Portfolio Loss'!P180</f>
        <v>237.67317481744431</v>
      </c>
      <c r="R180">
        <v>96</v>
      </c>
      <c r="S180" s="23">
        <v>24.711204333267233</v>
      </c>
    </row>
    <row r="181" spans="15:19" x14ac:dyDescent="0.3">
      <c r="O181">
        <v>177</v>
      </c>
      <c r="P181" s="23">
        <f>'$ Portfolio Loss'!P181</f>
        <v>13.650749048196303</v>
      </c>
      <c r="R181">
        <v>55</v>
      </c>
      <c r="S181" s="23">
        <v>23.889557894206519</v>
      </c>
    </row>
    <row r="182" spans="15:19" x14ac:dyDescent="0.3">
      <c r="O182">
        <v>178</v>
      </c>
      <c r="P182" s="23">
        <f>'$ Portfolio Loss'!P182</f>
        <v>77.727174276462392</v>
      </c>
      <c r="R182">
        <v>167</v>
      </c>
      <c r="S182" s="23">
        <v>23.725278044579682</v>
      </c>
    </row>
    <row r="183" spans="15:19" x14ac:dyDescent="0.3">
      <c r="O183">
        <v>179</v>
      </c>
      <c r="P183" s="23">
        <f>'$ Portfolio Loss'!P183</f>
        <v>61.375697837767802</v>
      </c>
      <c r="R183">
        <v>180</v>
      </c>
      <c r="S183" s="23">
        <v>23.406372812920381</v>
      </c>
    </row>
    <row r="184" spans="15:19" x14ac:dyDescent="0.3">
      <c r="O184">
        <v>180</v>
      </c>
      <c r="P184" s="23">
        <f>'$ Portfolio Loss'!P184</f>
        <v>100.51444307944621</v>
      </c>
      <c r="R184">
        <v>89</v>
      </c>
      <c r="S184" s="23">
        <v>22.258024167100302</v>
      </c>
    </row>
    <row r="185" spans="15:19" x14ac:dyDescent="0.3">
      <c r="O185">
        <v>181</v>
      </c>
      <c r="P185" s="23">
        <f>'$ Portfolio Loss'!P185</f>
        <v>-42.571458150598119</v>
      </c>
      <c r="R185">
        <v>84</v>
      </c>
      <c r="S185" s="23">
        <v>22.230922941373137</v>
      </c>
    </row>
    <row r="186" spans="15:19" x14ac:dyDescent="0.3">
      <c r="O186">
        <v>182</v>
      </c>
      <c r="P186" s="23">
        <f>'$ Portfolio Loss'!P186</f>
        <v>44.319690740174337</v>
      </c>
      <c r="R186">
        <v>149</v>
      </c>
      <c r="S186" s="23">
        <v>22.214133582243448</v>
      </c>
    </row>
    <row r="187" spans="15:19" x14ac:dyDescent="0.3">
      <c r="O187">
        <v>183</v>
      </c>
      <c r="P187" s="23">
        <f>'$ Portfolio Loss'!P187</f>
        <v>-40.394474198386888</v>
      </c>
      <c r="R187">
        <v>69</v>
      </c>
      <c r="S187" s="23">
        <v>21.56316278894883</v>
      </c>
    </row>
    <row r="188" spans="15:19" x14ac:dyDescent="0.3">
      <c r="O188">
        <v>184</v>
      </c>
      <c r="P188" s="23">
        <f>'$ Portfolio Loss'!P188</f>
        <v>-128.04455732864881</v>
      </c>
      <c r="R188">
        <v>59</v>
      </c>
      <c r="S188" s="23">
        <v>21.274368484217121</v>
      </c>
    </row>
    <row r="189" spans="15:19" x14ac:dyDescent="0.3">
      <c r="O189">
        <v>185</v>
      </c>
      <c r="P189" s="23">
        <f>'$ Portfolio Loss'!P189</f>
        <v>5.4228780832927441</v>
      </c>
      <c r="R189">
        <v>410</v>
      </c>
      <c r="S189" s="23">
        <v>21.248802490286835</v>
      </c>
    </row>
    <row r="190" spans="15:19" x14ac:dyDescent="0.3">
      <c r="O190">
        <v>186</v>
      </c>
      <c r="P190" s="23">
        <f>'$ Portfolio Loss'!P190</f>
        <v>9.281540142974336</v>
      </c>
      <c r="R190">
        <v>36</v>
      </c>
      <c r="S190" s="23">
        <v>20.550595997012351</v>
      </c>
    </row>
    <row r="191" spans="15:19" x14ac:dyDescent="0.3">
      <c r="O191">
        <v>187</v>
      </c>
      <c r="P191" s="23">
        <f>'$ Portfolio Loss'!P191</f>
        <v>21.7323729359141</v>
      </c>
      <c r="R191">
        <v>117</v>
      </c>
      <c r="S191" s="23">
        <v>18.897972272448897</v>
      </c>
    </row>
    <row r="192" spans="15:19" x14ac:dyDescent="0.3">
      <c r="O192">
        <v>188</v>
      </c>
      <c r="P192" s="23">
        <f>'$ Portfolio Loss'!P192</f>
        <v>-30.883268011615655</v>
      </c>
      <c r="R192">
        <v>333</v>
      </c>
      <c r="S192" s="23">
        <v>17.866682106339795</v>
      </c>
    </row>
    <row r="193" spans="15:19" x14ac:dyDescent="0.3">
      <c r="O193">
        <v>189</v>
      </c>
      <c r="P193" s="23">
        <f>'$ Portfolio Loss'!P193</f>
        <v>17.850682818805581</v>
      </c>
      <c r="R193">
        <v>213</v>
      </c>
      <c r="S193" s="23">
        <v>17.295357949138634</v>
      </c>
    </row>
    <row r="194" spans="15:19" x14ac:dyDescent="0.3">
      <c r="O194">
        <v>190</v>
      </c>
      <c r="P194" s="23">
        <f>'$ Portfolio Loss'!P194</f>
        <v>-140.21443589241971</v>
      </c>
      <c r="R194">
        <v>332</v>
      </c>
      <c r="S194" s="23">
        <v>17.073320050705661</v>
      </c>
    </row>
    <row r="195" spans="15:19" x14ac:dyDescent="0.3">
      <c r="O195">
        <v>191</v>
      </c>
      <c r="P195" s="23">
        <f>'$ Portfolio Loss'!P195</f>
        <v>20.331103940388857</v>
      </c>
      <c r="R195">
        <v>204</v>
      </c>
      <c r="S195" s="23">
        <v>16.81363384008182</v>
      </c>
    </row>
    <row r="196" spans="15:19" x14ac:dyDescent="0.3">
      <c r="O196">
        <v>192</v>
      </c>
      <c r="P196" s="23">
        <f>'$ Portfolio Loss'!P196</f>
        <v>-2.5983248389311484</v>
      </c>
      <c r="R196">
        <v>381</v>
      </c>
      <c r="S196" s="23">
        <v>16.254948003126628</v>
      </c>
    </row>
    <row r="197" spans="15:19" x14ac:dyDescent="0.3">
      <c r="O197">
        <v>193</v>
      </c>
      <c r="P197" s="23">
        <f>'$ Portfolio Loss'!P197</f>
        <v>63.918049384141341</v>
      </c>
      <c r="R197">
        <v>383</v>
      </c>
      <c r="S197" s="23">
        <v>16.193789463059147</v>
      </c>
    </row>
    <row r="198" spans="15:19" x14ac:dyDescent="0.3">
      <c r="O198">
        <v>194</v>
      </c>
      <c r="P198" s="23">
        <f>'$ Portfolio Loss'!P198</f>
        <v>-25.733500609112525</v>
      </c>
      <c r="R198">
        <v>73</v>
      </c>
      <c r="S198" s="23">
        <v>14.87273368410024</v>
      </c>
    </row>
    <row r="199" spans="15:19" x14ac:dyDescent="0.3">
      <c r="O199">
        <v>195</v>
      </c>
      <c r="P199" s="23">
        <f>'$ Portfolio Loss'!P199</f>
        <v>21.540689812578421</v>
      </c>
      <c r="R199">
        <v>125</v>
      </c>
      <c r="S199" s="23">
        <v>14.348166850888447</v>
      </c>
    </row>
    <row r="200" spans="15:19" x14ac:dyDescent="0.3">
      <c r="O200">
        <v>196</v>
      </c>
      <c r="P200" s="23">
        <f>'$ Portfolio Loss'!P200</f>
        <v>-6.8804158243747224</v>
      </c>
      <c r="R200">
        <v>492</v>
      </c>
      <c r="S200" s="23">
        <v>13.723913195870409</v>
      </c>
    </row>
    <row r="201" spans="15:19" x14ac:dyDescent="0.3">
      <c r="O201">
        <v>197</v>
      </c>
      <c r="P201" s="23">
        <f>'$ Portfolio Loss'!P201</f>
        <v>-8.4530270456598373</v>
      </c>
      <c r="R201">
        <v>261</v>
      </c>
      <c r="S201" s="23">
        <v>13.678304442424633</v>
      </c>
    </row>
    <row r="202" spans="15:19" x14ac:dyDescent="0.3">
      <c r="O202">
        <v>198</v>
      </c>
      <c r="P202" s="23">
        <f>'$ Portfolio Loss'!P202</f>
        <v>75.969393740913802</v>
      </c>
      <c r="R202">
        <v>195</v>
      </c>
      <c r="S202" s="23">
        <v>13.303098598718861</v>
      </c>
    </row>
    <row r="203" spans="15:19" x14ac:dyDescent="0.3">
      <c r="O203">
        <v>199</v>
      </c>
      <c r="P203" s="23">
        <f>'$ Portfolio Loss'!P203</f>
        <v>155.90359797896781</v>
      </c>
      <c r="R203">
        <v>207</v>
      </c>
      <c r="S203" s="23">
        <v>12.763839065690263</v>
      </c>
    </row>
    <row r="204" spans="15:19" x14ac:dyDescent="0.3">
      <c r="O204">
        <v>200</v>
      </c>
      <c r="P204" s="23">
        <f>'$ Portfolio Loss'!P204</f>
        <v>-76.302104280144704</v>
      </c>
      <c r="R204">
        <v>13</v>
      </c>
      <c r="S204" s="23">
        <v>12.222645628822647</v>
      </c>
    </row>
    <row r="205" spans="15:19" x14ac:dyDescent="0.3">
      <c r="O205">
        <v>201</v>
      </c>
      <c r="P205" s="23">
        <f>'$ Portfolio Loss'!P205</f>
        <v>46.656373216277643</v>
      </c>
      <c r="R205">
        <v>43</v>
      </c>
      <c r="S205" s="23">
        <v>10.295646975262571</v>
      </c>
    </row>
    <row r="206" spans="15:19" x14ac:dyDescent="0.3">
      <c r="O206">
        <v>202</v>
      </c>
      <c r="P206" s="23">
        <f>'$ Portfolio Loss'!P206</f>
        <v>-100.58730394814665</v>
      </c>
      <c r="R206">
        <v>144</v>
      </c>
      <c r="S206" s="23">
        <v>10.060692955692502</v>
      </c>
    </row>
    <row r="207" spans="15:19" x14ac:dyDescent="0.3">
      <c r="O207">
        <v>203</v>
      </c>
      <c r="P207" s="23">
        <f>'$ Portfolio Loss'!P207</f>
        <v>-13.036795482577872</v>
      </c>
      <c r="R207">
        <v>170</v>
      </c>
      <c r="S207" s="23">
        <v>9.8616032395384536</v>
      </c>
    </row>
    <row r="208" spans="15:19" x14ac:dyDescent="0.3">
      <c r="O208">
        <v>204</v>
      </c>
      <c r="P208" s="23">
        <f>'$ Portfolio Loss'!P208</f>
        <v>-75.022062247848226</v>
      </c>
      <c r="R208">
        <v>439</v>
      </c>
      <c r="S208" s="23">
        <v>9.8143750303661363</v>
      </c>
    </row>
    <row r="209" spans="15:19" x14ac:dyDescent="0.3">
      <c r="O209">
        <v>205</v>
      </c>
      <c r="P209" s="23">
        <f>'$ Portfolio Loss'!P209</f>
        <v>-47.628616133961259</v>
      </c>
      <c r="R209">
        <v>208</v>
      </c>
      <c r="S209" s="23">
        <v>9.7739061018637585</v>
      </c>
    </row>
    <row r="210" spans="15:19" x14ac:dyDescent="0.3">
      <c r="O210">
        <v>206</v>
      </c>
      <c r="P210" s="23">
        <f>'$ Portfolio Loss'!P210</f>
        <v>-57.60849217523355</v>
      </c>
      <c r="R210">
        <v>153</v>
      </c>
      <c r="S210" s="23">
        <v>9.560846326947285</v>
      </c>
    </row>
    <row r="211" spans="15:19" x14ac:dyDescent="0.3">
      <c r="O211">
        <v>207</v>
      </c>
      <c r="P211" s="23">
        <f>'$ Portfolio Loss'!P211</f>
        <v>-13.3960902289964</v>
      </c>
      <c r="R211">
        <v>28</v>
      </c>
      <c r="S211" s="23">
        <v>9.5143992215089384</v>
      </c>
    </row>
    <row r="212" spans="15:19" x14ac:dyDescent="0.3">
      <c r="O212">
        <v>208</v>
      </c>
      <c r="P212" s="23">
        <f>'$ Portfolio Loss'!P212</f>
        <v>167.54563439869708</v>
      </c>
      <c r="R212">
        <v>11</v>
      </c>
      <c r="S212" s="23">
        <v>8.9818697747614351</v>
      </c>
    </row>
    <row r="213" spans="15:19" x14ac:dyDescent="0.3">
      <c r="O213">
        <v>209</v>
      </c>
      <c r="P213" s="23">
        <f>'$ Portfolio Loss'!P213</f>
        <v>28.428671839748858</v>
      </c>
      <c r="R213">
        <v>272</v>
      </c>
      <c r="S213" s="23">
        <v>8.0865113946601923</v>
      </c>
    </row>
    <row r="214" spans="15:19" x14ac:dyDescent="0.3">
      <c r="O214">
        <v>210</v>
      </c>
      <c r="P214" s="23">
        <f>'$ Portfolio Loss'!P214</f>
        <v>125.73659185325778</v>
      </c>
      <c r="R214">
        <v>90</v>
      </c>
      <c r="S214" s="23">
        <v>7.7259798975410376</v>
      </c>
    </row>
    <row r="215" spans="15:19" x14ac:dyDescent="0.3">
      <c r="O215">
        <v>211</v>
      </c>
      <c r="P215" s="23">
        <f>'$ Portfolio Loss'!P215</f>
        <v>-2.3822796995700628</v>
      </c>
      <c r="R215">
        <v>434</v>
      </c>
      <c r="S215" s="23">
        <v>6.9248626601038268</v>
      </c>
    </row>
    <row r="216" spans="15:19" x14ac:dyDescent="0.3">
      <c r="O216">
        <v>212</v>
      </c>
      <c r="P216" s="23">
        <f>'$ Portfolio Loss'!P216</f>
        <v>-54.674955262027652</v>
      </c>
      <c r="R216">
        <v>171</v>
      </c>
      <c r="S216" s="23">
        <v>6.6603117091799504</v>
      </c>
    </row>
    <row r="217" spans="15:19" x14ac:dyDescent="0.3">
      <c r="O217">
        <v>213</v>
      </c>
      <c r="P217" s="23">
        <f>'$ Portfolio Loss'!P217</f>
        <v>-64.71485179213596</v>
      </c>
      <c r="R217">
        <v>328</v>
      </c>
      <c r="S217" s="23">
        <v>6.5873081759600609</v>
      </c>
    </row>
    <row r="218" spans="15:19" x14ac:dyDescent="0.3">
      <c r="O218">
        <v>214</v>
      </c>
      <c r="P218" s="23">
        <f>'$ Portfolio Loss'!P218</f>
        <v>96.889026210797965</v>
      </c>
      <c r="R218">
        <v>182</v>
      </c>
      <c r="S218" s="23">
        <v>6.3928647945995181</v>
      </c>
    </row>
    <row r="219" spans="15:19" x14ac:dyDescent="0.3">
      <c r="O219">
        <v>215</v>
      </c>
      <c r="P219" s="23">
        <f>'$ Portfolio Loss'!P219</f>
        <v>71.761120611678052</v>
      </c>
      <c r="R219">
        <v>8</v>
      </c>
      <c r="S219" s="23">
        <v>6.0627711778543016</v>
      </c>
    </row>
    <row r="220" spans="15:19" x14ac:dyDescent="0.3">
      <c r="O220">
        <v>216</v>
      </c>
      <c r="P220" s="23">
        <f>'$ Portfolio Loss'!P220</f>
        <v>134.83980790495116</v>
      </c>
      <c r="R220">
        <v>95</v>
      </c>
      <c r="S220" s="23">
        <v>5.138619933710288</v>
      </c>
    </row>
    <row r="221" spans="15:19" x14ac:dyDescent="0.3">
      <c r="O221">
        <v>217</v>
      </c>
      <c r="P221" s="23">
        <f>'$ Portfolio Loss'!P221</f>
        <v>-17.583946724591442</v>
      </c>
      <c r="R221">
        <v>168</v>
      </c>
      <c r="S221" s="23">
        <v>5.058918026403262</v>
      </c>
    </row>
    <row r="222" spans="15:19" x14ac:dyDescent="0.3">
      <c r="O222">
        <v>218</v>
      </c>
      <c r="P222" s="23">
        <f>'$ Portfolio Loss'!P222</f>
        <v>142.66239500352094</v>
      </c>
      <c r="R222">
        <v>116</v>
      </c>
      <c r="S222" s="23">
        <v>4.2944215029656334</v>
      </c>
    </row>
    <row r="223" spans="15:19" x14ac:dyDescent="0.3">
      <c r="O223">
        <v>219</v>
      </c>
      <c r="P223" s="23">
        <f>'$ Portfolio Loss'!P223</f>
        <v>54.285825627344821</v>
      </c>
      <c r="R223">
        <v>186</v>
      </c>
      <c r="S223" s="23">
        <v>3.8366845419459423</v>
      </c>
    </row>
    <row r="224" spans="15:19" x14ac:dyDescent="0.3">
      <c r="O224">
        <v>220</v>
      </c>
      <c r="P224" s="23">
        <f>'$ Portfolio Loss'!P224</f>
        <v>48.192701514219152</v>
      </c>
      <c r="R224">
        <v>360</v>
      </c>
      <c r="S224" s="23">
        <v>3.0148842390626669</v>
      </c>
    </row>
    <row r="225" spans="15:19" x14ac:dyDescent="0.3">
      <c r="O225">
        <v>221</v>
      </c>
      <c r="P225" s="23">
        <f>'$ Portfolio Loss'!P225</f>
        <v>118.61292498300281</v>
      </c>
      <c r="R225">
        <v>202</v>
      </c>
      <c r="S225" s="23">
        <v>3.0051257913419249</v>
      </c>
    </row>
    <row r="226" spans="15:19" x14ac:dyDescent="0.3">
      <c r="O226">
        <v>222</v>
      </c>
      <c r="P226" s="23">
        <f>'$ Portfolio Loss'!P226</f>
        <v>-152.86380454213031</v>
      </c>
      <c r="R226">
        <v>420</v>
      </c>
      <c r="S226" s="23">
        <v>2.3861099601872411</v>
      </c>
    </row>
    <row r="227" spans="15:19" x14ac:dyDescent="0.3">
      <c r="O227">
        <v>223</v>
      </c>
      <c r="P227" s="23">
        <f>'$ Portfolio Loss'!P227</f>
        <v>-81.232631514252716</v>
      </c>
      <c r="R227">
        <v>396</v>
      </c>
      <c r="S227" s="23">
        <v>1.8529892140850279</v>
      </c>
    </row>
    <row r="228" spans="15:19" x14ac:dyDescent="0.3">
      <c r="O228">
        <v>224</v>
      </c>
      <c r="P228" s="23">
        <f>'$ Portfolio Loss'!P228</f>
        <v>109.73432281316673</v>
      </c>
      <c r="R228">
        <v>58</v>
      </c>
      <c r="S228" s="23">
        <v>1.7819744260414154</v>
      </c>
    </row>
    <row r="229" spans="15:19" x14ac:dyDescent="0.3">
      <c r="O229">
        <v>225</v>
      </c>
      <c r="P229" s="23">
        <f>'$ Portfolio Loss'!P229</f>
        <v>-34.425744366422805</v>
      </c>
      <c r="R229">
        <v>9</v>
      </c>
      <c r="S229" s="23">
        <v>1.4634609149652533</v>
      </c>
    </row>
    <row r="230" spans="15:19" x14ac:dyDescent="0.3">
      <c r="O230">
        <v>226</v>
      </c>
      <c r="P230" s="23">
        <f>'$ Portfolio Loss'!P230</f>
        <v>-3.5647819181722298</v>
      </c>
      <c r="R230">
        <v>278</v>
      </c>
      <c r="S230" s="23">
        <v>0.70909178558940766</v>
      </c>
    </row>
    <row r="231" spans="15:19" x14ac:dyDescent="0.3">
      <c r="O231">
        <v>227</v>
      </c>
      <c r="P231" s="23">
        <f>'$ Portfolio Loss'!P231</f>
        <v>38.27616588644014</v>
      </c>
      <c r="R231">
        <v>449</v>
      </c>
      <c r="S231" s="23">
        <v>0.44905984225624707</v>
      </c>
    </row>
    <row r="232" spans="15:19" x14ac:dyDescent="0.3">
      <c r="O232">
        <v>228</v>
      </c>
      <c r="P232" s="23">
        <f>'$ Portfolio Loss'!P232</f>
        <v>-94.657580493374553</v>
      </c>
      <c r="R232">
        <v>105</v>
      </c>
      <c r="S232" s="23">
        <v>0.23649982986171381</v>
      </c>
    </row>
    <row r="233" spans="15:19" x14ac:dyDescent="0.3">
      <c r="O233">
        <v>229</v>
      </c>
      <c r="P233" s="23">
        <f>'$ Portfolio Loss'!P233</f>
        <v>-52.448817519461954</v>
      </c>
      <c r="R233">
        <v>114</v>
      </c>
      <c r="S233" s="23">
        <v>-0.33601569506026863</v>
      </c>
    </row>
    <row r="234" spans="15:19" x14ac:dyDescent="0.3">
      <c r="O234">
        <v>230</v>
      </c>
      <c r="P234" s="23">
        <f>'$ Portfolio Loss'!P234</f>
        <v>-61.47677791258684</v>
      </c>
      <c r="R234">
        <v>32</v>
      </c>
      <c r="S234" s="23">
        <v>-0.33886560805149202</v>
      </c>
    </row>
    <row r="235" spans="15:19" x14ac:dyDescent="0.3">
      <c r="O235">
        <v>231</v>
      </c>
      <c r="P235" s="23">
        <f>'$ Portfolio Loss'!P235</f>
        <v>-117.28169354009697</v>
      </c>
      <c r="R235">
        <v>271</v>
      </c>
      <c r="S235" s="23">
        <v>-0.43135555269691395</v>
      </c>
    </row>
    <row r="236" spans="15:19" x14ac:dyDescent="0.3">
      <c r="O236">
        <v>232</v>
      </c>
      <c r="P236" s="23">
        <f>'$ Portfolio Loss'!P236</f>
        <v>40.888291246759763</v>
      </c>
      <c r="R236">
        <v>276</v>
      </c>
      <c r="S236" s="23">
        <v>-0.59982680961002188</v>
      </c>
    </row>
    <row r="237" spans="15:19" x14ac:dyDescent="0.3">
      <c r="O237">
        <v>233</v>
      </c>
      <c r="P237" s="23">
        <f>'$ Portfolio Loss'!P237</f>
        <v>-44.146733110228524</v>
      </c>
      <c r="R237">
        <v>206</v>
      </c>
      <c r="S237" s="23">
        <v>-1.3346395127846336</v>
      </c>
    </row>
    <row r="238" spans="15:19" x14ac:dyDescent="0.3">
      <c r="O238">
        <v>234</v>
      </c>
      <c r="P238" s="23">
        <f>'$ Portfolio Loss'!P238</f>
        <v>25.389786076360906</v>
      </c>
      <c r="R238">
        <v>121</v>
      </c>
      <c r="S238" s="23">
        <v>-1.5204650754149043</v>
      </c>
    </row>
    <row r="239" spans="15:19" x14ac:dyDescent="0.3">
      <c r="O239">
        <v>235</v>
      </c>
      <c r="P239" s="23">
        <f>'$ Portfolio Loss'!P239</f>
        <v>-69.003695399076605</v>
      </c>
      <c r="R239">
        <v>201</v>
      </c>
      <c r="S239" s="23">
        <v>-2.0701306224036671</v>
      </c>
    </row>
    <row r="240" spans="15:19" x14ac:dyDescent="0.3">
      <c r="O240">
        <v>236</v>
      </c>
      <c r="P240" s="23">
        <f>'$ Portfolio Loss'!P240</f>
        <v>-40.275853876975816</v>
      </c>
      <c r="R240">
        <v>137</v>
      </c>
      <c r="S240" s="23">
        <v>-3.2038330249015416</v>
      </c>
    </row>
    <row r="241" spans="15:19" x14ac:dyDescent="0.3">
      <c r="O241">
        <v>237</v>
      </c>
      <c r="P241" s="23">
        <f>'$ Portfolio Loss'!P241</f>
        <v>-108.93557571728707</v>
      </c>
      <c r="R241">
        <v>10</v>
      </c>
      <c r="S241" s="23">
        <v>-3.4936483632282034</v>
      </c>
    </row>
    <row r="242" spans="15:19" x14ac:dyDescent="0.3">
      <c r="O242">
        <v>238</v>
      </c>
      <c r="P242" s="23">
        <f>'$ Portfolio Loss'!P242</f>
        <v>-7.3673042343962152</v>
      </c>
      <c r="R242">
        <v>103</v>
      </c>
      <c r="S242" s="23">
        <v>-3.9244140645532752</v>
      </c>
    </row>
    <row r="243" spans="15:19" x14ac:dyDescent="0.3">
      <c r="O243">
        <v>239</v>
      </c>
      <c r="P243" s="23">
        <f>'$ Portfolio Loss'!P243</f>
        <v>41.755650860317473</v>
      </c>
      <c r="R243">
        <v>75</v>
      </c>
      <c r="S243" s="23">
        <v>-4.1849374259491015</v>
      </c>
    </row>
    <row r="244" spans="15:19" x14ac:dyDescent="0.3">
      <c r="O244">
        <v>240</v>
      </c>
      <c r="P244" s="23">
        <f>'$ Portfolio Loss'!P244</f>
        <v>-48.162302115015336</v>
      </c>
      <c r="R244">
        <v>78</v>
      </c>
      <c r="S244" s="23">
        <v>-4.4583025622141577</v>
      </c>
    </row>
    <row r="245" spans="15:19" x14ac:dyDescent="0.3">
      <c r="O245">
        <v>241</v>
      </c>
      <c r="P245" s="23">
        <f>'$ Portfolio Loss'!P245</f>
        <v>-36.790393534256509</v>
      </c>
      <c r="R245">
        <v>17</v>
      </c>
      <c r="S245" s="23">
        <v>-4.6400185919192154</v>
      </c>
    </row>
    <row r="246" spans="15:19" x14ac:dyDescent="0.3">
      <c r="O246">
        <v>242</v>
      </c>
      <c r="P246" s="23">
        <f>'$ Portfolio Loss'!P246</f>
        <v>-125.14019823974741</v>
      </c>
      <c r="R246">
        <v>259</v>
      </c>
      <c r="S246" s="23">
        <v>-5.1374011805855844</v>
      </c>
    </row>
    <row r="247" spans="15:19" x14ac:dyDescent="0.3">
      <c r="O247">
        <v>243</v>
      </c>
      <c r="P247" s="23">
        <f>'$ Portfolio Loss'!P247</f>
        <v>6.2079079042468948</v>
      </c>
      <c r="R247">
        <v>273</v>
      </c>
      <c r="S247" s="23">
        <v>-5.2723923290577659</v>
      </c>
    </row>
    <row r="248" spans="15:19" x14ac:dyDescent="0.3">
      <c r="O248">
        <v>244</v>
      </c>
      <c r="P248" s="23">
        <f>'$ Portfolio Loss'!P248</f>
        <v>21.772331479098284</v>
      </c>
      <c r="R248">
        <v>52</v>
      </c>
      <c r="S248" s="23">
        <v>-5.4413889364077477</v>
      </c>
    </row>
    <row r="249" spans="15:19" x14ac:dyDescent="0.3">
      <c r="O249">
        <v>245</v>
      </c>
      <c r="P249" s="23">
        <f>'$ Portfolio Loss'!P249</f>
        <v>-67.959902434193282</v>
      </c>
      <c r="R249">
        <v>177</v>
      </c>
      <c r="S249" s="23">
        <v>-5.5035173167889297</v>
      </c>
    </row>
    <row r="250" spans="15:19" x14ac:dyDescent="0.3">
      <c r="O250">
        <v>246</v>
      </c>
      <c r="P250" s="23">
        <f>'$ Portfolio Loss'!P250</f>
        <v>-49.320172983607335</v>
      </c>
      <c r="R250">
        <v>403</v>
      </c>
      <c r="S250" s="23">
        <v>-6.007165386374254</v>
      </c>
    </row>
    <row r="251" spans="15:19" x14ac:dyDescent="0.3">
      <c r="O251">
        <v>247</v>
      </c>
      <c r="P251" s="23">
        <f>'$ Portfolio Loss'!P251</f>
        <v>23.93402998464444</v>
      </c>
      <c r="R251">
        <v>220</v>
      </c>
      <c r="S251" s="23">
        <v>-6.0358591263957351</v>
      </c>
    </row>
    <row r="252" spans="15:19" x14ac:dyDescent="0.3">
      <c r="O252">
        <v>248</v>
      </c>
      <c r="P252" s="23">
        <f>'$ Portfolio Loss'!P252</f>
        <v>-57.332730810081557</v>
      </c>
      <c r="R252">
        <v>119</v>
      </c>
      <c r="S252" s="23">
        <v>-6.4197302430784475</v>
      </c>
    </row>
    <row r="253" spans="15:19" x14ac:dyDescent="0.3">
      <c r="O253">
        <v>249</v>
      </c>
      <c r="P253" s="23">
        <f>'$ Portfolio Loss'!P253</f>
        <v>-35.995063970292904</v>
      </c>
      <c r="R253">
        <v>38</v>
      </c>
      <c r="S253" s="23">
        <v>-6.6937643040382682</v>
      </c>
    </row>
    <row r="254" spans="15:19" x14ac:dyDescent="0.3">
      <c r="O254">
        <v>250</v>
      </c>
      <c r="P254" s="23">
        <f>'$ Portfolio Loss'!P254</f>
        <v>20.002174339670091</v>
      </c>
      <c r="R254">
        <v>452</v>
      </c>
      <c r="S254" s="23">
        <v>-8.1462033985335438</v>
      </c>
    </row>
    <row r="255" spans="15:19" x14ac:dyDescent="0.3">
      <c r="O255">
        <v>251</v>
      </c>
      <c r="P255" s="23">
        <f>'$ Portfolio Loss'!P255</f>
        <v>82.379958337965945</v>
      </c>
      <c r="R255">
        <v>35</v>
      </c>
      <c r="S255" s="23">
        <v>-8.616613316722578</v>
      </c>
    </row>
    <row r="256" spans="15:19" x14ac:dyDescent="0.3">
      <c r="O256">
        <v>252</v>
      </c>
      <c r="P256" s="23">
        <f>'$ Portfolio Loss'!P256</f>
        <v>-26.705082490581844</v>
      </c>
      <c r="R256">
        <v>188</v>
      </c>
      <c r="S256" s="23">
        <v>-8.7478310943079123</v>
      </c>
    </row>
    <row r="257" spans="15:19" x14ac:dyDescent="0.3">
      <c r="O257">
        <v>253</v>
      </c>
      <c r="P257" s="23">
        <f>'$ Portfolio Loss'!P257</f>
        <v>-15.221324290630946</v>
      </c>
      <c r="R257">
        <v>81</v>
      </c>
      <c r="S257" s="23">
        <v>-8.8821702295517753</v>
      </c>
    </row>
    <row r="258" spans="15:19" x14ac:dyDescent="0.3">
      <c r="O258">
        <v>254</v>
      </c>
      <c r="P258" s="23">
        <f>'$ Portfolio Loss'!P258</f>
        <v>-120.31890074843977</v>
      </c>
      <c r="R258">
        <v>126</v>
      </c>
      <c r="S258" s="23">
        <v>-9.5966861060205702</v>
      </c>
    </row>
    <row r="259" spans="15:19" x14ac:dyDescent="0.3">
      <c r="O259">
        <v>255</v>
      </c>
      <c r="P259" s="23">
        <f>'$ Portfolio Loss'!P259</f>
        <v>-7.7489758796236856</v>
      </c>
      <c r="R259">
        <v>319</v>
      </c>
      <c r="S259" s="23">
        <v>-9.6947138114010158</v>
      </c>
    </row>
    <row r="260" spans="15:19" x14ac:dyDescent="0.3">
      <c r="O260">
        <v>256</v>
      </c>
      <c r="P260" s="23">
        <f>'$ Portfolio Loss'!P260</f>
        <v>36.601375665964952</v>
      </c>
      <c r="R260">
        <v>128</v>
      </c>
      <c r="S260" s="23">
        <v>-10.060958693735301</v>
      </c>
    </row>
    <row r="261" spans="15:19" x14ac:dyDescent="0.3">
      <c r="O261">
        <v>257</v>
      </c>
      <c r="P261" s="23">
        <f>'$ Portfolio Loss'!P261</f>
        <v>-102.54875409264787</v>
      </c>
      <c r="R261">
        <v>183</v>
      </c>
      <c r="S261" s="23">
        <v>-10.928159052871706</v>
      </c>
    </row>
    <row r="262" spans="15:19" x14ac:dyDescent="0.3">
      <c r="O262">
        <v>258</v>
      </c>
      <c r="P262" s="23">
        <f>'$ Portfolio Loss'!P262</f>
        <v>62.522773557580877</v>
      </c>
      <c r="R262">
        <v>71</v>
      </c>
      <c r="S262" s="23">
        <v>-11.13527216859984</v>
      </c>
    </row>
    <row r="263" spans="15:19" x14ac:dyDescent="0.3">
      <c r="O263">
        <v>259</v>
      </c>
      <c r="P263" s="23">
        <f>'$ Portfolio Loss'!P263</f>
        <v>-89.259710943288155</v>
      </c>
      <c r="R263">
        <v>50</v>
      </c>
      <c r="S263" s="23">
        <v>-11.623861471038254</v>
      </c>
    </row>
    <row r="264" spans="15:19" x14ac:dyDescent="0.3">
      <c r="O264">
        <v>260</v>
      </c>
      <c r="P264" s="23">
        <f>'$ Portfolio Loss'!P264</f>
        <v>-14.482688394935394</v>
      </c>
      <c r="R264">
        <v>112</v>
      </c>
      <c r="S264" s="23">
        <v>-12.034638440785784</v>
      </c>
    </row>
    <row r="265" spans="15:19" x14ac:dyDescent="0.3">
      <c r="O265">
        <v>261</v>
      </c>
      <c r="P265" s="23">
        <f>'$ Portfolio Loss'!P265</f>
        <v>-55.322086822550773</v>
      </c>
      <c r="R265">
        <v>262</v>
      </c>
      <c r="S265" s="23">
        <v>-12.257379044964182</v>
      </c>
    </row>
    <row r="266" spans="15:19" x14ac:dyDescent="0.3">
      <c r="O266">
        <v>262</v>
      </c>
      <c r="P266" s="23">
        <f>'$ Portfolio Loss'!P266</f>
        <v>14.538794883119408</v>
      </c>
      <c r="R266">
        <v>391</v>
      </c>
      <c r="S266" s="23">
        <v>-12.620304011297776</v>
      </c>
    </row>
    <row r="267" spans="15:19" x14ac:dyDescent="0.3">
      <c r="O267">
        <v>263</v>
      </c>
      <c r="P267" s="23">
        <f>'$ Portfolio Loss'!P267</f>
        <v>-10.378978243094025</v>
      </c>
      <c r="R267">
        <v>82</v>
      </c>
      <c r="S267" s="23">
        <v>-13.028391473817464</v>
      </c>
    </row>
    <row r="268" spans="15:19" x14ac:dyDescent="0.3">
      <c r="O268">
        <v>264</v>
      </c>
      <c r="P268" s="23">
        <f>'$ Portfolio Loss'!P268</f>
        <v>-29.803417358309162</v>
      </c>
      <c r="R268">
        <v>83</v>
      </c>
      <c r="S268" s="23">
        <v>-13.035131610502503</v>
      </c>
    </row>
    <row r="269" spans="15:19" x14ac:dyDescent="0.3">
      <c r="O269">
        <v>265</v>
      </c>
      <c r="P269" s="23">
        <f>'$ Portfolio Loss'!P269</f>
        <v>34.24880495731486</v>
      </c>
      <c r="R269">
        <v>179</v>
      </c>
      <c r="S269" s="23">
        <v>-13.134468178559473</v>
      </c>
    </row>
    <row r="270" spans="15:19" x14ac:dyDescent="0.3">
      <c r="O270">
        <v>266</v>
      </c>
      <c r="P270" s="23">
        <f>'$ Portfolio Loss'!P270</f>
        <v>-68.033238075740883</v>
      </c>
      <c r="R270">
        <v>178</v>
      </c>
      <c r="S270" s="23">
        <v>-13.33799947585976</v>
      </c>
    </row>
    <row r="271" spans="15:19" x14ac:dyDescent="0.3">
      <c r="O271">
        <v>267</v>
      </c>
      <c r="P271" s="23">
        <f>'$ Portfolio Loss'!P271</f>
        <v>18.806459961455403</v>
      </c>
      <c r="R271">
        <v>282</v>
      </c>
      <c r="S271" s="23">
        <v>-13.45111875816292</v>
      </c>
    </row>
    <row r="272" spans="15:19" x14ac:dyDescent="0.3">
      <c r="O272">
        <v>268</v>
      </c>
      <c r="P272" s="23">
        <f>'$ Portfolio Loss'!P272</f>
        <v>5.9407545811372984</v>
      </c>
      <c r="R272">
        <v>139</v>
      </c>
      <c r="S272" s="23">
        <v>-13.571945598456296</v>
      </c>
    </row>
    <row r="273" spans="15:19" x14ac:dyDescent="0.3">
      <c r="O273">
        <v>269</v>
      </c>
      <c r="P273" s="23">
        <f>'$ Portfolio Loss'!P273</f>
        <v>7.2050746429449646</v>
      </c>
      <c r="R273">
        <v>269</v>
      </c>
      <c r="S273" s="23">
        <v>-13.672494114376605</v>
      </c>
    </row>
    <row r="274" spans="15:19" x14ac:dyDescent="0.3">
      <c r="O274">
        <v>270</v>
      </c>
      <c r="P274" s="23">
        <f>'$ Portfolio Loss'!P274</f>
        <v>63.068125247333228</v>
      </c>
      <c r="R274">
        <v>217</v>
      </c>
      <c r="S274" s="23">
        <v>-13.688613149442972</v>
      </c>
    </row>
    <row r="275" spans="15:19" x14ac:dyDescent="0.3">
      <c r="O275">
        <v>271</v>
      </c>
      <c r="P275" s="23">
        <f>'$ Portfolio Loss'!P275</f>
        <v>86.250604041802944</v>
      </c>
      <c r="R275">
        <v>265</v>
      </c>
      <c r="S275" s="23">
        <v>-14.006158840382341</v>
      </c>
    </row>
    <row r="276" spans="15:19" x14ac:dyDescent="0.3">
      <c r="O276">
        <v>272</v>
      </c>
      <c r="P276" s="23">
        <f>'$ Portfolio Loss'!P276</f>
        <v>-90.770430343285625</v>
      </c>
      <c r="R276">
        <v>42</v>
      </c>
      <c r="S276" s="23">
        <v>-14.157178247020056</v>
      </c>
    </row>
    <row r="277" spans="15:19" x14ac:dyDescent="0.3">
      <c r="O277">
        <v>273</v>
      </c>
      <c r="P277" s="23">
        <f>'$ Portfolio Loss'!P277</f>
        <v>-85.641726371777622</v>
      </c>
      <c r="R277">
        <v>440</v>
      </c>
      <c r="S277" s="23">
        <v>-14.21794143016632</v>
      </c>
    </row>
    <row r="278" spans="15:19" x14ac:dyDescent="0.3">
      <c r="O278">
        <v>274</v>
      </c>
      <c r="P278" s="23">
        <f>'$ Portfolio Loss'!P278</f>
        <v>-3.4326126710911922</v>
      </c>
      <c r="R278" s="3">
        <v>1</v>
      </c>
      <c r="S278" s="23">
        <v>-14.333845846786062</v>
      </c>
    </row>
    <row r="279" spans="15:19" x14ac:dyDescent="0.3">
      <c r="O279">
        <v>275</v>
      </c>
      <c r="P279" s="23">
        <f>'$ Portfolio Loss'!P279</f>
        <v>10.314538499658738</v>
      </c>
      <c r="R279">
        <v>325</v>
      </c>
      <c r="S279" s="23">
        <v>-15.054667460277415</v>
      </c>
    </row>
    <row r="280" spans="15:19" x14ac:dyDescent="0.3">
      <c r="O280">
        <v>276</v>
      </c>
      <c r="P280" s="23">
        <f>'$ Portfolio Loss'!P280</f>
        <v>-24.903608893977434</v>
      </c>
      <c r="R280">
        <v>104</v>
      </c>
      <c r="S280" s="23">
        <v>-15.184368780563091</v>
      </c>
    </row>
    <row r="281" spans="15:19" x14ac:dyDescent="0.3">
      <c r="O281">
        <v>277</v>
      </c>
      <c r="P281" s="23">
        <f>'$ Portfolio Loss'!P281</f>
        <v>-22.175317823957812</v>
      </c>
      <c r="R281">
        <v>67</v>
      </c>
      <c r="S281" s="23">
        <v>-16.651966867533702</v>
      </c>
    </row>
    <row r="282" spans="15:19" x14ac:dyDescent="0.3">
      <c r="O282">
        <v>278</v>
      </c>
      <c r="P282" s="23">
        <f>'$ Portfolio Loss'!P282</f>
        <v>-9.1403179779972561</v>
      </c>
      <c r="R282">
        <v>88</v>
      </c>
      <c r="S282" s="23">
        <v>-16.786090860134209</v>
      </c>
    </row>
    <row r="283" spans="15:19" x14ac:dyDescent="0.3">
      <c r="O283">
        <v>279</v>
      </c>
      <c r="P283" s="23">
        <f>'$ Portfolio Loss'!P283</f>
        <v>-14.410315273691594</v>
      </c>
      <c r="R283">
        <v>417</v>
      </c>
      <c r="S283" s="23">
        <v>-16.95838501997423</v>
      </c>
    </row>
    <row r="284" spans="15:19" x14ac:dyDescent="0.3">
      <c r="O284">
        <v>280</v>
      </c>
      <c r="P284" s="23">
        <f>'$ Portfolio Loss'!P284</f>
        <v>0.40374211849848507</v>
      </c>
      <c r="R284">
        <v>106</v>
      </c>
      <c r="S284" s="23">
        <v>-17.083152395780417</v>
      </c>
    </row>
    <row r="285" spans="15:19" x14ac:dyDescent="0.3">
      <c r="O285">
        <v>281</v>
      </c>
      <c r="P285" s="23">
        <f>'$ Portfolio Loss'!P285</f>
        <v>82.201550892541491</v>
      </c>
      <c r="R285">
        <v>157</v>
      </c>
      <c r="S285" s="23">
        <v>-17.112599983236578</v>
      </c>
    </row>
    <row r="286" spans="15:19" x14ac:dyDescent="0.3">
      <c r="O286">
        <v>282</v>
      </c>
      <c r="P286" s="23">
        <f>'$ Portfolio Loss'!P286</f>
        <v>48.645573271143803</v>
      </c>
      <c r="R286">
        <v>348</v>
      </c>
      <c r="S286" s="23">
        <v>-17.607200365346216</v>
      </c>
    </row>
    <row r="287" spans="15:19" x14ac:dyDescent="0.3">
      <c r="O287">
        <v>283</v>
      </c>
      <c r="P287" s="23">
        <f>'$ Portfolio Loss'!P287</f>
        <v>-53.909495988971685</v>
      </c>
      <c r="R287">
        <v>148</v>
      </c>
      <c r="S287" s="23">
        <v>-18.338979438556635</v>
      </c>
    </row>
    <row r="288" spans="15:19" x14ac:dyDescent="0.3">
      <c r="O288">
        <v>284</v>
      </c>
      <c r="P288" s="23">
        <f>'$ Portfolio Loss'!P288</f>
        <v>-18.387759195109538</v>
      </c>
      <c r="R288">
        <v>164</v>
      </c>
      <c r="S288" s="23">
        <v>-18.389969444422604</v>
      </c>
    </row>
    <row r="289" spans="15:19" x14ac:dyDescent="0.3">
      <c r="O289">
        <v>285</v>
      </c>
      <c r="P289" s="23">
        <f>'$ Portfolio Loss'!P289</f>
        <v>-11.484567133295059</v>
      </c>
      <c r="R289">
        <v>154</v>
      </c>
      <c r="S289" s="23">
        <v>-18.467002946790672</v>
      </c>
    </row>
    <row r="290" spans="15:19" x14ac:dyDescent="0.3">
      <c r="O290">
        <v>286</v>
      </c>
      <c r="P290" s="23">
        <f>'$ Portfolio Loss'!P290</f>
        <v>-67.065740348876716</v>
      </c>
      <c r="R290">
        <v>281</v>
      </c>
      <c r="S290" s="23">
        <v>-18.917522829353402</v>
      </c>
    </row>
    <row r="291" spans="15:19" x14ac:dyDescent="0.3">
      <c r="O291">
        <v>287</v>
      </c>
      <c r="P291" s="23">
        <f>'$ Portfolio Loss'!P291</f>
        <v>-48.610286785504286</v>
      </c>
      <c r="R291">
        <v>22</v>
      </c>
      <c r="S291" s="23">
        <v>-19.194093364632863</v>
      </c>
    </row>
    <row r="292" spans="15:19" x14ac:dyDescent="0.3">
      <c r="O292">
        <v>288</v>
      </c>
      <c r="P292" s="23">
        <f>'$ Portfolio Loss'!P292</f>
        <v>-63.150536027260387</v>
      </c>
      <c r="R292">
        <v>160</v>
      </c>
      <c r="S292" s="23">
        <v>-19.283651127965641</v>
      </c>
    </row>
    <row r="293" spans="15:19" x14ac:dyDescent="0.3">
      <c r="O293">
        <v>289</v>
      </c>
      <c r="P293" s="23">
        <f>'$ Portfolio Loss'!P293</f>
        <v>-36.804291232285323</v>
      </c>
      <c r="R293">
        <v>57</v>
      </c>
      <c r="S293" s="23">
        <v>-19.352773235268614</v>
      </c>
    </row>
    <row r="294" spans="15:19" x14ac:dyDescent="0.3">
      <c r="O294">
        <v>290</v>
      </c>
      <c r="P294" s="23">
        <f>'$ Portfolio Loss'!P294</f>
        <v>8.3153629000007641</v>
      </c>
      <c r="R294">
        <v>191</v>
      </c>
      <c r="S294" s="23">
        <v>-19.379801340328413</v>
      </c>
    </row>
    <row r="295" spans="15:19" x14ac:dyDescent="0.3">
      <c r="O295">
        <v>291</v>
      </c>
      <c r="P295" s="23">
        <f>'$ Portfolio Loss'!P295</f>
        <v>-34.982295117612011</v>
      </c>
      <c r="R295">
        <v>64</v>
      </c>
      <c r="S295" s="23">
        <v>-19.415605987642266</v>
      </c>
    </row>
    <row r="296" spans="15:19" x14ac:dyDescent="0.3">
      <c r="O296">
        <v>292</v>
      </c>
      <c r="P296" s="23">
        <f>'$ Portfolio Loss'!P296</f>
        <v>-49.05882360569376</v>
      </c>
      <c r="R296">
        <v>25</v>
      </c>
      <c r="S296" s="23">
        <v>-19.510947806711556</v>
      </c>
    </row>
    <row r="297" spans="15:19" x14ac:dyDescent="0.3">
      <c r="O297">
        <v>293</v>
      </c>
      <c r="P297" s="23">
        <f>'$ Portfolio Loss'!P297</f>
        <v>17.397965652337007</v>
      </c>
      <c r="R297">
        <v>342</v>
      </c>
      <c r="S297" s="23">
        <v>-20.033656398172752</v>
      </c>
    </row>
    <row r="298" spans="15:19" x14ac:dyDescent="0.3">
      <c r="O298">
        <v>294</v>
      </c>
      <c r="P298" s="23">
        <f>'$ Portfolio Loss'!P298</f>
        <v>-26.560055783031203</v>
      </c>
      <c r="R298">
        <v>484</v>
      </c>
      <c r="S298" s="23">
        <v>-20.522650078688457</v>
      </c>
    </row>
    <row r="299" spans="15:19" x14ac:dyDescent="0.3">
      <c r="O299">
        <v>295</v>
      </c>
      <c r="P299" s="23">
        <f>'$ Portfolio Loss'!P299</f>
        <v>18.403546818222821</v>
      </c>
      <c r="R299">
        <v>323</v>
      </c>
      <c r="S299" s="23">
        <v>-20.764147184278045</v>
      </c>
    </row>
    <row r="300" spans="15:19" x14ac:dyDescent="0.3">
      <c r="O300">
        <v>296</v>
      </c>
      <c r="P300" s="23">
        <f>'$ Portfolio Loss'!P300</f>
        <v>-61.026016443292974</v>
      </c>
      <c r="R300">
        <v>68</v>
      </c>
      <c r="S300" s="23">
        <v>-21.114468667277833</v>
      </c>
    </row>
    <row r="301" spans="15:19" x14ac:dyDescent="0.3">
      <c r="O301">
        <v>297</v>
      </c>
      <c r="P301" s="23">
        <f>'$ Portfolio Loss'!P301</f>
        <v>1.3127267946056236</v>
      </c>
      <c r="R301">
        <v>400</v>
      </c>
      <c r="S301" s="23">
        <v>-21.25965081686445</v>
      </c>
    </row>
    <row r="302" spans="15:19" x14ac:dyDescent="0.3">
      <c r="O302">
        <v>298</v>
      </c>
      <c r="P302" s="23">
        <f>'$ Portfolio Loss'!P302</f>
        <v>-71.52896332419914</v>
      </c>
      <c r="R302">
        <v>229</v>
      </c>
      <c r="S302" s="23">
        <v>-22.879467183294764</v>
      </c>
    </row>
    <row r="303" spans="15:19" x14ac:dyDescent="0.3">
      <c r="O303">
        <v>299</v>
      </c>
      <c r="P303" s="23">
        <f>'$ Portfolio Loss'!P303</f>
        <v>-11.112894381794831</v>
      </c>
      <c r="R303">
        <v>99</v>
      </c>
      <c r="S303" s="23">
        <v>-24.443139439557854</v>
      </c>
    </row>
    <row r="304" spans="15:19" x14ac:dyDescent="0.3">
      <c r="O304">
        <v>300</v>
      </c>
      <c r="P304" s="23">
        <f>'$ Portfolio Loss'!P304</f>
        <v>17.386125055019875</v>
      </c>
      <c r="R304">
        <v>422</v>
      </c>
      <c r="S304" s="23">
        <v>-24.64124471978721</v>
      </c>
    </row>
    <row r="305" spans="15:19" x14ac:dyDescent="0.3">
      <c r="O305">
        <v>301</v>
      </c>
      <c r="P305" s="23">
        <f>'$ Portfolio Loss'!P305</f>
        <v>0.67644708195257408</v>
      </c>
      <c r="R305">
        <v>394</v>
      </c>
      <c r="S305" s="23">
        <v>-25.009852140188741</v>
      </c>
    </row>
    <row r="306" spans="15:19" x14ac:dyDescent="0.3">
      <c r="O306">
        <v>302</v>
      </c>
      <c r="P306" s="23">
        <f>'$ Portfolio Loss'!P306</f>
        <v>-50.409786365011314</v>
      </c>
      <c r="R306">
        <v>245</v>
      </c>
      <c r="S306" s="23">
        <v>-25.412998720625183</v>
      </c>
    </row>
    <row r="307" spans="15:19" x14ac:dyDescent="0.3">
      <c r="O307">
        <v>303</v>
      </c>
      <c r="P307" s="23">
        <f>'$ Portfolio Loss'!P307</f>
        <v>19.094349068360316</v>
      </c>
      <c r="R307">
        <v>140</v>
      </c>
      <c r="S307" s="23">
        <v>-25.760347409866881</v>
      </c>
    </row>
    <row r="308" spans="15:19" x14ac:dyDescent="0.3">
      <c r="O308">
        <v>304</v>
      </c>
      <c r="P308" s="23">
        <f>'$ Portfolio Loss'!P308</f>
        <v>-13.70966895631318</v>
      </c>
      <c r="R308">
        <v>398</v>
      </c>
      <c r="S308" s="23">
        <v>-26.257890194990978</v>
      </c>
    </row>
    <row r="309" spans="15:19" x14ac:dyDescent="0.3">
      <c r="O309">
        <v>305</v>
      </c>
      <c r="P309" s="23">
        <f>'$ Portfolio Loss'!P309</f>
        <v>-10.386546996887773</v>
      </c>
      <c r="R309">
        <v>446</v>
      </c>
      <c r="S309" s="23">
        <v>-26.953923379511252</v>
      </c>
    </row>
    <row r="310" spans="15:19" x14ac:dyDescent="0.3">
      <c r="O310">
        <v>306</v>
      </c>
      <c r="P310" s="23">
        <f>'$ Portfolio Loss'!P310</f>
        <v>-78.808815361735469</v>
      </c>
      <c r="R310">
        <v>2</v>
      </c>
      <c r="S310" s="23">
        <v>-27.481313121183121</v>
      </c>
    </row>
    <row r="311" spans="15:19" x14ac:dyDescent="0.3">
      <c r="O311">
        <v>307</v>
      </c>
      <c r="P311" s="23">
        <f>'$ Portfolio Loss'!P311</f>
        <v>10.615133239331044</v>
      </c>
      <c r="R311">
        <v>253</v>
      </c>
      <c r="S311" s="23">
        <v>-27.537054396740132</v>
      </c>
    </row>
    <row r="312" spans="15:19" x14ac:dyDescent="0.3">
      <c r="O312">
        <v>308</v>
      </c>
      <c r="P312" s="23">
        <f>'$ Portfolio Loss'!P312</f>
        <v>21.532016823588492</v>
      </c>
      <c r="R312">
        <v>30</v>
      </c>
      <c r="S312" s="23">
        <v>-27.563594064231438</v>
      </c>
    </row>
    <row r="313" spans="15:19" x14ac:dyDescent="0.3">
      <c r="O313">
        <v>309</v>
      </c>
      <c r="P313" s="23">
        <f>'$ Portfolio Loss'!P313</f>
        <v>19.227158033665546</v>
      </c>
      <c r="R313">
        <v>152</v>
      </c>
      <c r="S313" s="23">
        <v>-27.580576552636558</v>
      </c>
    </row>
    <row r="314" spans="15:19" x14ac:dyDescent="0.3">
      <c r="O314">
        <v>310</v>
      </c>
      <c r="P314" s="23">
        <f>'$ Portfolio Loss'!P314</f>
        <v>-57.800448959269488</v>
      </c>
      <c r="R314">
        <v>85</v>
      </c>
      <c r="S314" s="23">
        <v>-27.998862234138869</v>
      </c>
    </row>
    <row r="315" spans="15:19" x14ac:dyDescent="0.3">
      <c r="O315">
        <v>311</v>
      </c>
      <c r="P315" s="23">
        <f>'$ Portfolio Loss'!P315</f>
        <v>148.35981160301344</v>
      </c>
      <c r="R315">
        <v>161</v>
      </c>
      <c r="S315" s="23">
        <v>-28.16301842215762</v>
      </c>
    </row>
    <row r="316" spans="15:19" x14ac:dyDescent="0.3">
      <c r="O316">
        <v>312</v>
      </c>
      <c r="P316" s="23">
        <f>'$ Portfolio Loss'!P316</f>
        <v>65.442250766938741</v>
      </c>
      <c r="R316">
        <v>163</v>
      </c>
      <c r="S316" s="23">
        <v>-29.010528001514103</v>
      </c>
    </row>
    <row r="317" spans="15:19" x14ac:dyDescent="0.3">
      <c r="O317">
        <v>313</v>
      </c>
      <c r="P317" s="23">
        <f>'$ Portfolio Loss'!P317</f>
        <v>71.213317762561928</v>
      </c>
      <c r="R317">
        <v>264</v>
      </c>
      <c r="S317" s="23">
        <v>-29.036673953758509</v>
      </c>
    </row>
    <row r="318" spans="15:19" x14ac:dyDescent="0.3">
      <c r="O318">
        <v>314</v>
      </c>
      <c r="P318" s="23">
        <f>'$ Portfolio Loss'!P318</f>
        <v>118.01198535061849</v>
      </c>
      <c r="R318">
        <v>53</v>
      </c>
      <c r="S318" s="23">
        <v>-29.056974134075062</v>
      </c>
    </row>
    <row r="319" spans="15:19" x14ac:dyDescent="0.3">
      <c r="O319">
        <v>315</v>
      </c>
      <c r="P319" s="23">
        <f>'$ Portfolio Loss'!P319</f>
        <v>-11.899681596962182</v>
      </c>
      <c r="R319">
        <v>45</v>
      </c>
      <c r="S319" s="23">
        <v>-29.532715783610911</v>
      </c>
    </row>
    <row r="320" spans="15:19" x14ac:dyDescent="0.3">
      <c r="O320">
        <v>316</v>
      </c>
      <c r="P320" s="23">
        <f>'$ Portfolio Loss'!P320</f>
        <v>131.22681431817909</v>
      </c>
      <c r="R320">
        <v>340</v>
      </c>
      <c r="S320" s="23">
        <v>-30.009037800353326</v>
      </c>
    </row>
    <row r="321" spans="15:19" x14ac:dyDescent="0.3">
      <c r="O321">
        <v>317</v>
      </c>
      <c r="P321" s="23">
        <f>'$ Portfolio Loss'!P321</f>
        <v>-5.5279141175051336</v>
      </c>
      <c r="R321">
        <v>158</v>
      </c>
      <c r="S321" s="23">
        <v>-30.237860242097668</v>
      </c>
    </row>
    <row r="322" spans="15:19" x14ac:dyDescent="0.3">
      <c r="O322">
        <v>318</v>
      </c>
      <c r="P322" s="23">
        <f>'$ Portfolio Loss'!P322</f>
        <v>-66.840456465444731</v>
      </c>
      <c r="R322">
        <v>91</v>
      </c>
      <c r="S322" s="23">
        <v>-30.354514659193228</v>
      </c>
    </row>
    <row r="323" spans="15:19" x14ac:dyDescent="0.3">
      <c r="O323">
        <v>319</v>
      </c>
      <c r="P323" s="23">
        <f>'$ Portfolio Loss'!P323</f>
        <v>-6.72847324054419</v>
      </c>
      <c r="R323">
        <v>49</v>
      </c>
      <c r="S323" s="23">
        <v>-30.354713149718009</v>
      </c>
    </row>
    <row r="324" spans="15:19" x14ac:dyDescent="0.3">
      <c r="O324">
        <v>320</v>
      </c>
      <c r="P324" s="23">
        <f>'$ Portfolio Loss'!P324</f>
        <v>54.093013986324877</v>
      </c>
      <c r="R324">
        <v>275</v>
      </c>
      <c r="S324" s="23">
        <v>-30.508755038787058</v>
      </c>
    </row>
    <row r="325" spans="15:19" x14ac:dyDescent="0.3">
      <c r="O325">
        <v>321</v>
      </c>
      <c r="P325" s="23">
        <f>'$ Portfolio Loss'!P325</f>
        <v>53.273848375334637</v>
      </c>
      <c r="R325">
        <v>387</v>
      </c>
      <c r="S325" s="23">
        <v>-30.636991289376965</v>
      </c>
    </row>
    <row r="326" spans="15:19" x14ac:dyDescent="0.3">
      <c r="O326">
        <v>322</v>
      </c>
      <c r="P326" s="23">
        <f>'$ Portfolio Loss'!P326</f>
        <v>-21.177109074047621</v>
      </c>
      <c r="R326">
        <v>97</v>
      </c>
      <c r="S326" s="23">
        <v>-30.665729418145929</v>
      </c>
    </row>
    <row r="327" spans="15:19" x14ac:dyDescent="0.3">
      <c r="O327">
        <v>323</v>
      </c>
      <c r="P327" s="23">
        <f>'$ Portfolio Loss'!P327</f>
        <v>20.034431456484526</v>
      </c>
      <c r="R327">
        <v>86</v>
      </c>
      <c r="S327" s="23">
        <v>-30.692508565602111</v>
      </c>
    </row>
    <row r="328" spans="15:19" x14ac:dyDescent="0.3">
      <c r="O328">
        <v>324</v>
      </c>
      <c r="P328" s="23">
        <f>'$ Portfolio Loss'!P328</f>
        <v>103.24903214799815</v>
      </c>
      <c r="R328">
        <v>39</v>
      </c>
      <c r="S328" s="23">
        <v>-30.718953504145247</v>
      </c>
    </row>
    <row r="329" spans="15:19" x14ac:dyDescent="0.3">
      <c r="O329">
        <v>325</v>
      </c>
      <c r="P329" s="23">
        <f>'$ Portfolio Loss'!P329</f>
        <v>-24.091495004433455</v>
      </c>
      <c r="R329">
        <v>113</v>
      </c>
      <c r="S329" s="23">
        <v>-31.479918573591931</v>
      </c>
    </row>
    <row r="330" spans="15:19" x14ac:dyDescent="0.3">
      <c r="O330">
        <v>326</v>
      </c>
      <c r="P330" s="23">
        <f>'$ Portfolio Loss'!P330</f>
        <v>58.912575328900857</v>
      </c>
      <c r="R330">
        <v>184</v>
      </c>
      <c r="S330" s="23">
        <v>-31.527477930518216</v>
      </c>
    </row>
    <row r="331" spans="15:19" x14ac:dyDescent="0.3">
      <c r="O331">
        <v>327</v>
      </c>
      <c r="P331" s="23">
        <f>'$ Portfolio Loss'!P331</f>
        <v>31.543246450291917</v>
      </c>
      <c r="R331">
        <v>130</v>
      </c>
      <c r="S331" s="23">
        <v>-31.613709141718573</v>
      </c>
    </row>
    <row r="332" spans="15:19" x14ac:dyDescent="0.3">
      <c r="O332">
        <v>328</v>
      </c>
      <c r="P332" s="23">
        <f>'$ Portfolio Loss'!P332</f>
        <v>9.2399462853300065</v>
      </c>
      <c r="R332">
        <v>224</v>
      </c>
      <c r="S332" s="23">
        <v>-32.265038773743072</v>
      </c>
    </row>
    <row r="333" spans="15:19" x14ac:dyDescent="0.3">
      <c r="O333">
        <v>329</v>
      </c>
      <c r="P333" s="23">
        <f>'$ Portfolio Loss'!P333</f>
        <v>-6.9518506001149944</v>
      </c>
      <c r="R333">
        <v>411</v>
      </c>
      <c r="S333" s="23">
        <v>-32.549451291259174</v>
      </c>
    </row>
    <row r="334" spans="15:19" x14ac:dyDescent="0.3">
      <c r="O334">
        <v>330</v>
      </c>
      <c r="P334" s="23">
        <f>'$ Portfolio Loss'!P334</f>
        <v>62.542507324087637</v>
      </c>
      <c r="R334">
        <v>80</v>
      </c>
      <c r="S334" s="23">
        <v>-33.403954754152437</v>
      </c>
    </row>
    <row r="335" spans="15:19" x14ac:dyDescent="0.3">
      <c r="O335">
        <v>331</v>
      </c>
      <c r="P335" s="23">
        <f>'$ Portfolio Loss'!P335</f>
        <v>-63.239636382711979</v>
      </c>
      <c r="R335">
        <v>118</v>
      </c>
      <c r="S335" s="23">
        <v>-33.783181555247211</v>
      </c>
    </row>
    <row r="336" spans="15:19" x14ac:dyDescent="0.3">
      <c r="O336">
        <v>332</v>
      </c>
      <c r="P336" s="23">
        <f>'$ Portfolio Loss'!P336</f>
        <v>-18.719046196336421</v>
      </c>
      <c r="R336">
        <v>456</v>
      </c>
      <c r="S336" s="23">
        <v>-33.959334209002918</v>
      </c>
    </row>
    <row r="337" spans="15:19" x14ac:dyDescent="0.3">
      <c r="O337">
        <v>333</v>
      </c>
      <c r="P337" s="23">
        <f>'$ Portfolio Loss'!P337</f>
        <v>-78.5593046463473</v>
      </c>
      <c r="R337">
        <v>267</v>
      </c>
      <c r="S337" s="23">
        <v>-34.128894425808539</v>
      </c>
    </row>
    <row r="338" spans="15:19" x14ac:dyDescent="0.3">
      <c r="O338">
        <v>334</v>
      </c>
      <c r="P338" s="23">
        <f>'$ Portfolio Loss'!P338</f>
        <v>-71.370085995065892</v>
      </c>
      <c r="R338">
        <v>129</v>
      </c>
      <c r="S338" s="23">
        <v>-34.153395280160112</v>
      </c>
    </row>
    <row r="339" spans="15:19" x14ac:dyDescent="0.3">
      <c r="O339">
        <v>335</v>
      </c>
      <c r="P339" s="23">
        <f>'$ Portfolio Loss'!P339</f>
        <v>-146.15318819911408</v>
      </c>
      <c r="R339">
        <v>122</v>
      </c>
      <c r="S339" s="23">
        <v>-34.202845761765275</v>
      </c>
    </row>
    <row r="340" spans="15:19" x14ac:dyDescent="0.3">
      <c r="O340">
        <v>336</v>
      </c>
      <c r="P340" s="23">
        <f>'$ Portfolio Loss'!P340</f>
        <v>-42.986773908603936</v>
      </c>
      <c r="R340">
        <v>462</v>
      </c>
      <c r="S340" s="23">
        <v>-34.357751776678924</v>
      </c>
    </row>
    <row r="341" spans="15:19" x14ac:dyDescent="0.3">
      <c r="O341">
        <v>337</v>
      </c>
      <c r="P341" s="23">
        <f>'$ Portfolio Loss'!P341</f>
        <v>57.93807964230291</v>
      </c>
      <c r="R341">
        <v>172</v>
      </c>
      <c r="S341" s="23">
        <v>-34.640081170209669</v>
      </c>
    </row>
    <row r="342" spans="15:19" x14ac:dyDescent="0.3">
      <c r="O342">
        <v>338</v>
      </c>
      <c r="P342" s="23">
        <f>'$ Portfolio Loss'!P342</f>
        <v>-2.2007859069690312</v>
      </c>
      <c r="R342">
        <v>215</v>
      </c>
      <c r="S342" s="23">
        <v>-35.975568635960371</v>
      </c>
    </row>
    <row r="343" spans="15:19" x14ac:dyDescent="0.3">
      <c r="O343">
        <v>339</v>
      </c>
      <c r="P343" s="23">
        <f>'$ Portfolio Loss'!P343</f>
        <v>37.496635907196833</v>
      </c>
      <c r="R343">
        <v>407</v>
      </c>
      <c r="S343" s="23">
        <v>-36.498168872129099</v>
      </c>
    </row>
    <row r="344" spans="15:19" x14ac:dyDescent="0.3">
      <c r="O344">
        <v>340</v>
      </c>
      <c r="P344" s="23">
        <f>'$ Portfolio Loss'!P344</f>
        <v>-65.706545562494284</v>
      </c>
      <c r="R344">
        <v>214</v>
      </c>
      <c r="S344" s="23">
        <v>-36.875677484218613</v>
      </c>
    </row>
    <row r="345" spans="15:19" x14ac:dyDescent="0.3">
      <c r="O345">
        <v>341</v>
      </c>
      <c r="P345" s="23">
        <f>'$ Portfolio Loss'!P345</f>
        <v>-47.821081958229115</v>
      </c>
      <c r="R345">
        <v>187</v>
      </c>
      <c r="S345" s="23">
        <v>-37.80919532673397</v>
      </c>
    </row>
    <row r="346" spans="15:19" x14ac:dyDescent="0.3">
      <c r="O346">
        <v>342</v>
      </c>
      <c r="P346" s="23">
        <f>'$ Portfolio Loss'!P346</f>
        <v>-69.907869799681066</v>
      </c>
      <c r="R346">
        <v>48</v>
      </c>
      <c r="S346" s="23">
        <v>-38.648464319790946</v>
      </c>
    </row>
    <row r="347" spans="15:19" x14ac:dyDescent="0.3">
      <c r="O347">
        <v>343</v>
      </c>
      <c r="P347" s="23">
        <f>'$ Portfolio Loss'!P347</f>
        <v>-123.44505447413394</v>
      </c>
      <c r="R347">
        <v>77</v>
      </c>
      <c r="S347" s="23">
        <v>-39.16113813710399</v>
      </c>
    </row>
    <row r="348" spans="15:19" x14ac:dyDescent="0.3">
      <c r="O348">
        <v>344</v>
      </c>
      <c r="P348" s="23">
        <f>'$ Portfolio Loss'!P348</f>
        <v>2.318591569282944</v>
      </c>
      <c r="R348">
        <v>354</v>
      </c>
      <c r="S348" s="23">
        <v>-39.368034350552989</v>
      </c>
    </row>
    <row r="349" spans="15:19" x14ac:dyDescent="0.3">
      <c r="O349">
        <v>345</v>
      </c>
      <c r="P349" s="23">
        <f>'$ Portfolio Loss'!P349</f>
        <v>30.969467443077519</v>
      </c>
      <c r="R349">
        <v>388</v>
      </c>
      <c r="S349" s="23">
        <v>-39.490674680917436</v>
      </c>
    </row>
    <row r="350" spans="15:19" x14ac:dyDescent="0.3">
      <c r="O350">
        <v>346</v>
      </c>
      <c r="P350" s="23">
        <f>'$ Portfolio Loss'!P350</f>
        <v>51.148101873071937</v>
      </c>
      <c r="R350">
        <v>51</v>
      </c>
      <c r="S350" s="23">
        <v>-39.990846268887253</v>
      </c>
    </row>
    <row r="351" spans="15:19" x14ac:dyDescent="0.3">
      <c r="O351">
        <v>347</v>
      </c>
      <c r="P351" s="23">
        <f>'$ Portfolio Loss'!P351</f>
        <v>6.7941941750032129</v>
      </c>
      <c r="R351">
        <v>196</v>
      </c>
      <c r="S351" s="23">
        <v>-40.625824018541607</v>
      </c>
    </row>
    <row r="352" spans="15:19" x14ac:dyDescent="0.3">
      <c r="O352">
        <v>348</v>
      </c>
      <c r="P352" s="23">
        <f>'$ Portfolio Loss'!P352</f>
        <v>-47.992830127421257</v>
      </c>
      <c r="R352">
        <v>29</v>
      </c>
      <c r="S352" s="23">
        <v>-40.800685004453044</v>
      </c>
    </row>
    <row r="353" spans="15:19" x14ac:dyDescent="0.3">
      <c r="O353">
        <v>349</v>
      </c>
      <c r="P353" s="23">
        <f>'$ Portfolio Loss'!P353</f>
        <v>-46.490236621384611</v>
      </c>
      <c r="R353">
        <v>79</v>
      </c>
      <c r="S353" s="23">
        <v>-41.554448926759505</v>
      </c>
    </row>
    <row r="354" spans="15:19" x14ac:dyDescent="0.3">
      <c r="O354">
        <v>350</v>
      </c>
      <c r="P354" s="23">
        <f>'$ Portfolio Loss'!P354</f>
        <v>-56.072363333432804</v>
      </c>
      <c r="R354">
        <v>124</v>
      </c>
      <c r="S354" s="23">
        <v>-41.630820383274113</v>
      </c>
    </row>
    <row r="355" spans="15:19" x14ac:dyDescent="0.3">
      <c r="O355">
        <v>351</v>
      </c>
      <c r="P355" s="23">
        <f>'$ Portfolio Loss'!P355</f>
        <v>-61.986227575675002</v>
      </c>
      <c r="R355">
        <v>209</v>
      </c>
      <c r="S355" s="23">
        <v>-41.854274050367167</v>
      </c>
    </row>
    <row r="356" spans="15:19" x14ac:dyDescent="0.3">
      <c r="O356">
        <v>352</v>
      </c>
      <c r="P356" s="23">
        <f>'$ Portfolio Loss'!P356</f>
        <v>-11.748956064722734</v>
      </c>
      <c r="R356">
        <v>60</v>
      </c>
      <c r="S356" s="23">
        <v>-42.253586212715163</v>
      </c>
    </row>
    <row r="357" spans="15:19" x14ac:dyDescent="0.3">
      <c r="O357">
        <v>353</v>
      </c>
      <c r="P357" s="23">
        <f>'$ Portfolio Loss'!P357</f>
        <v>24.480307340751096</v>
      </c>
      <c r="R357">
        <v>479</v>
      </c>
      <c r="S357" s="23">
        <v>-42.643079682384268</v>
      </c>
    </row>
    <row r="358" spans="15:19" x14ac:dyDescent="0.3">
      <c r="O358">
        <v>354</v>
      </c>
      <c r="P358" s="23">
        <f>'$ Portfolio Loss'!P358</f>
        <v>82.351789582846322</v>
      </c>
      <c r="R358">
        <v>54</v>
      </c>
      <c r="S358" s="23">
        <v>-42.755986519845464</v>
      </c>
    </row>
    <row r="359" spans="15:19" x14ac:dyDescent="0.3">
      <c r="O359">
        <v>355</v>
      </c>
      <c r="P359" s="23">
        <f>'$ Portfolio Loss'!P359</f>
        <v>21.486835573465214</v>
      </c>
      <c r="R359">
        <v>251</v>
      </c>
      <c r="S359" s="23">
        <v>-42.876090784016924</v>
      </c>
    </row>
    <row r="360" spans="15:19" x14ac:dyDescent="0.3">
      <c r="O360">
        <v>356</v>
      </c>
      <c r="P360" s="23">
        <f>'$ Portfolio Loss'!P360</f>
        <v>-12.665358205827943</v>
      </c>
      <c r="R360">
        <v>174</v>
      </c>
      <c r="S360" s="23">
        <v>-43.574626298803196</v>
      </c>
    </row>
    <row r="361" spans="15:19" x14ac:dyDescent="0.3">
      <c r="O361">
        <v>357</v>
      </c>
      <c r="P361" s="23">
        <f>'$ Portfolio Loss'!P361</f>
        <v>-38.13463916701221</v>
      </c>
      <c r="R361">
        <v>210</v>
      </c>
      <c r="S361" s="23">
        <v>-43.592971778736683</v>
      </c>
    </row>
    <row r="362" spans="15:19" x14ac:dyDescent="0.3">
      <c r="O362">
        <v>358</v>
      </c>
      <c r="P362" s="23">
        <f>'$ Portfolio Loss'!P362</f>
        <v>-10.239649408225887</v>
      </c>
      <c r="R362">
        <v>176</v>
      </c>
      <c r="S362" s="23">
        <v>-44.188821497291428</v>
      </c>
    </row>
    <row r="363" spans="15:19" x14ac:dyDescent="0.3">
      <c r="O363">
        <v>359</v>
      </c>
      <c r="P363" s="23">
        <f>'$ Portfolio Loss'!P363</f>
        <v>-36.044709850335494</v>
      </c>
      <c r="R363">
        <v>26</v>
      </c>
      <c r="S363" s="23">
        <v>-44.431147138187953</v>
      </c>
    </row>
    <row r="364" spans="15:19" x14ac:dyDescent="0.3">
      <c r="O364">
        <v>360</v>
      </c>
      <c r="P364" s="23">
        <f>'$ Portfolio Loss'!P364</f>
        <v>-9.7707250556213694</v>
      </c>
      <c r="R364">
        <v>108</v>
      </c>
      <c r="S364" s="23">
        <v>-44.488959818489093</v>
      </c>
    </row>
    <row r="365" spans="15:19" x14ac:dyDescent="0.3">
      <c r="O365">
        <v>361</v>
      </c>
      <c r="P365" s="23">
        <f>'$ Portfolio Loss'!P365</f>
        <v>75.639754229416212</v>
      </c>
      <c r="R365">
        <v>212</v>
      </c>
      <c r="S365" s="23">
        <v>-45.074079105233977</v>
      </c>
    </row>
    <row r="366" spans="15:19" x14ac:dyDescent="0.3">
      <c r="O366">
        <v>362</v>
      </c>
      <c r="P366" s="23">
        <f>'$ Portfolio Loss'!P366</f>
        <v>5.1240437290980481</v>
      </c>
      <c r="R366">
        <v>156</v>
      </c>
      <c r="S366" s="23">
        <v>-45.905282390114735</v>
      </c>
    </row>
    <row r="367" spans="15:19" x14ac:dyDescent="0.3">
      <c r="O367">
        <v>363</v>
      </c>
      <c r="P367" s="23">
        <f>'$ Portfolio Loss'!P367</f>
        <v>3.9210081967721635</v>
      </c>
      <c r="R367">
        <v>66</v>
      </c>
      <c r="S367" s="23">
        <v>-46.517793514769437</v>
      </c>
    </row>
    <row r="368" spans="15:19" x14ac:dyDescent="0.3">
      <c r="O368">
        <v>364</v>
      </c>
      <c r="P368" s="23">
        <f>'$ Portfolio Loss'!P368</f>
        <v>-21.98160118375381</v>
      </c>
      <c r="R368">
        <v>230</v>
      </c>
      <c r="S368" s="23">
        <v>-47.126729810268444</v>
      </c>
    </row>
    <row r="369" spans="15:19" x14ac:dyDescent="0.3">
      <c r="O369">
        <v>365</v>
      </c>
      <c r="P369" s="23">
        <f>'$ Portfolio Loss'!P369</f>
        <v>-80.721208106333506</v>
      </c>
      <c r="R369">
        <v>301</v>
      </c>
      <c r="S369" s="23">
        <v>-47.275092825513639</v>
      </c>
    </row>
    <row r="370" spans="15:19" x14ac:dyDescent="0.3">
      <c r="O370">
        <v>366</v>
      </c>
      <c r="P370" s="23">
        <f>'$ Portfolio Loss'!P370</f>
        <v>-54.682773939590334</v>
      </c>
      <c r="R370">
        <v>274</v>
      </c>
      <c r="S370" s="23">
        <v>-48.730538840065492</v>
      </c>
    </row>
    <row r="371" spans="15:19" x14ac:dyDescent="0.3">
      <c r="O371">
        <v>367</v>
      </c>
      <c r="P371" s="23">
        <f>'$ Portfolio Loss'!P371</f>
        <v>7.6359337618996506</v>
      </c>
      <c r="R371">
        <v>169</v>
      </c>
      <c r="S371" s="23">
        <v>-48.761662085873468</v>
      </c>
    </row>
    <row r="372" spans="15:19" x14ac:dyDescent="0.3">
      <c r="O372">
        <v>368</v>
      </c>
      <c r="P372" s="23">
        <f>'$ Portfolio Loss'!P372</f>
        <v>3.5425946430150361</v>
      </c>
      <c r="R372">
        <v>414</v>
      </c>
      <c r="S372" s="23">
        <v>-48.954795306113738</v>
      </c>
    </row>
    <row r="373" spans="15:19" x14ac:dyDescent="0.3">
      <c r="O373">
        <v>369</v>
      </c>
      <c r="P373" s="23">
        <f>'$ Portfolio Loss'!P373</f>
        <v>31.832818162431067</v>
      </c>
      <c r="R373">
        <v>355</v>
      </c>
      <c r="S373" s="23">
        <v>-49.039497274665337</v>
      </c>
    </row>
    <row r="374" spans="15:19" x14ac:dyDescent="0.3">
      <c r="O374">
        <v>370</v>
      </c>
      <c r="P374" s="23">
        <f>'$ Portfolio Loss'!P374</f>
        <v>27.63698473570912</v>
      </c>
      <c r="R374">
        <v>277</v>
      </c>
      <c r="S374" s="23">
        <v>-49.126327506590314</v>
      </c>
    </row>
    <row r="375" spans="15:19" x14ac:dyDescent="0.3">
      <c r="O375">
        <v>371</v>
      </c>
      <c r="P375" s="23">
        <f>'$ Portfolio Loss'!P375</f>
        <v>46.881997397573286</v>
      </c>
      <c r="R375">
        <v>37</v>
      </c>
      <c r="S375" s="23">
        <v>-49.14354850359814</v>
      </c>
    </row>
    <row r="376" spans="15:19" x14ac:dyDescent="0.3">
      <c r="O376">
        <v>372</v>
      </c>
      <c r="P376" s="23">
        <f>'$ Portfolio Loss'!P376</f>
        <v>97.491790212785418</v>
      </c>
      <c r="R376">
        <v>386</v>
      </c>
      <c r="S376" s="23">
        <v>-49.309537910001382</v>
      </c>
    </row>
    <row r="377" spans="15:19" x14ac:dyDescent="0.3">
      <c r="O377">
        <v>373</v>
      </c>
      <c r="P377" s="23">
        <f>'$ Portfolio Loss'!P377</f>
        <v>120.13492984050026</v>
      </c>
      <c r="R377">
        <v>470</v>
      </c>
      <c r="S377" s="23">
        <v>-49.350959462975879</v>
      </c>
    </row>
    <row r="378" spans="15:19" x14ac:dyDescent="0.3">
      <c r="O378">
        <v>374</v>
      </c>
      <c r="P378" s="23">
        <f>'$ Portfolio Loss'!P378</f>
        <v>226.9763257771483</v>
      </c>
      <c r="R378">
        <v>474</v>
      </c>
      <c r="S378" s="23">
        <v>-50.812771020027867</v>
      </c>
    </row>
    <row r="379" spans="15:19" x14ac:dyDescent="0.3">
      <c r="O379">
        <v>375</v>
      </c>
      <c r="P379" s="23">
        <f>'$ Portfolio Loss'!P379</f>
        <v>-4.8215970909950556</v>
      </c>
      <c r="R379">
        <v>190</v>
      </c>
      <c r="S379" s="23">
        <v>-51.633162864827682</v>
      </c>
    </row>
    <row r="380" spans="15:19" x14ac:dyDescent="0.3">
      <c r="O380">
        <v>376</v>
      </c>
      <c r="P380" s="23">
        <f>'$ Portfolio Loss'!P380</f>
        <v>-66.845870180441125</v>
      </c>
      <c r="R380">
        <v>234</v>
      </c>
      <c r="S380" s="23">
        <v>-51.636043203981899</v>
      </c>
    </row>
    <row r="381" spans="15:19" x14ac:dyDescent="0.3">
      <c r="O381">
        <v>377</v>
      </c>
      <c r="P381" s="23">
        <f>'$ Portfolio Loss'!P381</f>
        <v>-73.785546109198549</v>
      </c>
      <c r="R381">
        <v>478</v>
      </c>
      <c r="S381" s="23">
        <v>-51.849046228880979</v>
      </c>
    </row>
    <row r="382" spans="15:19" x14ac:dyDescent="0.3">
      <c r="O382">
        <v>378</v>
      </c>
      <c r="P382" s="23">
        <f>'$ Portfolio Loss'!P382</f>
        <v>77.340378506802153</v>
      </c>
      <c r="R382">
        <v>19</v>
      </c>
      <c r="S382" s="23">
        <v>-51.870780668539737</v>
      </c>
    </row>
    <row r="383" spans="15:19" x14ac:dyDescent="0.3">
      <c r="O383">
        <v>379</v>
      </c>
      <c r="P383" s="23">
        <f>'$ Portfolio Loss'!P383</f>
        <v>67.711990227668139</v>
      </c>
      <c r="R383">
        <v>16</v>
      </c>
      <c r="S383" s="23">
        <v>-51.929993037734675</v>
      </c>
    </row>
    <row r="384" spans="15:19" x14ac:dyDescent="0.3">
      <c r="O384">
        <v>380</v>
      </c>
      <c r="P384" s="23">
        <f>'$ Portfolio Loss'!P384</f>
        <v>-0.92461317281413358</v>
      </c>
      <c r="R384">
        <v>189</v>
      </c>
      <c r="S384" s="23">
        <v>-52.192617955526657</v>
      </c>
    </row>
    <row r="385" spans="15:19" x14ac:dyDescent="0.3">
      <c r="O385">
        <v>381</v>
      </c>
      <c r="P385" s="23">
        <f>'$ Portfolio Loss'!P385</f>
        <v>135.72321012450811</v>
      </c>
      <c r="R385">
        <v>421</v>
      </c>
      <c r="S385" s="23">
        <v>-52.625510077576109</v>
      </c>
    </row>
    <row r="386" spans="15:19" x14ac:dyDescent="0.3">
      <c r="O386">
        <v>382</v>
      </c>
      <c r="P386" s="23">
        <f>'$ Portfolio Loss'!P386</f>
        <v>-1.5264783645034186</v>
      </c>
      <c r="R386">
        <v>181</v>
      </c>
      <c r="S386" s="23">
        <v>-52.638077186262308</v>
      </c>
    </row>
    <row r="387" spans="15:19" x14ac:dyDescent="0.3">
      <c r="O387">
        <v>383</v>
      </c>
      <c r="P387" s="23">
        <f>'$ Portfolio Loss'!P387</f>
        <v>-101.16648459841599</v>
      </c>
      <c r="R387">
        <v>413</v>
      </c>
      <c r="S387" s="23">
        <v>-53.103458921050333</v>
      </c>
    </row>
    <row r="388" spans="15:19" x14ac:dyDescent="0.3">
      <c r="O388">
        <v>384</v>
      </c>
      <c r="P388" s="23">
        <f>'$ Portfolio Loss'!P388</f>
        <v>-94.314899560125923</v>
      </c>
      <c r="R388">
        <v>443</v>
      </c>
      <c r="S388" s="23">
        <v>-53.31587297360602</v>
      </c>
    </row>
    <row r="389" spans="15:19" x14ac:dyDescent="0.3">
      <c r="O389">
        <v>385</v>
      </c>
      <c r="P389" s="23">
        <f>'$ Portfolio Loss'!P389</f>
        <v>50.882254436219228</v>
      </c>
      <c r="R389">
        <v>426</v>
      </c>
      <c r="S389" s="23">
        <v>-53.925840280364355</v>
      </c>
    </row>
    <row r="390" spans="15:19" x14ac:dyDescent="0.3">
      <c r="O390">
        <v>386</v>
      </c>
      <c r="P390" s="23">
        <f>'$ Portfolio Loss'!P390</f>
        <v>-54.296571668201068</v>
      </c>
      <c r="R390">
        <v>308</v>
      </c>
      <c r="S390" s="23">
        <v>-53.929405415899964</v>
      </c>
    </row>
    <row r="391" spans="15:19" x14ac:dyDescent="0.3">
      <c r="O391">
        <v>387</v>
      </c>
      <c r="P391" s="23">
        <f>'$ Portfolio Loss'!P391</f>
        <v>18.128821944152151</v>
      </c>
      <c r="R391">
        <v>311</v>
      </c>
      <c r="S391" s="23">
        <v>-54.160290329495183</v>
      </c>
    </row>
    <row r="392" spans="15:19" x14ac:dyDescent="0.3">
      <c r="O392">
        <v>388</v>
      </c>
      <c r="P392" s="23">
        <f>'$ Portfolio Loss'!P392</f>
        <v>111.6685927713097</v>
      </c>
      <c r="R392">
        <v>33</v>
      </c>
      <c r="S392" s="23">
        <v>-54.388348120268347</v>
      </c>
    </row>
    <row r="393" spans="15:19" x14ac:dyDescent="0.3">
      <c r="O393">
        <v>389</v>
      </c>
      <c r="P393" s="23">
        <f>'$ Portfolio Loss'!P393</f>
        <v>47.658805699786171</v>
      </c>
      <c r="R393">
        <v>46</v>
      </c>
      <c r="S393" s="23">
        <v>-54.468400729452696</v>
      </c>
    </row>
    <row r="394" spans="15:19" x14ac:dyDescent="0.3">
      <c r="O394">
        <v>390</v>
      </c>
      <c r="P394" s="23">
        <f>'$ Portfolio Loss'!P394</f>
        <v>-12.196408355042877</v>
      </c>
      <c r="R394">
        <v>260</v>
      </c>
      <c r="S394" s="23">
        <v>-54.56320213721483</v>
      </c>
    </row>
    <row r="395" spans="15:19" x14ac:dyDescent="0.3">
      <c r="O395">
        <v>391</v>
      </c>
      <c r="P395" s="23">
        <f>'$ Portfolio Loss'!P395</f>
        <v>-45.456983885202135</v>
      </c>
      <c r="R395">
        <v>316</v>
      </c>
      <c r="S395" s="23">
        <v>-54.64850474900777</v>
      </c>
    </row>
    <row r="396" spans="15:19" x14ac:dyDescent="0.3">
      <c r="O396">
        <v>392</v>
      </c>
      <c r="P396" s="23">
        <f>'$ Portfolio Loss'!P396</f>
        <v>-67.673864083053559</v>
      </c>
      <c r="R396">
        <v>87</v>
      </c>
      <c r="S396" s="23">
        <v>-54.83099058980406</v>
      </c>
    </row>
    <row r="397" spans="15:19" x14ac:dyDescent="0.3">
      <c r="O397">
        <v>393</v>
      </c>
      <c r="P397" s="23">
        <f>'$ Portfolio Loss'!P397</f>
        <v>-42.502698805903492</v>
      </c>
      <c r="R397">
        <v>287</v>
      </c>
      <c r="S397" s="23">
        <v>-55.69907411186432</v>
      </c>
    </row>
    <row r="398" spans="15:19" x14ac:dyDescent="0.3">
      <c r="O398">
        <v>394</v>
      </c>
      <c r="P398" s="23">
        <f>'$ Portfolio Loss'!P398</f>
        <v>65.230333076477109</v>
      </c>
      <c r="R398">
        <v>18</v>
      </c>
      <c r="S398" s="23">
        <v>-56.357542835272397</v>
      </c>
    </row>
    <row r="399" spans="15:19" x14ac:dyDescent="0.3">
      <c r="O399">
        <v>395</v>
      </c>
      <c r="P399" s="23">
        <f>'$ Portfolio Loss'!P399</f>
        <v>-29.04128729428885</v>
      </c>
      <c r="R399">
        <v>101</v>
      </c>
      <c r="S399" s="23">
        <v>-56.5370993110173</v>
      </c>
    </row>
    <row r="400" spans="15:19" x14ac:dyDescent="0.3">
      <c r="O400">
        <v>396</v>
      </c>
      <c r="P400" s="23">
        <f>'$ Portfolio Loss'!P400</f>
        <v>-159.82527856132583</v>
      </c>
      <c r="R400">
        <v>72</v>
      </c>
      <c r="S400" s="23">
        <v>-56.734803804652984</v>
      </c>
    </row>
    <row r="401" spans="15:19" x14ac:dyDescent="0.3">
      <c r="O401">
        <v>397</v>
      </c>
      <c r="P401" s="23">
        <f>'$ Portfolio Loss'!P401</f>
        <v>-18.562607575804577</v>
      </c>
      <c r="R401">
        <v>15</v>
      </c>
      <c r="S401" s="23">
        <v>-57.041293595386378</v>
      </c>
    </row>
    <row r="402" spans="15:19" x14ac:dyDescent="0.3">
      <c r="O402">
        <v>398</v>
      </c>
      <c r="P402" s="23">
        <f>'$ Portfolio Loss'!P402</f>
        <v>-61.697542276444437</v>
      </c>
      <c r="R402">
        <v>235</v>
      </c>
      <c r="S402" s="23">
        <v>-57.361210607934481</v>
      </c>
    </row>
    <row r="403" spans="15:19" x14ac:dyDescent="0.3">
      <c r="O403">
        <v>399</v>
      </c>
      <c r="P403" s="23">
        <f>'$ Portfolio Loss'!P403</f>
        <v>-12.917521512114035</v>
      </c>
      <c r="R403">
        <v>368</v>
      </c>
      <c r="S403" s="23">
        <v>-57.59784257080355</v>
      </c>
    </row>
    <row r="404" spans="15:19" x14ac:dyDescent="0.3">
      <c r="O404">
        <v>400</v>
      </c>
      <c r="P404" s="23">
        <f>'$ Portfolio Loss'!P404</f>
        <v>-32.972840392661965</v>
      </c>
      <c r="R404">
        <v>247</v>
      </c>
      <c r="S404" s="23">
        <v>-58.087907901919607</v>
      </c>
    </row>
    <row r="405" spans="15:19" x14ac:dyDescent="0.3">
      <c r="O405">
        <v>401</v>
      </c>
      <c r="P405" s="23">
        <f>'$ Portfolio Loss'!P405</f>
        <v>-82.787975343178914</v>
      </c>
      <c r="R405">
        <v>44</v>
      </c>
      <c r="S405" s="23">
        <v>-61.699657502689661</v>
      </c>
    </row>
    <row r="406" spans="15:19" x14ac:dyDescent="0.3">
      <c r="O406">
        <v>402</v>
      </c>
      <c r="P406" s="23">
        <f>'$ Portfolio Loss'!P406</f>
        <v>-3.3921996143089928</v>
      </c>
      <c r="R406">
        <v>255</v>
      </c>
      <c r="S406" s="23">
        <v>-61.820294132339768</v>
      </c>
    </row>
    <row r="407" spans="15:19" x14ac:dyDescent="0.3">
      <c r="O407">
        <v>403</v>
      </c>
      <c r="P407" s="23">
        <f>'$ Portfolio Loss'!P407</f>
        <v>-40.768016787827946</v>
      </c>
      <c r="R407">
        <v>219</v>
      </c>
      <c r="S407" s="23">
        <v>-61.839156814225134</v>
      </c>
    </row>
    <row r="408" spans="15:19" x14ac:dyDescent="0.3">
      <c r="O408">
        <v>404</v>
      </c>
      <c r="P408" s="23">
        <f>'$ Portfolio Loss'!P408</f>
        <v>20.160332983850822</v>
      </c>
      <c r="R408">
        <v>109</v>
      </c>
      <c r="S408" s="23">
        <v>-61.854301423270954</v>
      </c>
    </row>
    <row r="409" spans="15:19" x14ac:dyDescent="0.3">
      <c r="O409">
        <v>405</v>
      </c>
      <c r="P409" s="23">
        <f>'$ Portfolio Loss'!P409</f>
        <v>62.040037966264208</v>
      </c>
      <c r="R409">
        <v>295</v>
      </c>
      <c r="S409" s="23">
        <v>-62.108956579337246</v>
      </c>
    </row>
    <row r="410" spans="15:19" x14ac:dyDescent="0.3">
      <c r="O410">
        <v>406</v>
      </c>
      <c r="P410" s="23">
        <f>'$ Portfolio Loss'!P410</f>
        <v>-11.028375910926115</v>
      </c>
      <c r="R410">
        <v>327</v>
      </c>
      <c r="S410" s="23">
        <v>-63.098206046608539</v>
      </c>
    </row>
    <row r="411" spans="15:19" x14ac:dyDescent="0.3">
      <c r="O411">
        <v>407</v>
      </c>
      <c r="P411" s="23">
        <f>'$ Portfolio Loss'!P411</f>
        <v>14.122441934709059</v>
      </c>
      <c r="R411">
        <v>5</v>
      </c>
      <c r="S411" s="23">
        <v>-63.635125298076673</v>
      </c>
    </row>
    <row r="412" spans="15:19" x14ac:dyDescent="0.3">
      <c r="O412">
        <v>408</v>
      </c>
      <c r="P412" s="23">
        <f>'$ Portfolio Loss'!P412</f>
        <v>-8.0178639760870283</v>
      </c>
      <c r="R412">
        <v>433</v>
      </c>
      <c r="S412" s="23">
        <v>-64.430016567246639</v>
      </c>
    </row>
    <row r="413" spans="15:19" x14ac:dyDescent="0.3">
      <c r="O413">
        <v>409</v>
      </c>
      <c r="P413" s="23">
        <f>'$ Portfolio Loss'!P413</f>
        <v>85.948748993903791</v>
      </c>
      <c r="R413">
        <v>317</v>
      </c>
      <c r="S413" s="23">
        <v>-64.506650788591287</v>
      </c>
    </row>
    <row r="414" spans="15:19" x14ac:dyDescent="0.3">
      <c r="O414">
        <v>410</v>
      </c>
      <c r="P414" s="23">
        <f>'$ Portfolio Loss'!P414</f>
        <v>-14.455337339792095</v>
      </c>
      <c r="R414">
        <v>244</v>
      </c>
      <c r="S414" s="23">
        <v>-65.244727420282288</v>
      </c>
    </row>
    <row r="415" spans="15:19" x14ac:dyDescent="0.3">
      <c r="O415">
        <v>411</v>
      </c>
      <c r="P415" s="23">
        <f>'$ Portfolio Loss'!P415</f>
        <v>82.784639291330677</v>
      </c>
      <c r="R415">
        <v>482</v>
      </c>
      <c r="S415" s="23">
        <v>-65.382288528113349</v>
      </c>
    </row>
    <row r="416" spans="15:19" x14ac:dyDescent="0.3">
      <c r="O416">
        <v>412</v>
      </c>
      <c r="P416" s="23">
        <f>'$ Portfolio Loss'!P416</f>
        <v>14.83914786366222</v>
      </c>
      <c r="R416">
        <v>211</v>
      </c>
      <c r="S416" s="23">
        <v>-65.823117159405228</v>
      </c>
    </row>
    <row r="417" spans="15:19" x14ac:dyDescent="0.3">
      <c r="O417">
        <v>413</v>
      </c>
      <c r="P417" s="23">
        <f>'$ Portfolio Loss'!P417</f>
        <v>-42.023480715561163</v>
      </c>
      <c r="R417">
        <v>198</v>
      </c>
      <c r="S417" s="23">
        <v>-66.175228287527716</v>
      </c>
    </row>
    <row r="418" spans="15:19" x14ac:dyDescent="0.3">
      <c r="O418">
        <v>414</v>
      </c>
      <c r="P418" s="23">
        <f>'$ Portfolio Loss'!P418</f>
        <v>45.41588796790893</v>
      </c>
      <c r="R418">
        <v>468</v>
      </c>
      <c r="S418" s="23">
        <v>-66.715413849906327</v>
      </c>
    </row>
    <row r="419" spans="15:19" x14ac:dyDescent="0.3">
      <c r="O419">
        <v>415</v>
      </c>
      <c r="P419" s="23">
        <f>'$ Portfolio Loss'!P419</f>
        <v>122.17676990102154</v>
      </c>
      <c r="R419">
        <v>432</v>
      </c>
      <c r="S419" s="23">
        <v>-68.949333618164019</v>
      </c>
    </row>
    <row r="420" spans="15:19" x14ac:dyDescent="0.3">
      <c r="O420">
        <v>416</v>
      </c>
      <c r="P420" s="23">
        <f>'$ Portfolio Loss'!P420</f>
        <v>-32.235273064254216</v>
      </c>
      <c r="R420">
        <v>232</v>
      </c>
      <c r="S420" s="23">
        <v>-69.73312924108177</v>
      </c>
    </row>
    <row r="421" spans="15:19" x14ac:dyDescent="0.3">
      <c r="O421">
        <v>417</v>
      </c>
      <c r="P421" s="23">
        <f>'$ Portfolio Loss'!P421</f>
        <v>-17.226117058848104</v>
      </c>
      <c r="R421">
        <v>40</v>
      </c>
      <c r="S421" s="23">
        <v>-69.73347489632215</v>
      </c>
    </row>
    <row r="422" spans="15:19" x14ac:dyDescent="0.3">
      <c r="O422">
        <v>418</v>
      </c>
      <c r="P422" s="23">
        <f>'$ Portfolio Loss'!P422</f>
        <v>-29.493453907487492</v>
      </c>
      <c r="R422">
        <v>458</v>
      </c>
      <c r="S422" s="23">
        <v>-70.121141757776059</v>
      </c>
    </row>
    <row r="423" spans="15:19" x14ac:dyDescent="0.3">
      <c r="O423">
        <v>419</v>
      </c>
      <c r="P423" s="23">
        <f>'$ Portfolio Loss'!P423</f>
        <v>122.27976669996679</v>
      </c>
      <c r="R423">
        <v>250</v>
      </c>
      <c r="S423" s="23">
        <v>-70.661347876699438</v>
      </c>
    </row>
    <row r="424" spans="15:19" x14ac:dyDescent="0.3">
      <c r="O424">
        <v>420</v>
      </c>
      <c r="P424" s="23">
        <f>'$ Portfolio Loss'!P424</f>
        <v>-45.425148246118624</v>
      </c>
      <c r="R424">
        <v>248</v>
      </c>
      <c r="S424" s="23">
        <v>-70.899575864106737</v>
      </c>
    </row>
    <row r="425" spans="15:19" x14ac:dyDescent="0.3">
      <c r="O425">
        <v>421</v>
      </c>
      <c r="P425" s="23">
        <f>'$ Portfolio Loss'!P425</f>
        <v>-110.39226092801437</v>
      </c>
      <c r="R425">
        <v>315</v>
      </c>
      <c r="S425" s="23">
        <v>-71.381076541454604</v>
      </c>
    </row>
    <row r="426" spans="15:19" x14ac:dyDescent="0.3">
      <c r="O426">
        <v>422</v>
      </c>
      <c r="P426" s="23">
        <f>'$ Portfolio Loss'!P426</f>
        <v>-132.72137228944484</v>
      </c>
      <c r="R426">
        <v>454</v>
      </c>
      <c r="S426" s="23">
        <v>-71.403934052552358</v>
      </c>
    </row>
    <row r="427" spans="15:19" x14ac:dyDescent="0.3">
      <c r="O427">
        <v>423</v>
      </c>
      <c r="P427" s="23">
        <f>'$ Portfolio Loss'!P427</f>
        <v>-37.005160831489775</v>
      </c>
      <c r="R427">
        <v>289</v>
      </c>
      <c r="S427" s="23">
        <v>-73.109402634596336</v>
      </c>
    </row>
    <row r="428" spans="15:19" x14ac:dyDescent="0.3">
      <c r="O428">
        <v>424</v>
      </c>
      <c r="P428" s="23">
        <f>'$ Portfolio Loss'!P428</f>
        <v>-57.308360526807519</v>
      </c>
      <c r="R428">
        <v>222</v>
      </c>
      <c r="S428" s="23">
        <v>-74.574024710238518</v>
      </c>
    </row>
    <row r="429" spans="15:19" x14ac:dyDescent="0.3">
      <c r="O429">
        <v>425</v>
      </c>
      <c r="P429" s="23">
        <f>'$ Portfolio Loss'!P429</f>
        <v>-22.580773548461366</v>
      </c>
      <c r="R429">
        <v>310</v>
      </c>
      <c r="S429" s="23">
        <v>-74.876668628279731</v>
      </c>
    </row>
    <row r="430" spans="15:19" x14ac:dyDescent="0.3">
      <c r="O430">
        <v>426</v>
      </c>
      <c r="P430" s="23">
        <f>'$ Portfolio Loss'!P430</f>
        <v>19.50450231179093</v>
      </c>
      <c r="R430">
        <v>34</v>
      </c>
      <c r="S430" s="23">
        <v>-76.53321535586656</v>
      </c>
    </row>
    <row r="431" spans="15:19" x14ac:dyDescent="0.3">
      <c r="O431">
        <v>427</v>
      </c>
      <c r="P431" s="23">
        <f>'$ Portfolio Loss'!P431</f>
        <v>-16.742582179693272</v>
      </c>
      <c r="R431">
        <v>61</v>
      </c>
      <c r="S431" s="23">
        <v>-78.696693547492032</v>
      </c>
    </row>
    <row r="432" spans="15:19" x14ac:dyDescent="0.3">
      <c r="O432">
        <v>428</v>
      </c>
      <c r="P432" s="23">
        <f>'$ Portfolio Loss'!P432</f>
        <v>-44.919579372890439</v>
      </c>
      <c r="R432">
        <v>102</v>
      </c>
      <c r="S432" s="23">
        <v>-79.105912814644398</v>
      </c>
    </row>
    <row r="433" spans="15:19" x14ac:dyDescent="0.3">
      <c r="O433">
        <v>429</v>
      </c>
      <c r="P433" s="23">
        <f>'$ Portfolio Loss'!P433</f>
        <v>51.615710198466331</v>
      </c>
      <c r="R433">
        <v>199</v>
      </c>
      <c r="S433" s="23">
        <v>-79.640877844030911</v>
      </c>
    </row>
    <row r="434" spans="15:19" x14ac:dyDescent="0.3">
      <c r="O434">
        <v>430</v>
      </c>
      <c r="P434" s="23">
        <f>'$ Portfolio Loss'!P434</f>
        <v>-53.189006605929535</v>
      </c>
      <c r="R434">
        <v>24</v>
      </c>
      <c r="S434" s="23">
        <v>-82.827667048259173</v>
      </c>
    </row>
    <row r="435" spans="15:19" x14ac:dyDescent="0.3">
      <c r="O435">
        <v>431</v>
      </c>
      <c r="P435" s="23">
        <f>'$ Portfolio Loss'!P435</f>
        <v>17.59512494003684</v>
      </c>
      <c r="R435">
        <v>412</v>
      </c>
      <c r="S435" s="23">
        <v>-83.197260851640749</v>
      </c>
    </row>
    <row r="436" spans="15:19" x14ac:dyDescent="0.3">
      <c r="O436">
        <v>432</v>
      </c>
      <c r="P436" s="23">
        <f>'$ Portfolio Loss'!P436</f>
        <v>-33.256625880991123</v>
      </c>
      <c r="R436">
        <v>146</v>
      </c>
      <c r="S436" s="23">
        <v>-83.506856424844955</v>
      </c>
    </row>
    <row r="437" spans="15:19" x14ac:dyDescent="0.3">
      <c r="O437">
        <v>433</v>
      </c>
      <c r="P437" s="23">
        <f>'$ Portfolio Loss'!P437</f>
        <v>-14.331018736556871</v>
      </c>
      <c r="R437">
        <v>409</v>
      </c>
      <c r="S437" s="23">
        <v>-83.888508856587578</v>
      </c>
    </row>
    <row r="438" spans="15:19" x14ac:dyDescent="0.3">
      <c r="O438">
        <v>434</v>
      </c>
      <c r="P438" s="23">
        <f>'$ Portfolio Loss'!P438</f>
        <v>23.327611057649847</v>
      </c>
      <c r="R438">
        <v>6</v>
      </c>
      <c r="S438" s="23">
        <v>-85.833581737253553</v>
      </c>
    </row>
    <row r="439" spans="15:19" x14ac:dyDescent="0.3">
      <c r="O439">
        <v>435</v>
      </c>
      <c r="P439" s="23">
        <f>'$ Portfolio Loss'!P439</f>
        <v>-79.074290302931331</v>
      </c>
      <c r="R439">
        <v>347</v>
      </c>
      <c r="S439" s="23">
        <v>-85.98337029958202</v>
      </c>
    </row>
    <row r="440" spans="15:19" x14ac:dyDescent="0.3">
      <c r="O440">
        <v>436</v>
      </c>
      <c r="P440" s="23">
        <f>'$ Portfolio Loss'!P440</f>
        <v>-10.139285442501205</v>
      </c>
      <c r="R440">
        <v>7</v>
      </c>
      <c r="S440" s="23">
        <v>-86.960119385001235</v>
      </c>
    </row>
    <row r="441" spans="15:19" x14ac:dyDescent="0.3">
      <c r="O441">
        <v>437</v>
      </c>
      <c r="P441" s="23">
        <f>'$ Portfolio Loss'!P441</f>
        <v>-111.67337930629947</v>
      </c>
      <c r="R441">
        <v>166</v>
      </c>
      <c r="S441" s="23">
        <v>-87.313202594199538</v>
      </c>
    </row>
    <row r="442" spans="15:19" x14ac:dyDescent="0.3">
      <c r="O442">
        <v>438</v>
      </c>
      <c r="P442" s="23">
        <f>'$ Portfolio Loss'!P442</f>
        <v>-38.67712411568391</v>
      </c>
      <c r="R442">
        <v>363</v>
      </c>
      <c r="S442" s="23">
        <v>-87.375104154838482</v>
      </c>
    </row>
    <row r="443" spans="15:19" x14ac:dyDescent="0.3">
      <c r="O443">
        <v>439</v>
      </c>
      <c r="P443" s="23">
        <f>'$ Portfolio Loss'!P443</f>
        <v>2.6014912486716639</v>
      </c>
      <c r="R443">
        <v>155</v>
      </c>
      <c r="S443" s="23">
        <v>-87.38756892881247</v>
      </c>
    </row>
    <row r="444" spans="15:19" x14ac:dyDescent="0.3">
      <c r="O444">
        <v>440</v>
      </c>
      <c r="P444" s="23">
        <f>'$ Portfolio Loss'!P444</f>
        <v>-26.524383193824178</v>
      </c>
      <c r="R444">
        <v>239</v>
      </c>
      <c r="S444" s="23">
        <v>-88.340040657720238</v>
      </c>
    </row>
    <row r="445" spans="15:19" x14ac:dyDescent="0.3">
      <c r="O445">
        <v>441</v>
      </c>
      <c r="P445" s="23">
        <f>'$ Portfolio Loss'!P445</f>
        <v>5.5833371419648756</v>
      </c>
      <c r="R445">
        <v>270</v>
      </c>
      <c r="S445" s="23">
        <v>-89.261676532634738</v>
      </c>
    </row>
    <row r="446" spans="15:19" x14ac:dyDescent="0.3">
      <c r="O446">
        <v>442</v>
      </c>
      <c r="P446" s="23">
        <f>'$ Portfolio Loss'!P446</f>
        <v>68.972944468960122</v>
      </c>
      <c r="R446">
        <v>480</v>
      </c>
      <c r="S446" s="23">
        <v>-89.561242389332619</v>
      </c>
    </row>
    <row r="447" spans="15:19" x14ac:dyDescent="0.3">
      <c r="O447">
        <v>443</v>
      </c>
      <c r="P447" s="23">
        <f>'$ Portfolio Loss'!P447</f>
        <v>-19.972206654865658</v>
      </c>
      <c r="R447">
        <v>359</v>
      </c>
      <c r="S447" s="23">
        <v>-89.974467416182961</v>
      </c>
    </row>
    <row r="448" spans="15:19" x14ac:dyDescent="0.3">
      <c r="O448">
        <v>444</v>
      </c>
      <c r="P448" s="23">
        <f>'$ Portfolio Loss'!P448</f>
        <v>34.841622106498107</v>
      </c>
      <c r="R448">
        <v>457</v>
      </c>
      <c r="S448" s="23">
        <v>-92.288139743031934</v>
      </c>
    </row>
    <row r="449" spans="15:19" x14ac:dyDescent="0.3">
      <c r="O449">
        <v>445</v>
      </c>
      <c r="P449" s="23">
        <f>'$ Portfolio Loss'!P449</f>
        <v>40.451092404658993</v>
      </c>
      <c r="R449">
        <v>200</v>
      </c>
      <c r="S449" s="23">
        <v>-92.301513271502699</v>
      </c>
    </row>
    <row r="450" spans="15:19" x14ac:dyDescent="0.3">
      <c r="O450">
        <v>446</v>
      </c>
      <c r="P450" s="23">
        <f>'$ Portfolio Loss'!P450</f>
        <v>25.148402235814501</v>
      </c>
      <c r="R450">
        <v>138</v>
      </c>
      <c r="S450" s="23">
        <v>-92.979971152588405</v>
      </c>
    </row>
    <row r="451" spans="15:19" x14ac:dyDescent="0.3">
      <c r="O451">
        <v>447</v>
      </c>
      <c r="P451" s="23">
        <f>'$ Portfolio Loss'!P451</f>
        <v>-49.871650892429898</v>
      </c>
      <c r="R451">
        <v>285</v>
      </c>
      <c r="S451" s="23">
        <v>-94.248271111107897</v>
      </c>
    </row>
    <row r="452" spans="15:19" x14ac:dyDescent="0.3">
      <c r="O452">
        <v>448</v>
      </c>
      <c r="P452" s="23">
        <f>'$ Portfolio Loss'!P452</f>
        <v>-63.950998369680747</v>
      </c>
      <c r="R452">
        <v>291</v>
      </c>
      <c r="S452" s="23">
        <v>-94.43648862853297</v>
      </c>
    </row>
    <row r="453" spans="15:19" x14ac:dyDescent="0.3">
      <c r="O453">
        <v>449</v>
      </c>
      <c r="P453" s="23">
        <f>'$ Portfolio Loss'!P453</f>
        <v>16.506464299269282</v>
      </c>
      <c r="R453">
        <v>173</v>
      </c>
      <c r="S453" s="23">
        <v>-96.415462354798365</v>
      </c>
    </row>
    <row r="454" spans="15:19" x14ac:dyDescent="0.3">
      <c r="O454">
        <v>450</v>
      </c>
      <c r="P454" s="23">
        <f>'$ Portfolio Loss'!P454</f>
        <v>70.009758010754013</v>
      </c>
      <c r="R454">
        <v>362</v>
      </c>
      <c r="S454" s="23">
        <v>-96.709907885089706</v>
      </c>
    </row>
    <row r="455" spans="15:19" x14ac:dyDescent="0.3">
      <c r="O455">
        <v>451</v>
      </c>
      <c r="P455" s="23">
        <f>'$ Portfolio Loss'!P455</f>
        <v>-29.360698986305579</v>
      </c>
      <c r="R455">
        <v>471</v>
      </c>
      <c r="S455" s="23">
        <v>-101.13409368716384</v>
      </c>
    </row>
    <row r="456" spans="15:19" x14ac:dyDescent="0.3">
      <c r="O456">
        <v>452</v>
      </c>
      <c r="P456" s="23">
        <f>'$ Portfolio Loss'!P456</f>
        <v>-62.666293150788988</v>
      </c>
      <c r="R456">
        <v>145</v>
      </c>
      <c r="S456" s="23">
        <v>-103.59611941634466</v>
      </c>
    </row>
    <row r="457" spans="15:19" x14ac:dyDescent="0.3">
      <c r="O457">
        <v>453</v>
      </c>
      <c r="P457" s="23">
        <f>'$ Portfolio Loss'!P457</f>
        <v>-73.508171390427378</v>
      </c>
      <c r="R457">
        <v>314</v>
      </c>
      <c r="S457" s="23">
        <v>-103.734615107016</v>
      </c>
    </row>
    <row r="458" spans="15:19" x14ac:dyDescent="0.3">
      <c r="O458">
        <v>454</v>
      </c>
      <c r="P458" s="23">
        <f>'$ Portfolio Loss'!P458</f>
        <v>-5.7935405258122046</v>
      </c>
      <c r="R458">
        <v>143</v>
      </c>
      <c r="S458" s="23">
        <v>-104.577393267964</v>
      </c>
    </row>
    <row r="459" spans="15:19" x14ac:dyDescent="0.3">
      <c r="O459">
        <v>455</v>
      </c>
      <c r="P459" s="23">
        <f>'$ Portfolio Loss'!P459</f>
        <v>4.6693785776733421</v>
      </c>
      <c r="R459">
        <v>385</v>
      </c>
      <c r="S459" s="23">
        <v>-104.75020755703372</v>
      </c>
    </row>
    <row r="460" spans="15:19" x14ac:dyDescent="0.3">
      <c r="O460">
        <v>456</v>
      </c>
      <c r="P460" s="23">
        <f>'$ Portfolio Loss'!P460</f>
        <v>109.67352871222283</v>
      </c>
      <c r="R460">
        <v>76</v>
      </c>
      <c r="S460" s="23">
        <v>-105.52932995235642</v>
      </c>
    </row>
    <row r="461" spans="15:19" x14ac:dyDescent="0.3">
      <c r="O461">
        <v>457</v>
      </c>
      <c r="P461" s="23">
        <f>'$ Portfolio Loss'!P461</f>
        <v>8.5524906651262427</v>
      </c>
      <c r="R461">
        <v>94</v>
      </c>
      <c r="S461" s="23">
        <v>-105.61996593252297</v>
      </c>
    </row>
    <row r="462" spans="15:19" x14ac:dyDescent="0.3">
      <c r="O462">
        <v>458</v>
      </c>
      <c r="P462" s="23">
        <f>'$ Portfolio Loss'!P462</f>
        <v>78.468832576483692</v>
      </c>
      <c r="R462">
        <v>268</v>
      </c>
      <c r="S462" s="23">
        <v>-106.24029863249598</v>
      </c>
    </row>
    <row r="463" spans="15:19" x14ac:dyDescent="0.3">
      <c r="O463">
        <v>459</v>
      </c>
      <c r="P463" s="23">
        <f>'$ Portfolio Loss'!P463</f>
        <v>26.968299304957327</v>
      </c>
      <c r="R463">
        <v>162</v>
      </c>
      <c r="S463" s="23">
        <v>-107.42657340114602</v>
      </c>
    </row>
    <row r="464" spans="15:19" x14ac:dyDescent="0.3">
      <c r="O464">
        <v>460</v>
      </c>
      <c r="P464" s="23">
        <f>'$ Portfolio Loss'!P464</f>
        <v>-47.658911320102561</v>
      </c>
      <c r="R464">
        <v>397</v>
      </c>
      <c r="S464" s="23">
        <v>-109.59086693698191</v>
      </c>
    </row>
    <row r="465" spans="15:19" x14ac:dyDescent="0.3">
      <c r="O465">
        <v>461</v>
      </c>
      <c r="P465" s="23">
        <f>'$ Portfolio Loss'!P465</f>
        <v>-75.488547441018454</v>
      </c>
      <c r="R465">
        <v>300</v>
      </c>
      <c r="S465" s="23">
        <v>-109.82742441342816</v>
      </c>
    </row>
    <row r="466" spans="15:19" x14ac:dyDescent="0.3">
      <c r="O466">
        <v>462</v>
      </c>
      <c r="P466" s="23">
        <f>'$ Portfolio Loss'!P466</f>
        <v>5.4075800788705237</v>
      </c>
      <c r="R466">
        <v>115</v>
      </c>
      <c r="S466" s="23">
        <v>-109.97030305324552</v>
      </c>
    </row>
    <row r="467" spans="15:19" x14ac:dyDescent="0.3">
      <c r="O467">
        <v>463</v>
      </c>
      <c r="P467" s="23">
        <f>'$ Portfolio Loss'!P467</f>
        <v>17.89160130541859</v>
      </c>
      <c r="R467">
        <v>402</v>
      </c>
      <c r="S467" s="23">
        <v>-110.3941495597519</v>
      </c>
    </row>
    <row r="468" spans="15:19" x14ac:dyDescent="0.3">
      <c r="O468">
        <v>464</v>
      </c>
      <c r="P468" s="23">
        <f>'$ Portfolio Loss'!P468</f>
        <v>-35.566780533506972</v>
      </c>
      <c r="R468">
        <v>243</v>
      </c>
      <c r="S468" s="23">
        <v>-110.83699916832848</v>
      </c>
    </row>
    <row r="469" spans="15:19" x14ac:dyDescent="0.3">
      <c r="O469">
        <v>465</v>
      </c>
      <c r="P469" s="23">
        <f>'$ Portfolio Loss'!P469</f>
        <v>-92.704740292765564</v>
      </c>
      <c r="R469">
        <v>218</v>
      </c>
      <c r="S469" s="23">
        <v>-112.25882303735489</v>
      </c>
    </row>
    <row r="470" spans="15:19" x14ac:dyDescent="0.3">
      <c r="O470">
        <v>466</v>
      </c>
      <c r="P470" s="23">
        <f>'$ Portfolio Loss'!P470</f>
        <v>-122.99075109720616</v>
      </c>
      <c r="R470">
        <v>123</v>
      </c>
      <c r="S470" s="23">
        <v>-113.43222126451474</v>
      </c>
    </row>
    <row r="471" spans="15:19" x14ac:dyDescent="0.3">
      <c r="O471">
        <v>467</v>
      </c>
      <c r="P471" s="23">
        <f>'$ Portfolio Loss'!P471</f>
        <v>-7.013120770072419</v>
      </c>
      <c r="R471">
        <v>307</v>
      </c>
      <c r="S471" s="23">
        <v>-114.00879925697154</v>
      </c>
    </row>
    <row r="472" spans="15:19" x14ac:dyDescent="0.3">
      <c r="O472">
        <v>468</v>
      </c>
      <c r="P472" s="23">
        <f>'$ Portfolio Loss'!P472</f>
        <v>-32.333962758788402</v>
      </c>
      <c r="R472">
        <v>246</v>
      </c>
      <c r="S472" s="23">
        <v>-118.91029100954074</v>
      </c>
    </row>
    <row r="473" spans="15:19" x14ac:dyDescent="0.3">
      <c r="O473">
        <v>469</v>
      </c>
      <c r="P473" s="23">
        <f>'$ Portfolio Loss'!P473</f>
        <v>23.893183116668297</v>
      </c>
      <c r="R473">
        <v>357</v>
      </c>
      <c r="S473" s="23">
        <v>-120.3057466587743</v>
      </c>
    </row>
    <row r="474" spans="15:19" x14ac:dyDescent="0.3">
      <c r="O474">
        <v>470</v>
      </c>
      <c r="P474" s="23">
        <f>'$ Portfolio Loss'!P474</f>
        <v>13.502199969872891</v>
      </c>
      <c r="R474">
        <v>136</v>
      </c>
      <c r="S474" s="23">
        <v>-121.229195178792</v>
      </c>
    </row>
    <row r="475" spans="15:19" x14ac:dyDescent="0.3">
      <c r="O475">
        <v>471</v>
      </c>
      <c r="P475" s="23">
        <f>'$ Portfolio Loss'!P475</f>
        <v>-27.698499162819644</v>
      </c>
      <c r="R475">
        <v>288</v>
      </c>
      <c r="S475" s="23">
        <v>-122.8295610603036</v>
      </c>
    </row>
    <row r="476" spans="15:19" x14ac:dyDescent="0.3">
      <c r="O476">
        <v>472</v>
      </c>
      <c r="P476" s="23">
        <f>'$ Portfolio Loss'!P476</f>
        <v>-20.627131358325641</v>
      </c>
      <c r="R476">
        <v>373</v>
      </c>
      <c r="S476" s="23">
        <v>-123.89287551661437</v>
      </c>
    </row>
    <row r="477" spans="15:19" x14ac:dyDescent="0.3">
      <c r="O477">
        <v>473</v>
      </c>
      <c r="P477" s="23">
        <f>'$ Portfolio Loss'!P477</f>
        <v>-21.491818802924172</v>
      </c>
      <c r="R477">
        <v>500</v>
      </c>
      <c r="S477" s="23">
        <v>-126.43896718726137</v>
      </c>
    </row>
    <row r="478" spans="15:19" x14ac:dyDescent="0.3">
      <c r="O478">
        <v>474</v>
      </c>
      <c r="P478" s="23">
        <f>'$ Portfolio Loss'!P478</f>
        <v>-42.337281221785815</v>
      </c>
      <c r="R478">
        <v>483</v>
      </c>
      <c r="S478" s="23">
        <v>-127.951464586984</v>
      </c>
    </row>
    <row r="479" spans="15:19" x14ac:dyDescent="0.3">
      <c r="O479">
        <v>475</v>
      </c>
      <c r="P479" s="23">
        <f>'$ Portfolio Loss'!P479</f>
        <v>-1.8337507828091475</v>
      </c>
      <c r="R479">
        <v>496</v>
      </c>
      <c r="S479" s="23">
        <v>-129.78058522602987</v>
      </c>
    </row>
    <row r="480" spans="15:19" x14ac:dyDescent="0.3">
      <c r="O480">
        <v>476</v>
      </c>
      <c r="P480" s="23">
        <f>'$ Portfolio Loss'!P480</f>
        <v>35.780308145516756</v>
      </c>
      <c r="R480">
        <v>236</v>
      </c>
      <c r="S480" s="23">
        <v>-131.00500554685641</v>
      </c>
    </row>
    <row r="481" spans="15:19" x14ac:dyDescent="0.3">
      <c r="O481">
        <v>477</v>
      </c>
      <c r="P481" s="23">
        <f>'$ Portfolio Loss'!P481</f>
        <v>-12.539629671722651</v>
      </c>
      <c r="R481">
        <v>305</v>
      </c>
      <c r="S481" s="23">
        <v>-131.96805083459549</v>
      </c>
    </row>
    <row r="482" spans="15:19" x14ac:dyDescent="0.3">
      <c r="O482">
        <v>478</v>
      </c>
      <c r="P482" s="23">
        <f>'$ Portfolio Loss'!P482</f>
        <v>-6.4255922076281422</v>
      </c>
      <c r="R482">
        <v>326</v>
      </c>
      <c r="S482" s="23">
        <v>-138.65604476265617</v>
      </c>
    </row>
    <row r="483" spans="15:19" x14ac:dyDescent="0.3">
      <c r="O483">
        <v>479</v>
      </c>
      <c r="P483" s="23">
        <f>'$ Portfolio Loss'!P483</f>
        <v>-28.028253685497475</v>
      </c>
      <c r="R483">
        <v>252</v>
      </c>
      <c r="S483" s="23">
        <v>-144.04172982201271</v>
      </c>
    </row>
    <row r="484" spans="15:19" x14ac:dyDescent="0.3">
      <c r="O484">
        <v>480</v>
      </c>
      <c r="P484" s="23">
        <f>'$ Portfolio Loss'!P484</f>
        <v>66.743037878131872</v>
      </c>
      <c r="R484">
        <v>346</v>
      </c>
      <c r="S484" s="23">
        <v>-145.47521045654139</v>
      </c>
    </row>
    <row r="485" spans="15:19" x14ac:dyDescent="0.3">
      <c r="O485">
        <v>481</v>
      </c>
      <c r="P485" s="23">
        <f>'$ Portfolio Loss'!P485</f>
        <v>-36.45878635076042</v>
      </c>
      <c r="R485">
        <v>405</v>
      </c>
      <c r="S485" s="23">
        <v>-146.29342979794274</v>
      </c>
    </row>
    <row r="486" spans="15:19" x14ac:dyDescent="0.3">
      <c r="O486">
        <v>482</v>
      </c>
      <c r="P486" s="23">
        <f>'$ Portfolio Loss'!P486</f>
        <v>-20.022615070331085</v>
      </c>
      <c r="R486">
        <v>258</v>
      </c>
      <c r="S486" s="23">
        <v>-149.5501741129865</v>
      </c>
    </row>
    <row r="487" spans="15:19" x14ac:dyDescent="0.3">
      <c r="O487">
        <v>483</v>
      </c>
      <c r="P487" s="23">
        <f>'$ Portfolio Loss'!P487</f>
        <v>-95.535747797157455</v>
      </c>
      <c r="R487">
        <v>493</v>
      </c>
      <c r="S487" s="23">
        <v>-155.02247434568926</v>
      </c>
    </row>
    <row r="488" spans="15:19" x14ac:dyDescent="0.3">
      <c r="O488">
        <v>484</v>
      </c>
      <c r="P488" s="23">
        <f>'$ Portfolio Loss'!P488</f>
        <v>-27.413056304234487</v>
      </c>
      <c r="R488">
        <v>344</v>
      </c>
      <c r="S488" s="23">
        <v>-155.54047619443372</v>
      </c>
    </row>
    <row r="489" spans="15:19" x14ac:dyDescent="0.3">
      <c r="O489">
        <v>485</v>
      </c>
      <c r="P489" s="23">
        <f>'$ Portfolio Loss'!P489</f>
        <v>-46.187955856754343</v>
      </c>
      <c r="R489">
        <v>147</v>
      </c>
      <c r="S489" s="23">
        <v>-162.94083828421026</v>
      </c>
    </row>
    <row r="490" spans="15:19" x14ac:dyDescent="0.3">
      <c r="O490">
        <v>486</v>
      </c>
      <c r="P490" s="23">
        <f>'$ Portfolio Loss'!P490</f>
        <v>5.8969759222982248</v>
      </c>
      <c r="R490">
        <v>372</v>
      </c>
      <c r="S490" s="23">
        <v>-165.04413540546375</v>
      </c>
    </row>
    <row r="491" spans="15:19" x14ac:dyDescent="0.3">
      <c r="O491">
        <v>487</v>
      </c>
      <c r="P491" s="23">
        <f>'$ Portfolio Loss'!P491</f>
        <v>-14.380401273407188</v>
      </c>
      <c r="R491">
        <v>309</v>
      </c>
      <c r="S491" s="23">
        <v>-167.15159190420309</v>
      </c>
    </row>
    <row r="492" spans="15:19" x14ac:dyDescent="0.3">
      <c r="O492">
        <v>488</v>
      </c>
      <c r="P492" s="23">
        <f>'$ Portfolio Loss'!P492</f>
        <v>-80.313251589239371</v>
      </c>
      <c r="R492">
        <v>463</v>
      </c>
      <c r="S492" s="23">
        <v>-167.8823659226091</v>
      </c>
    </row>
    <row r="493" spans="15:19" x14ac:dyDescent="0.3">
      <c r="O493">
        <v>489</v>
      </c>
      <c r="P493" s="23">
        <f>'$ Portfolio Loss'!P493</f>
        <v>11.210985196823458</v>
      </c>
      <c r="R493">
        <v>361</v>
      </c>
      <c r="S493" s="23">
        <v>-179.87323824558371</v>
      </c>
    </row>
    <row r="494" spans="15:19" x14ac:dyDescent="0.3">
      <c r="O494">
        <v>490</v>
      </c>
      <c r="P494" s="23">
        <f>'$ Portfolio Loss'!P494</f>
        <v>16.928266969009201</v>
      </c>
      <c r="R494">
        <v>384</v>
      </c>
      <c r="S494" s="23">
        <v>-180.23579095732021</v>
      </c>
    </row>
    <row r="495" spans="15:19" x14ac:dyDescent="0.3">
      <c r="O495">
        <v>491</v>
      </c>
      <c r="P495" s="23">
        <f>'$ Portfolio Loss'!P495</f>
        <v>117.49099864514392</v>
      </c>
      <c r="R495">
        <v>353</v>
      </c>
      <c r="S495" s="23">
        <v>-185.88264424074259</v>
      </c>
    </row>
    <row r="496" spans="15:19" x14ac:dyDescent="0.3">
      <c r="O496">
        <v>492</v>
      </c>
      <c r="P496" s="23">
        <f>'$ Portfolio Loss'!P496</f>
        <v>-76.684384230396972</v>
      </c>
      <c r="R496">
        <v>467</v>
      </c>
      <c r="S496" s="23">
        <v>-188.98647754204467</v>
      </c>
    </row>
    <row r="497" spans="15:19" x14ac:dyDescent="0.3">
      <c r="O497">
        <v>493</v>
      </c>
      <c r="P497" s="23">
        <f>'$ Portfolio Loss'!P497</f>
        <v>165.26531208639426</v>
      </c>
      <c r="R497">
        <v>455</v>
      </c>
      <c r="S497" s="23">
        <v>-205.51035918357775</v>
      </c>
    </row>
    <row r="498" spans="15:19" x14ac:dyDescent="0.3">
      <c r="O498">
        <v>494</v>
      </c>
      <c r="P498" s="23">
        <f>'$ Portfolio Loss'!P498</f>
        <v>15.090537042637152</v>
      </c>
      <c r="R498">
        <v>263</v>
      </c>
      <c r="S498" s="23">
        <v>-214.9094175198843</v>
      </c>
    </row>
    <row r="499" spans="15:19" x14ac:dyDescent="0.3">
      <c r="O499">
        <v>495</v>
      </c>
      <c r="P499" s="23">
        <f>'$ Portfolio Loss'!P499</f>
        <v>26.445632558526995</v>
      </c>
      <c r="R499">
        <v>395</v>
      </c>
      <c r="S499" s="23">
        <v>-224.5146280105364</v>
      </c>
    </row>
    <row r="500" spans="15:19" x14ac:dyDescent="0.3">
      <c r="O500">
        <v>496</v>
      </c>
      <c r="P500" s="23">
        <f>'$ Portfolio Loss'!P500</f>
        <v>131.22854906940665</v>
      </c>
      <c r="R500">
        <v>489</v>
      </c>
      <c r="S500" s="23">
        <v>-284.92469158141466</v>
      </c>
    </row>
    <row r="501" spans="15:19" x14ac:dyDescent="0.3">
      <c r="O501">
        <v>497</v>
      </c>
      <c r="P501" s="23">
        <f>'$ Portfolio Loss'!P501</f>
        <v>27.583760532148517</v>
      </c>
      <c r="R501">
        <v>341</v>
      </c>
      <c r="S501" s="23">
        <v>-307.93011510920951</v>
      </c>
    </row>
    <row r="502" spans="15:19" x14ac:dyDescent="0.3">
      <c r="O502">
        <v>498</v>
      </c>
      <c r="P502" s="23">
        <f>'$ Portfolio Loss'!P502</f>
        <v>82.803764222195241</v>
      </c>
      <c r="R502">
        <v>377</v>
      </c>
      <c r="S502" s="23">
        <v>-316.48933902174576</v>
      </c>
    </row>
    <row r="503" spans="15:19" x14ac:dyDescent="0.3">
      <c r="O503">
        <v>499</v>
      </c>
      <c r="P503" s="23">
        <f>'$ Portfolio Loss'!P503</f>
        <v>-105.55205215652313</v>
      </c>
      <c r="R503">
        <v>379</v>
      </c>
      <c r="S503" s="23">
        <v>-333.02184034411766</v>
      </c>
    </row>
    <row r="504" spans="15:19" x14ac:dyDescent="0.3">
      <c r="O504">
        <v>500</v>
      </c>
      <c r="P504" s="23">
        <f>'$ Portfolio Loss'!P504</f>
        <v>-95.629317915525462</v>
      </c>
      <c r="R504">
        <v>497</v>
      </c>
      <c r="S504" s="23">
        <v>-555.7954114142467</v>
      </c>
    </row>
    <row r="505" spans="15:19" x14ac:dyDescent="0.3">
      <c r="P505" s="23"/>
    </row>
  </sheetData>
  <pageMargins left="0.7" right="0.7" top="0.75" bottom="0.75" header="0.3" footer="0.3"/>
  <pageSetup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B505"/>
  <sheetViews>
    <sheetView zoomScale="49" zoomScaleNormal="92" zoomScalePageLayoutView="90" workbookViewId="0">
      <selection activeCell="U504" sqref="U504"/>
    </sheetView>
  </sheetViews>
  <sheetFormatPr defaultColWidth="8.88671875" defaultRowHeight="14.4" x14ac:dyDescent="0.3"/>
  <cols>
    <col min="1" max="1" width="12.109375" bestFit="1" customWidth="1"/>
    <col min="2" max="2" width="11.44140625" bestFit="1" customWidth="1"/>
    <col min="3" max="3" width="12" customWidth="1"/>
    <col min="4" max="7" width="10.109375" customWidth="1"/>
    <col min="8" max="8" width="2.44140625" style="29" customWidth="1"/>
    <col min="9" max="9" width="9.109375" customWidth="1"/>
    <col min="10" max="10" width="10.109375" customWidth="1"/>
    <col min="11" max="11" width="9.88671875" bestFit="1" customWidth="1"/>
    <col min="12" max="13" width="9.109375" customWidth="1"/>
    <col min="14" max="14" width="9.88671875" customWidth="1"/>
    <col min="15" max="16" width="9.109375" customWidth="1"/>
    <col min="17" max="17" width="12.44140625" customWidth="1"/>
    <col min="18" max="18" width="3.44140625" style="29" customWidth="1"/>
    <col min="19" max="21" width="8.6640625" style="36" customWidth="1"/>
    <col min="22" max="22" width="11.88671875" style="36" customWidth="1"/>
    <col min="23" max="23" width="3.44140625" style="29" customWidth="1"/>
    <col min="24" max="24" width="7.6640625" style="36" customWidth="1"/>
    <col min="25" max="26" width="10.33203125" style="36" customWidth="1"/>
    <col min="27" max="27" width="13.6640625" style="36" customWidth="1"/>
  </cols>
  <sheetData>
    <row r="1" spans="1:28" x14ac:dyDescent="0.3">
      <c r="A1" s="9" t="s">
        <v>15</v>
      </c>
      <c r="B1" s="4">
        <v>43138</v>
      </c>
    </row>
    <row r="2" spans="1:28" x14ac:dyDescent="0.3">
      <c r="A2" s="9" t="s">
        <v>33</v>
      </c>
      <c r="P2" s="9" t="s">
        <v>13</v>
      </c>
      <c r="Q2">
        <v>0.995</v>
      </c>
    </row>
    <row r="3" spans="1:28" x14ac:dyDescent="0.3">
      <c r="A3" s="9" t="s">
        <v>21</v>
      </c>
      <c r="Q3" s="49">
        <f>SUM(Q5:Q504)</f>
        <v>1.0000000000000027</v>
      </c>
      <c r="Y3" s="44" t="s">
        <v>29</v>
      </c>
      <c r="Z3" s="44"/>
      <c r="AA3" s="44"/>
      <c r="AB3" s="9"/>
    </row>
    <row r="4" spans="1:28" x14ac:dyDescent="0.3">
      <c r="A4" s="27" t="s">
        <v>17</v>
      </c>
      <c r="B4" s="27" t="s">
        <v>18</v>
      </c>
      <c r="C4" s="27" t="s">
        <v>19</v>
      </c>
      <c r="D4" s="27" t="s">
        <v>20</v>
      </c>
      <c r="E4" s="27"/>
      <c r="F4" s="27"/>
      <c r="G4" s="27"/>
      <c r="I4" s="27" t="s">
        <v>2</v>
      </c>
      <c r="J4" s="27" t="s">
        <v>0</v>
      </c>
      <c r="K4" s="27" t="s">
        <v>7</v>
      </c>
      <c r="L4" s="27" t="s">
        <v>8</v>
      </c>
      <c r="M4" s="27" t="s">
        <v>10</v>
      </c>
      <c r="N4" s="27" t="s">
        <v>21</v>
      </c>
      <c r="O4" s="27" t="s">
        <v>22</v>
      </c>
      <c r="P4" s="27" t="s">
        <v>29</v>
      </c>
      <c r="Q4" s="27" t="s">
        <v>12</v>
      </c>
      <c r="R4" s="30"/>
      <c r="S4" s="27" t="s">
        <v>2</v>
      </c>
      <c r="T4" s="27" t="s">
        <v>29</v>
      </c>
      <c r="U4" s="27" t="s">
        <v>12</v>
      </c>
      <c r="V4" s="27" t="s">
        <v>14</v>
      </c>
      <c r="W4" s="30"/>
      <c r="X4" s="45" t="s">
        <v>26</v>
      </c>
      <c r="Y4" s="45" t="s">
        <v>27</v>
      </c>
      <c r="Z4" s="45" t="s">
        <v>41</v>
      </c>
      <c r="AA4" s="45" t="s">
        <v>42</v>
      </c>
      <c r="AB4" s="27"/>
    </row>
    <row r="5" spans="1:28" x14ac:dyDescent="0.3">
      <c r="A5" t="s">
        <v>0</v>
      </c>
      <c r="B5" s="23">
        <v>4000</v>
      </c>
      <c r="C5" s="24">
        <v>11022.06</v>
      </c>
      <c r="D5" s="31">
        <f>B5/C5</f>
        <v>0.36290856700108692</v>
      </c>
      <c r="E5" s="31"/>
      <c r="F5" s="31"/>
      <c r="G5" s="31"/>
      <c r="I5" s="3">
        <f>Data!A3</f>
        <v>1</v>
      </c>
      <c r="J5" s="23">
        <f>$C$5*Data!C3/Data!C2</f>
        <v>10608.331329673842</v>
      </c>
      <c r="K5" s="23">
        <f>$C$6*Data!F3/Data!F2</f>
        <v>9640.4436595676634</v>
      </c>
      <c r="L5" s="23">
        <f>$C$7*Data!I3/Data!I2</f>
        <v>6001.51109207234</v>
      </c>
      <c r="M5" s="23">
        <f>$C$8*Data!L3/Data!L2</f>
        <v>114.02236831331186</v>
      </c>
      <c r="N5" s="23">
        <f t="shared" ref="N5:N68" si="0">MMULT(J5:M5,$D$5:$D$8)</f>
        <v>9851.7255037416926</v>
      </c>
      <c r="O5" s="23">
        <f>N5-$B$9</f>
        <v>-148.27449625830741</v>
      </c>
      <c r="P5" s="23">
        <f>-O5</f>
        <v>148.27449625830741</v>
      </c>
      <c r="Q5" s="48">
        <f>$Q$2^(500-I5)*(1-$Q$2)/(1-$Q$2^500)</f>
        <v>4.4631564980305031E-4</v>
      </c>
      <c r="S5">
        <v>494</v>
      </c>
      <c r="T5" s="50">
        <v>477.84100103359742</v>
      </c>
      <c r="U5" s="51">
        <f>$Q$2^(500-S5)*(1-$Q$2)/(1-$Q$2^500)</f>
        <v>5.2827895216603698E-3</v>
      </c>
      <c r="V5" s="51">
        <f>SUM($U$5:U5)</f>
        <v>5.2827895216603698E-3</v>
      </c>
      <c r="X5" s="36">
        <v>-600</v>
      </c>
      <c r="Y5" s="36">
        <f t="array" ref="Y5:Y27">FREQUENCY($P$5:$P$504,$X$5:$X$27)</f>
        <v>0</v>
      </c>
      <c r="Z5" s="46">
        <f>Y5/$B$12</f>
        <v>0</v>
      </c>
      <c r="AA5" s="46">
        <f>SUM($Z$5:Z5)</f>
        <v>0</v>
      </c>
      <c r="AB5">
        <f t="shared" ref="AB5:AB27" si="1">X5</f>
        <v>-600</v>
      </c>
    </row>
    <row r="6" spans="1:28" x14ac:dyDescent="0.3">
      <c r="A6" t="s">
        <v>7</v>
      </c>
      <c r="B6" s="23">
        <v>3000</v>
      </c>
      <c r="C6" s="25">
        <v>9599.8984</v>
      </c>
      <c r="D6" s="31">
        <f t="shared" ref="D6:D8" si="2">B6/C6</f>
        <v>0.3125033073266692</v>
      </c>
      <c r="E6" s="31"/>
      <c r="F6" s="31"/>
      <c r="G6" s="31"/>
      <c r="I6">
        <v>2</v>
      </c>
      <c r="J6" s="23">
        <f>$C$5*Data!C4/Data!C3</f>
        <v>11186.686483177426</v>
      </c>
      <c r="K6" s="23">
        <f>$C$6*Data!F4/Data!F3</f>
        <v>9302.345605294493</v>
      </c>
      <c r="L6" s="23">
        <f>$C$7*Data!I4/Data!I3</f>
        <v>6105.5981937083598</v>
      </c>
      <c r="M6" s="23">
        <f>$C$8*Data!L4/Data!L3</f>
        <v>110.11660965381927</v>
      </c>
      <c r="N6" s="23">
        <f t="shared" si="0"/>
        <v>9903.5084906524116</v>
      </c>
      <c r="O6" s="23">
        <f t="shared" ref="O6:O69" si="3">N6-$B$9</f>
        <v>-96.491509347588362</v>
      </c>
      <c r="P6" s="23">
        <f t="shared" ref="P6:P69" si="4">-O6</f>
        <v>96.491509347588362</v>
      </c>
      <c r="Q6" s="48">
        <f t="shared" ref="Q6:Q69" si="5">$Q$2^(500-I6)*(1-$Q$2)/(1-$Q$2^500)</f>
        <v>4.4855844201311594E-4</v>
      </c>
      <c r="S6">
        <v>339</v>
      </c>
      <c r="T6" s="50">
        <v>345.43507527311704</v>
      </c>
      <c r="U6" s="51">
        <f t="shared" ref="U6:U69" si="6">$Q$2^(500-S6)*(1-$Q$2)/(1-$Q$2^500)</f>
        <v>2.429074435499016E-3</v>
      </c>
      <c r="V6" s="51">
        <f>SUM($U$5:U6)</f>
        <v>7.7118639571593858E-3</v>
      </c>
      <c r="X6" s="36">
        <v>-550</v>
      </c>
      <c r="Y6" s="36">
        <v>0</v>
      </c>
      <c r="Z6" s="46">
        <f t="shared" ref="Z6:Z27" si="7">Y6/$B$12</f>
        <v>0</v>
      </c>
      <c r="AA6" s="46">
        <f>SUM($Z$5:Z6)</f>
        <v>0</v>
      </c>
      <c r="AB6">
        <f t="shared" si="1"/>
        <v>-550</v>
      </c>
    </row>
    <row r="7" spans="1:28" x14ac:dyDescent="0.3">
      <c r="A7" t="s">
        <v>8</v>
      </c>
      <c r="B7" s="23">
        <v>1000</v>
      </c>
      <c r="C7" s="23">
        <v>6200.3960686519004</v>
      </c>
      <c r="D7" s="31">
        <f t="shared" si="2"/>
        <v>0.16128001968387506</v>
      </c>
      <c r="E7" s="31"/>
      <c r="F7" s="31"/>
      <c r="G7" s="31"/>
      <c r="I7">
        <v>3</v>
      </c>
      <c r="J7" s="23">
        <f>$C$5*Data!C5/Data!C4</f>
        <v>11175.427387300895</v>
      </c>
      <c r="K7" s="23">
        <f>$C$6*Data!F5/Data!F4</f>
        <v>9584.3507800913831</v>
      </c>
      <c r="L7" s="23">
        <f>$C$7*Data!I5/Data!I4</f>
        <v>6319.0390960442483</v>
      </c>
      <c r="M7" s="23">
        <f>$C$8*Data!L5/Data!L4</f>
        <v>112.58750150892384</v>
      </c>
      <c r="N7" s="23">
        <f t="shared" si="0"/>
        <v>10065.77532089946</v>
      </c>
      <c r="O7" s="23">
        <f t="shared" si="3"/>
        <v>65.775320899459985</v>
      </c>
      <c r="P7" s="23">
        <f t="shared" si="4"/>
        <v>-65.775320899459985</v>
      </c>
      <c r="Q7" s="48">
        <f t="shared" si="5"/>
        <v>4.5081250453579501E-4</v>
      </c>
      <c r="S7" s="3">
        <v>349</v>
      </c>
      <c r="T7" s="24">
        <v>282.20384520461448</v>
      </c>
      <c r="U7" s="158">
        <f t="shared" si="6"/>
        <v>2.553936035051445E-3</v>
      </c>
      <c r="V7" s="158">
        <f>SUM($U$5:U7)</f>
        <v>1.026579999221083E-2</v>
      </c>
      <c r="X7" s="36">
        <v>-500</v>
      </c>
      <c r="Y7" s="36">
        <v>0</v>
      </c>
      <c r="Z7" s="46">
        <f t="shared" si="7"/>
        <v>0</v>
      </c>
      <c r="AA7" s="46">
        <f>SUM($Z$5:Z7)</f>
        <v>0</v>
      </c>
      <c r="AB7">
        <f t="shared" si="1"/>
        <v>-500</v>
      </c>
    </row>
    <row r="8" spans="1:28" x14ac:dyDescent="0.3">
      <c r="A8" t="s">
        <v>10</v>
      </c>
      <c r="B8" s="23">
        <v>2000</v>
      </c>
      <c r="C8" s="23">
        <v>112.82211990227401</v>
      </c>
      <c r="D8" s="31">
        <f t="shared" si="2"/>
        <v>17.727020213167336</v>
      </c>
      <c r="E8" s="31"/>
      <c r="F8" s="31"/>
      <c r="G8" s="31"/>
      <c r="I8">
        <v>4</v>
      </c>
      <c r="J8" s="23">
        <f>$C$5*Data!C6/Data!C5</f>
        <v>11050.859866753939</v>
      </c>
      <c r="K8" s="23">
        <f>$C$6*Data!F6/Data!F5</f>
        <v>9723.6944660326644</v>
      </c>
      <c r="L8" s="23">
        <f>$C$7*Data!I6/Data!I5</f>
        <v>6191.5120631315795</v>
      </c>
      <c r="M8" s="23">
        <f>$C$8*Data!L6/Data!L5</f>
        <v>111.45691017361851</v>
      </c>
      <c r="N8" s="23">
        <f t="shared" si="0"/>
        <v>10023.504485402455</v>
      </c>
      <c r="O8" s="23">
        <f t="shared" si="3"/>
        <v>23.50448540245452</v>
      </c>
      <c r="P8" s="23">
        <f t="shared" si="4"/>
        <v>-23.50448540245452</v>
      </c>
      <c r="Q8" s="48">
        <f t="shared" si="5"/>
        <v>4.5307789400582409E-4</v>
      </c>
      <c r="S8">
        <v>329</v>
      </c>
      <c r="T8" s="50">
        <v>277.04129403526349</v>
      </c>
      <c r="U8" s="51">
        <f t="shared" si="6"/>
        <v>2.3103173032585408E-3</v>
      </c>
      <c r="V8" s="51">
        <f>SUM($U$5:U8)</f>
        <v>1.2576117295469371E-2</v>
      </c>
      <c r="X8" s="36">
        <v>-450</v>
      </c>
      <c r="Y8" s="36">
        <v>0</v>
      </c>
      <c r="Z8" s="46">
        <f t="shared" si="7"/>
        <v>0</v>
      </c>
      <c r="AA8" s="46">
        <f>SUM($Z$5:Z8)</f>
        <v>0</v>
      </c>
      <c r="AB8">
        <f t="shared" si="1"/>
        <v>-450</v>
      </c>
    </row>
    <row r="9" spans="1:28" x14ac:dyDescent="0.3">
      <c r="B9" s="26">
        <f>SUM(B5:B8)</f>
        <v>10000</v>
      </c>
      <c r="C9" s="23"/>
      <c r="I9">
        <v>5</v>
      </c>
      <c r="J9" s="23">
        <f>$C$5*Data!C7/Data!C6</f>
        <v>11169.782701538959</v>
      </c>
      <c r="K9" s="23">
        <f>$C$6*Data!F7/Data!F6</f>
        <v>9817.4020422946815</v>
      </c>
      <c r="L9" s="23">
        <f>$C$7*Data!I7/Data!I6</f>
        <v>6274.9569315167646</v>
      </c>
      <c r="M9" s="23">
        <f>$C$8*Data!L7/Data!L6</f>
        <v>111.97486521714667</v>
      </c>
      <c r="N9" s="23">
        <f t="shared" si="0"/>
        <v>10118.586318003257</v>
      </c>
      <c r="O9" s="23">
        <f t="shared" si="3"/>
        <v>118.58631800325747</v>
      </c>
      <c r="P9" s="23">
        <f t="shared" si="4"/>
        <v>-118.58631800325747</v>
      </c>
      <c r="Q9" s="48">
        <f t="shared" si="5"/>
        <v>4.553546673425368E-4</v>
      </c>
      <c r="S9">
        <v>487</v>
      </c>
      <c r="T9" s="50">
        <v>253.38495609979509</v>
      </c>
      <c r="U9" s="51">
        <f t="shared" si="6"/>
        <v>5.1006423559118866E-3</v>
      </c>
      <c r="V9" s="51">
        <f>SUM($U$5:U9)</f>
        <v>1.7676759651381258E-2</v>
      </c>
      <c r="X9" s="36">
        <v>-400</v>
      </c>
      <c r="Y9" s="36">
        <v>0</v>
      </c>
      <c r="Z9" s="46">
        <f t="shared" si="7"/>
        <v>0</v>
      </c>
      <c r="AA9" s="46">
        <f>SUM($Z$5:Z9)</f>
        <v>0</v>
      </c>
      <c r="AB9">
        <f t="shared" si="1"/>
        <v>-400</v>
      </c>
    </row>
    <row r="10" spans="1:28" x14ac:dyDescent="0.3">
      <c r="I10">
        <v>6</v>
      </c>
      <c r="J10" s="23">
        <f>$C$5*Data!C8/Data!C7</f>
        <v>11155.086483535784</v>
      </c>
      <c r="K10" s="23">
        <f>$C$6*Data!F8/Data!F7</f>
        <v>9788.5988643344972</v>
      </c>
      <c r="L10" s="23">
        <f>$C$7*Data!I8/Data!I7</f>
        <v>6240.1515962400126</v>
      </c>
      <c r="M10" s="23">
        <f>$C$8*Data!L8/Data!L7</f>
        <v>114.90406592173402</v>
      </c>
      <c r="N10" s="23">
        <f t="shared" si="0"/>
        <v>10150.564441153419</v>
      </c>
      <c r="O10" s="23">
        <f t="shared" si="3"/>
        <v>150.56444115341947</v>
      </c>
      <c r="P10" s="23">
        <f t="shared" si="4"/>
        <v>-150.56444115341947</v>
      </c>
      <c r="Q10" s="48">
        <f t="shared" si="5"/>
        <v>4.5764288175129331E-4</v>
      </c>
      <c r="S10">
        <v>227</v>
      </c>
      <c r="T10" s="50">
        <v>217.97395897909701</v>
      </c>
      <c r="U10" s="51">
        <f t="shared" si="6"/>
        <v>1.3855616900627699E-3</v>
      </c>
      <c r="V10" s="51">
        <f>SUM($U$5:U10)</f>
        <v>1.9062321341444029E-2</v>
      </c>
      <c r="X10" s="36">
        <v>-350</v>
      </c>
      <c r="Y10" s="36">
        <v>0</v>
      </c>
      <c r="Z10" s="46">
        <f t="shared" si="7"/>
        <v>0</v>
      </c>
      <c r="AA10" s="46">
        <f>SUM($Z$5:Z10)</f>
        <v>0</v>
      </c>
      <c r="AB10">
        <f t="shared" si="1"/>
        <v>-350</v>
      </c>
    </row>
    <row r="11" spans="1:28" x14ac:dyDescent="0.3">
      <c r="A11" s="9" t="s">
        <v>29</v>
      </c>
      <c r="I11">
        <v>7</v>
      </c>
      <c r="J11" s="23">
        <f>$C$5*Data!C9/Data!C8</f>
        <v>11026.17640372104</v>
      </c>
      <c r="K11" s="23">
        <f>$C$6*Data!F9/Data!F8</f>
        <v>9525.297335032732</v>
      </c>
      <c r="L11" s="23">
        <f>$C$7*Data!I9/Data!I8</f>
        <v>6255.0380571638543</v>
      </c>
      <c r="M11" s="23">
        <f>$C$8*Data!L9/Data!L8</f>
        <v>114.40049238519039</v>
      </c>
      <c r="N11" s="23">
        <f t="shared" si="0"/>
        <v>10014.973300534577</v>
      </c>
      <c r="O11" s="23">
        <f t="shared" si="3"/>
        <v>14.973300534576993</v>
      </c>
      <c r="P11" s="23">
        <f t="shared" si="4"/>
        <v>-14.973300534576993</v>
      </c>
      <c r="Q11" s="48">
        <f t="shared" si="5"/>
        <v>4.5994259472491788E-4</v>
      </c>
      <c r="S11">
        <v>131</v>
      </c>
      <c r="T11" s="50">
        <v>202.25553909110386</v>
      </c>
      <c r="U11" s="51">
        <f t="shared" si="6"/>
        <v>8.5633090588624393E-4</v>
      </c>
      <c r="V11" s="51">
        <f>SUM($U$5:U11)</f>
        <v>1.9918652247330273E-2</v>
      </c>
      <c r="X11" s="36">
        <v>-300</v>
      </c>
      <c r="Y11" s="36">
        <v>0</v>
      </c>
      <c r="Z11" s="46">
        <f t="shared" si="7"/>
        <v>0</v>
      </c>
      <c r="AA11" s="46">
        <f>SUM($Z$5:Z11)</f>
        <v>0</v>
      </c>
      <c r="AB11">
        <f t="shared" si="1"/>
        <v>-300</v>
      </c>
    </row>
    <row r="12" spans="1:28" x14ac:dyDescent="0.3">
      <c r="A12" s="9" t="s">
        <v>36</v>
      </c>
      <c r="B12" s="39">
        <f>COUNT($P$5:$P$504)</f>
        <v>500</v>
      </c>
      <c r="I12">
        <v>8</v>
      </c>
      <c r="J12" s="23">
        <f>$C$5*Data!C10/Data!C9</f>
        <v>10957.675854650504</v>
      </c>
      <c r="K12" s="23">
        <f>$C$6*Data!F10/Data!F9</f>
        <v>9773.4846250502196</v>
      </c>
      <c r="L12" s="23">
        <f>$C$7*Data!I10/Data!I9</f>
        <v>6167.1543421613251</v>
      </c>
      <c r="M12" s="23">
        <f>$C$8*Data!L10/Data!L9</f>
        <v>115.29924597576125</v>
      </c>
      <c r="N12" s="23">
        <f t="shared" si="0"/>
        <v>10069.431549180716</v>
      </c>
      <c r="O12" s="23">
        <f t="shared" si="3"/>
        <v>69.431549180715592</v>
      </c>
      <c r="P12" s="23">
        <f t="shared" si="4"/>
        <v>-69.431549180715592</v>
      </c>
      <c r="Q12" s="48">
        <f t="shared" si="5"/>
        <v>4.6225386404514363E-4</v>
      </c>
      <c r="S12">
        <v>238</v>
      </c>
      <c r="T12" s="50">
        <v>201.38921638536704</v>
      </c>
      <c r="U12" s="51">
        <f t="shared" si="6"/>
        <v>1.464104173655406E-3</v>
      </c>
      <c r="V12" s="51">
        <f>SUM($U$5:U12)</f>
        <v>2.138275642098568E-2</v>
      </c>
      <c r="X12" s="36">
        <v>-250</v>
      </c>
      <c r="Y12" s="36">
        <v>0</v>
      </c>
      <c r="Z12" s="46">
        <f t="shared" si="7"/>
        <v>0</v>
      </c>
      <c r="AA12" s="46">
        <f>SUM($Z$5:Z12)</f>
        <v>0</v>
      </c>
      <c r="AB12">
        <f t="shared" si="1"/>
        <v>-250</v>
      </c>
    </row>
    <row r="13" spans="1:28" x14ac:dyDescent="0.3">
      <c r="A13" s="9" t="s">
        <v>25</v>
      </c>
      <c r="B13" s="38">
        <f>MIN($P$5:$P$504)</f>
        <v>-159.82527856132583</v>
      </c>
      <c r="I13">
        <v>9</v>
      </c>
      <c r="J13" s="23">
        <f>$C$5*Data!C11/Data!C10</f>
        <v>10961.477211277972</v>
      </c>
      <c r="K13" s="23">
        <f>$C$6*Data!F11/Data!F10</f>
        <v>9457.5086951755275</v>
      </c>
      <c r="L13" s="23">
        <f>$C$7*Data!I11/Data!I10</f>
        <v>6194.2684792885984</v>
      </c>
      <c r="M13" s="23">
        <f>$C$8*Data!L11/Data!L10</f>
        <v>111.47792260370097</v>
      </c>
      <c r="N13" s="23">
        <f t="shared" si="0"/>
        <v>9908.6998628576257</v>
      </c>
      <c r="O13" s="23">
        <f t="shared" si="3"/>
        <v>-91.300137142374297</v>
      </c>
      <c r="P13" s="23">
        <f t="shared" si="4"/>
        <v>91.300137142374297</v>
      </c>
      <c r="Q13" s="48">
        <f t="shared" si="5"/>
        <v>4.6457674778406386E-4</v>
      </c>
      <c r="S13">
        <v>473</v>
      </c>
      <c r="T13" s="50">
        <v>191.26906641746609</v>
      </c>
      <c r="U13" s="51">
        <f t="shared" si="6"/>
        <v>4.75497243254701E-3</v>
      </c>
      <c r="V13" s="51">
        <f>SUM($U$5:U13)</f>
        <v>2.6137728853532688E-2</v>
      </c>
      <c r="X13" s="36">
        <v>-200</v>
      </c>
      <c r="Y13" s="36">
        <v>0</v>
      </c>
      <c r="Z13" s="46">
        <f t="shared" si="7"/>
        <v>0</v>
      </c>
      <c r="AA13" s="46">
        <f>SUM($Z$5:Z13)</f>
        <v>0</v>
      </c>
      <c r="AB13">
        <f t="shared" si="1"/>
        <v>-200</v>
      </c>
    </row>
    <row r="14" spans="1:28" x14ac:dyDescent="0.3">
      <c r="A14" s="9" t="s">
        <v>24</v>
      </c>
      <c r="B14" s="38">
        <f>MAX($P$5:$P$504)</f>
        <v>237.67317481744431</v>
      </c>
      <c r="I14">
        <v>10</v>
      </c>
      <c r="J14" s="23">
        <f>$C$5*Data!C12/Data!C11</f>
        <v>11032.790539172183</v>
      </c>
      <c r="K14" s="23">
        <f>$C$6*Data!F12/Data!F11</f>
        <v>9693.3656077007199</v>
      </c>
      <c r="L14" s="23">
        <f>$C$7*Data!I12/Data!I11</f>
        <v>6211.7386555050616</v>
      </c>
      <c r="M14" s="23">
        <f>$C$8*Data!L12/Data!L11</f>
        <v>112.94024193454923</v>
      </c>
      <c r="N14" s="23">
        <f t="shared" si="0"/>
        <v>10037.026300411897</v>
      </c>
      <c r="O14" s="23">
        <f t="shared" si="3"/>
        <v>37.026300411896955</v>
      </c>
      <c r="P14" s="23">
        <f t="shared" si="4"/>
        <v>-37.026300411896955</v>
      </c>
      <c r="Q14" s="48">
        <f t="shared" si="5"/>
        <v>4.6691130430559182E-4</v>
      </c>
      <c r="S14">
        <v>306</v>
      </c>
      <c r="T14" s="50">
        <v>191.04965748705217</v>
      </c>
      <c r="U14" s="51">
        <f t="shared" si="6"/>
        <v>2.0587446706593973E-3</v>
      </c>
      <c r="V14" s="51">
        <f>SUM($U$5:U14)</f>
        <v>2.8196473524192085E-2</v>
      </c>
      <c r="X14" s="36">
        <v>-150</v>
      </c>
      <c r="Y14" s="36">
        <v>3</v>
      </c>
      <c r="Z14" s="46">
        <f t="shared" si="7"/>
        <v>6.0000000000000001E-3</v>
      </c>
      <c r="AA14" s="46">
        <f>SUM($Z$5:Z14)</f>
        <v>6.0000000000000001E-3</v>
      </c>
      <c r="AB14">
        <f t="shared" si="1"/>
        <v>-150</v>
      </c>
    </row>
    <row r="15" spans="1:28" x14ac:dyDescent="0.3">
      <c r="A15" s="9" t="s">
        <v>3</v>
      </c>
      <c r="B15" s="38">
        <f>AVERAGE($P$5:$P$504)</f>
        <v>-2.0143944008632277</v>
      </c>
      <c r="I15">
        <v>11</v>
      </c>
      <c r="J15" s="23">
        <f>$C$5*Data!C13/Data!C12</f>
        <v>11198.725726279694</v>
      </c>
      <c r="K15" s="23">
        <f>$C$6*Data!F13/Data!F12</f>
        <v>9670.9538069167793</v>
      </c>
      <c r="L15" s="23">
        <f>$C$7*Data!I13/Data!I12</f>
        <v>6240.4834893621546</v>
      </c>
      <c r="M15" s="23">
        <f>$C$8*Data!L13/Data!L12</f>
        <v>111.04354571516552</v>
      </c>
      <c r="N15" s="23">
        <f t="shared" si="0"/>
        <v>10061.255034663041</v>
      </c>
      <c r="O15" s="23">
        <f t="shared" si="3"/>
        <v>61.255034663041442</v>
      </c>
      <c r="P15" s="23">
        <f t="shared" si="4"/>
        <v>-61.255034663041442</v>
      </c>
      <c r="Q15" s="48">
        <f t="shared" si="5"/>
        <v>4.6925759226692642E-4</v>
      </c>
      <c r="S15">
        <v>477</v>
      </c>
      <c r="T15" s="50">
        <v>185.12694936397929</v>
      </c>
      <c r="U15" s="51">
        <f t="shared" si="6"/>
        <v>4.8512726165905956E-3</v>
      </c>
      <c r="V15" s="51">
        <f>SUM($U$5:U15)</f>
        <v>3.304774614078268E-2</v>
      </c>
      <c r="X15" s="36">
        <v>-100</v>
      </c>
      <c r="Y15" s="36">
        <v>21</v>
      </c>
      <c r="Z15" s="46">
        <f t="shared" si="7"/>
        <v>4.2000000000000003E-2</v>
      </c>
      <c r="AA15" s="46">
        <f>SUM($Z$5:Z15)</f>
        <v>4.8000000000000001E-2</v>
      </c>
      <c r="AB15">
        <f t="shared" si="1"/>
        <v>-100</v>
      </c>
    </row>
    <row r="16" spans="1:28" x14ac:dyDescent="0.3">
      <c r="A16" s="9" t="s">
        <v>28</v>
      </c>
      <c r="B16" s="38">
        <f>_xlfn.STDEV.S($P$5:$P$504)</f>
        <v>61.668444402402351</v>
      </c>
      <c r="I16">
        <v>12</v>
      </c>
      <c r="J16" s="23">
        <f>$C$5*Data!C14/Data!C13</f>
        <v>11151.646529221853</v>
      </c>
      <c r="K16" s="23">
        <f>$C$6*Data!F14/Data!F13</f>
        <v>9529.8192404706078</v>
      </c>
      <c r="L16" s="23">
        <f>$C$7*Data!I14/Data!I13</f>
        <v>6209.8300949422983</v>
      </c>
      <c r="M16" s="23">
        <f>$C$8*Data!L14/Data!L13</f>
        <v>113.56533549246767</v>
      </c>
      <c r="N16" s="23">
        <f t="shared" si="0"/>
        <v>10039.824610230857</v>
      </c>
      <c r="O16" s="23">
        <f t="shared" si="3"/>
        <v>39.824610230856706</v>
      </c>
      <c r="P16" s="23">
        <f t="shared" si="4"/>
        <v>-39.824610230856706</v>
      </c>
      <c r="Q16" s="48">
        <f t="shared" si="5"/>
        <v>4.7161567062002646E-4</v>
      </c>
      <c r="S16">
        <v>495</v>
      </c>
      <c r="T16" s="50">
        <v>184.44962935786134</v>
      </c>
      <c r="U16" s="51">
        <f t="shared" si="6"/>
        <v>5.3093362026737376E-3</v>
      </c>
      <c r="V16" s="51">
        <f>SUM($U$5:U16)</f>
        <v>3.8357082343456417E-2</v>
      </c>
      <c r="X16" s="36">
        <v>-50</v>
      </c>
      <c r="Y16" s="36">
        <v>79</v>
      </c>
      <c r="Z16" s="46">
        <f t="shared" si="7"/>
        <v>0.158</v>
      </c>
      <c r="AA16" s="46">
        <f>SUM($Z$5:Z16)</f>
        <v>0.20600000000000002</v>
      </c>
      <c r="AB16">
        <f t="shared" si="1"/>
        <v>-50</v>
      </c>
    </row>
    <row r="17" spans="1:28" x14ac:dyDescent="0.3">
      <c r="A17" s="9" t="s">
        <v>4</v>
      </c>
      <c r="B17" s="38">
        <f>SKEW($P$5:$P$504)</f>
        <v>0.42840607464063152</v>
      </c>
      <c r="I17">
        <v>13</v>
      </c>
      <c r="J17" s="23">
        <f>$C$5*Data!C15/Data!C14</f>
        <v>10882.003910635831</v>
      </c>
      <c r="K17" s="23">
        <f>$C$6*Data!F15/Data!F14</f>
        <v>9469.7432972150582</v>
      </c>
      <c r="L17" s="23">
        <f>$C$7*Data!I15/Data!I14</f>
        <v>6147.4416519612969</v>
      </c>
      <c r="M17" s="23">
        <f>$C$8*Data!L15/Data!L14</f>
        <v>114.3725027561149</v>
      </c>
      <c r="N17" s="23">
        <f t="shared" si="0"/>
        <v>9927.4417240453131</v>
      </c>
      <c r="O17" s="23">
        <f t="shared" si="3"/>
        <v>-72.558275954686906</v>
      </c>
      <c r="P17" s="23">
        <f t="shared" si="4"/>
        <v>72.558275954686906</v>
      </c>
      <c r="Q17" s="48">
        <f t="shared" si="5"/>
        <v>4.7398559861309205E-4</v>
      </c>
      <c r="S17">
        <v>376</v>
      </c>
      <c r="T17" s="50">
        <v>182.70721906115796</v>
      </c>
      <c r="U17" s="51">
        <f t="shared" si="6"/>
        <v>2.9240637428351673E-3</v>
      </c>
      <c r="V17" s="51">
        <f>SUM($U$5:U17)</f>
        <v>4.1281146086291583E-2</v>
      </c>
      <c r="X17" s="36">
        <v>0</v>
      </c>
      <c r="Y17" s="36">
        <v>168</v>
      </c>
      <c r="Z17" s="46">
        <f t="shared" si="7"/>
        <v>0.33600000000000002</v>
      </c>
      <c r="AA17" s="46">
        <f>SUM($Z$5:Z17)</f>
        <v>0.54200000000000004</v>
      </c>
      <c r="AB17">
        <f t="shared" si="1"/>
        <v>0</v>
      </c>
    </row>
    <row r="18" spans="1:28" x14ac:dyDescent="0.3">
      <c r="A18" s="9" t="s">
        <v>5</v>
      </c>
      <c r="B18" s="38">
        <f>KURT($P$5:$P$504)</f>
        <v>0.56807805591012572</v>
      </c>
      <c r="C18" s="23"/>
      <c r="I18">
        <v>14</v>
      </c>
      <c r="J18" s="23">
        <f>$C$5*Data!C16/Data!C15</f>
        <v>10899.761552548425</v>
      </c>
      <c r="K18" s="23">
        <f>$C$6*Data!F16/Data!F15</f>
        <v>9630.9484619776576</v>
      </c>
      <c r="L18" s="23">
        <f>$C$7*Data!I16/Data!I15</f>
        <v>6166.1274388333368</v>
      </c>
      <c r="M18" s="23">
        <f>$C$8*Data!L16/Data!L15</f>
        <v>113.07252441434989</v>
      </c>
      <c r="N18" s="23">
        <f t="shared" si="0"/>
        <v>9964.2321733049685</v>
      </c>
      <c r="O18" s="23">
        <f t="shared" si="3"/>
        <v>-35.767826695031545</v>
      </c>
      <c r="P18" s="23">
        <f t="shared" si="4"/>
        <v>35.767826695031545</v>
      </c>
      <c r="Q18" s="48">
        <f t="shared" si="5"/>
        <v>4.7636743579205224E-4</v>
      </c>
      <c r="S18">
        <v>237</v>
      </c>
      <c r="T18" s="50">
        <v>180.10475010029586</v>
      </c>
      <c r="U18" s="51">
        <f t="shared" si="6"/>
        <v>1.4567836527871292E-3</v>
      </c>
      <c r="V18" s="51">
        <f>SUM($U$5:U18)</f>
        <v>4.2737929739078709E-2</v>
      </c>
      <c r="X18" s="36">
        <v>50</v>
      </c>
      <c r="Y18" s="36">
        <v>139</v>
      </c>
      <c r="Z18" s="46">
        <f t="shared" si="7"/>
        <v>0.27800000000000002</v>
      </c>
      <c r="AA18" s="46">
        <f>SUM($Z$5:Z18)</f>
        <v>0.82000000000000006</v>
      </c>
      <c r="AB18">
        <f t="shared" si="1"/>
        <v>50</v>
      </c>
    </row>
    <row r="19" spans="1:28" x14ac:dyDescent="0.3">
      <c r="I19">
        <v>15</v>
      </c>
      <c r="J19" s="23">
        <f>$C$5*Data!C17/Data!C16</f>
        <v>10875.197669792838</v>
      </c>
      <c r="K19" s="23">
        <f>$C$6*Data!F17/Data!F16</f>
        <v>9630.8483569513864</v>
      </c>
      <c r="L19" s="23">
        <f>$C$7*Data!I17/Data!I16</f>
        <v>6104.0106963743228</v>
      </c>
      <c r="M19" s="23">
        <f>$C$8*Data!L17/Data!L16</f>
        <v>111.56290087279294</v>
      </c>
      <c r="N19" s="23">
        <f t="shared" si="0"/>
        <v>9918.5071301804237</v>
      </c>
      <c r="O19" s="23">
        <f t="shared" si="3"/>
        <v>-81.492869819576299</v>
      </c>
      <c r="P19" s="23">
        <f t="shared" si="4"/>
        <v>81.492869819576299</v>
      </c>
      <c r="Q19" s="48">
        <f t="shared" si="5"/>
        <v>4.7876124200206261E-4</v>
      </c>
      <c r="S19">
        <v>365</v>
      </c>
      <c r="T19" s="50">
        <v>172.22374096282692</v>
      </c>
      <c r="U19" s="51">
        <f t="shared" si="6"/>
        <v>2.7672011146984989E-3</v>
      </c>
      <c r="V19" s="51">
        <f>SUM($U$5:U19)</f>
        <v>4.5505130853777206E-2</v>
      </c>
      <c r="X19" s="36">
        <v>100</v>
      </c>
      <c r="Y19" s="36">
        <v>58</v>
      </c>
      <c r="Z19" s="46">
        <f t="shared" si="7"/>
        <v>0.11600000000000001</v>
      </c>
      <c r="AA19" s="46">
        <f>SUM($Z$5:Z19)</f>
        <v>0.93600000000000005</v>
      </c>
      <c r="AB19">
        <f t="shared" si="1"/>
        <v>100</v>
      </c>
    </row>
    <row r="20" spans="1:28" x14ac:dyDescent="0.3">
      <c r="I20">
        <v>16</v>
      </c>
      <c r="J20" s="23">
        <f>$C$5*Data!C18/Data!C17</f>
        <v>11077.959509230353</v>
      </c>
      <c r="K20" s="23">
        <f>$C$6*Data!F18/Data!F17</f>
        <v>9457.4037132145022</v>
      </c>
      <c r="L20" s="23">
        <f>$C$7*Data!I18/Data!I17</f>
        <v>6017.6532322281782</v>
      </c>
      <c r="M20" s="23">
        <f>$C$8*Data!L18/Data!L17</f>
        <v>110.9412731401779</v>
      </c>
      <c r="N20" s="23">
        <f t="shared" si="0"/>
        <v>9912.9417730688529</v>
      </c>
      <c r="O20" s="23">
        <f t="shared" si="3"/>
        <v>-87.058226931147146</v>
      </c>
      <c r="P20" s="23">
        <f t="shared" si="4"/>
        <v>87.058226931147146</v>
      </c>
      <c r="Q20" s="48">
        <f t="shared" si="5"/>
        <v>4.8116707738900765E-4</v>
      </c>
      <c r="S20">
        <v>283</v>
      </c>
      <c r="T20" s="50">
        <v>172.21194565829319</v>
      </c>
      <c r="U20" s="51">
        <f t="shared" si="6"/>
        <v>1.8345660195638329E-3</v>
      </c>
      <c r="V20" s="51">
        <f>SUM($U$5:U20)</f>
        <v>4.7339696873341039E-2</v>
      </c>
      <c r="X20" s="36">
        <v>150</v>
      </c>
      <c r="Y20" s="36">
        <v>25</v>
      </c>
      <c r="Z20" s="46">
        <f t="shared" si="7"/>
        <v>0.05</v>
      </c>
      <c r="AA20" s="46">
        <f>SUM($Z$5:Z20)</f>
        <v>0.9860000000000001</v>
      </c>
      <c r="AB20">
        <f t="shared" si="1"/>
        <v>150</v>
      </c>
    </row>
    <row r="21" spans="1:28" x14ac:dyDescent="0.3">
      <c r="I21">
        <v>17</v>
      </c>
      <c r="J21" s="23">
        <f>$C$5*Data!C19/Data!C18</f>
        <v>11143.655656701703</v>
      </c>
      <c r="K21" s="23">
        <f>$C$6*Data!F19/Data!F18</f>
        <v>9381.0973212423578</v>
      </c>
      <c r="L21" s="23">
        <f>$C$7*Data!I19/Data!I18</f>
        <v>6333.6787710222061</v>
      </c>
      <c r="M21" s="23">
        <f>$C$8*Data!L19/Data!L18</f>
        <v>109.76858174859245</v>
      </c>
      <c r="N21" s="23">
        <f t="shared" si="0"/>
        <v>9943.1177490585778</v>
      </c>
      <c r="O21" s="23">
        <f t="shared" si="3"/>
        <v>-56.882250941422171</v>
      </c>
      <c r="P21" s="23">
        <f t="shared" si="4"/>
        <v>56.882250941422171</v>
      </c>
      <c r="Q21" s="48">
        <f t="shared" si="5"/>
        <v>4.8358500240101274E-4</v>
      </c>
      <c r="S21">
        <v>378</v>
      </c>
      <c r="T21" s="50">
        <v>167.10418072299581</v>
      </c>
      <c r="U21" s="51">
        <f t="shared" si="6"/>
        <v>2.9535251562689494E-3</v>
      </c>
      <c r="V21" s="51">
        <f>SUM($U$5:U21)</f>
        <v>5.0293222029609987E-2</v>
      </c>
      <c r="X21" s="36">
        <v>200</v>
      </c>
      <c r="Y21" s="36">
        <v>5</v>
      </c>
      <c r="Z21" s="46">
        <f t="shared" si="7"/>
        <v>0.01</v>
      </c>
      <c r="AA21" s="46">
        <f>SUM($Z$5:Z21)</f>
        <v>0.99600000000000011</v>
      </c>
      <c r="AB21">
        <f t="shared" si="1"/>
        <v>200</v>
      </c>
    </row>
    <row r="22" spans="1:28" x14ac:dyDescent="0.3">
      <c r="C22" s="27"/>
      <c r="I22">
        <v>18</v>
      </c>
      <c r="J22" s="23">
        <f>$C$5*Data!C20/Data!C19</f>
        <v>11051.145658779176</v>
      </c>
      <c r="K22" s="23">
        <f>$C$6*Data!F20/Data!F19</f>
        <v>9800.4444995500144</v>
      </c>
      <c r="L22" s="23">
        <f>$C$7*Data!I20/Data!I19</f>
        <v>6198.0882551708619</v>
      </c>
      <c r="M22" s="23">
        <f>$C$8*Data!L20/Data!L19</f>
        <v>112.05970859713074</v>
      </c>
      <c r="N22" s="23">
        <f t="shared" si="0"/>
        <v>10059.339269308006</v>
      </c>
      <c r="O22" s="23">
        <f t="shared" si="3"/>
        <v>59.339269308005896</v>
      </c>
      <c r="P22" s="23">
        <f t="shared" si="4"/>
        <v>-59.339269308005896</v>
      </c>
      <c r="Q22" s="48">
        <f t="shared" si="5"/>
        <v>4.8601507778996237E-4</v>
      </c>
      <c r="S22">
        <v>320</v>
      </c>
      <c r="T22" s="50">
        <v>167.06585266724323</v>
      </c>
      <c r="U22" s="51">
        <f t="shared" si="6"/>
        <v>2.208408232883981E-3</v>
      </c>
      <c r="V22" s="51">
        <f>SUM($U$5:U22)</f>
        <v>5.2501630262493965E-2</v>
      </c>
      <c r="X22" s="36">
        <v>250</v>
      </c>
      <c r="Y22" s="36">
        <v>2</v>
      </c>
      <c r="Z22" s="46">
        <f t="shared" si="7"/>
        <v>4.0000000000000001E-3</v>
      </c>
      <c r="AA22" s="46">
        <f>SUM($Z$5:Z22)</f>
        <v>1</v>
      </c>
      <c r="AB22">
        <f t="shared" si="1"/>
        <v>250</v>
      </c>
    </row>
    <row r="23" spans="1:28" x14ac:dyDescent="0.3">
      <c r="C23" s="1"/>
      <c r="I23">
        <v>19</v>
      </c>
      <c r="J23" s="23">
        <f>$C$5*Data!C21/Data!C20</f>
        <v>11016.726705249004</v>
      </c>
      <c r="K23" s="23">
        <f>$C$6*Data!F21/Data!F20</f>
        <v>9501.1610272219441</v>
      </c>
      <c r="L23" s="23">
        <f>$C$7*Data!I21/Data!I20</f>
        <v>6294.1830537563446</v>
      </c>
      <c r="M23" s="23">
        <f>$C$8*Data!L21/Data!L20</f>
        <v>116.043084123665</v>
      </c>
      <c r="N23" s="23">
        <f t="shared" si="0"/>
        <v>10039.432810756856</v>
      </c>
      <c r="O23" s="23">
        <f t="shared" si="3"/>
        <v>39.43281075685627</v>
      </c>
      <c r="P23" s="23">
        <f t="shared" si="4"/>
        <v>-39.43281075685627</v>
      </c>
      <c r="Q23" s="48">
        <f t="shared" si="5"/>
        <v>4.8845736461302757E-4</v>
      </c>
      <c r="S23">
        <v>242</v>
      </c>
      <c r="T23" s="50">
        <v>166.79971104959259</v>
      </c>
      <c r="U23" s="51">
        <f t="shared" si="6"/>
        <v>1.4937559757177944E-3</v>
      </c>
      <c r="V23" s="51">
        <f>SUM($U$5:U23)</f>
        <v>5.3995386238211762E-2</v>
      </c>
      <c r="X23" s="36">
        <v>300</v>
      </c>
      <c r="Y23" s="36">
        <v>0</v>
      </c>
      <c r="Z23" s="46">
        <f t="shared" si="7"/>
        <v>0</v>
      </c>
      <c r="AA23" s="46">
        <f>SUM($Z$5:Z23)</f>
        <v>1</v>
      </c>
      <c r="AB23">
        <f t="shared" si="1"/>
        <v>300</v>
      </c>
    </row>
    <row r="24" spans="1:28" x14ac:dyDescent="0.3">
      <c r="C24" s="1"/>
      <c r="I24">
        <v>20</v>
      </c>
      <c r="J24" s="23">
        <f>$C$5*Data!C22/Data!C21</f>
        <v>11071.252316293419</v>
      </c>
      <c r="K24" s="23">
        <f>$C$6*Data!F22/Data!F21</f>
        <v>9745.3738248322952</v>
      </c>
      <c r="L24" s="23">
        <f>$C$7*Data!I22/Data!I21</f>
        <v>6304.2939686806894</v>
      </c>
      <c r="M24" s="23">
        <f>$C$8*Data!L22/Data!L21</f>
        <v>111.44400005321693</v>
      </c>
      <c r="N24" s="23">
        <f t="shared" si="0"/>
        <v>10055.640561349708</v>
      </c>
      <c r="O24" s="23">
        <f t="shared" si="3"/>
        <v>55.64056134970815</v>
      </c>
      <c r="P24" s="23">
        <f t="shared" si="4"/>
        <v>-55.64056134970815</v>
      </c>
      <c r="Q24" s="48">
        <f t="shared" si="5"/>
        <v>4.9091192423419863E-4</v>
      </c>
      <c r="S24">
        <v>322</v>
      </c>
      <c r="T24" s="50">
        <v>166.5165397828132</v>
      </c>
      <c r="U24" s="51">
        <f t="shared" si="6"/>
        <v>2.2306590569773298E-3</v>
      </c>
      <c r="V24" s="51">
        <f>SUM($U$5:U24)</f>
        <v>5.6226045295189091E-2</v>
      </c>
      <c r="X24" s="36">
        <v>350</v>
      </c>
      <c r="Y24" s="36">
        <v>0</v>
      </c>
      <c r="Z24" s="46">
        <f t="shared" si="7"/>
        <v>0</v>
      </c>
      <c r="AA24" s="46">
        <f>SUM($Z$5:Z24)</f>
        <v>1</v>
      </c>
      <c r="AB24">
        <f t="shared" si="1"/>
        <v>350</v>
      </c>
    </row>
    <row r="25" spans="1:28" x14ac:dyDescent="0.3">
      <c r="C25" s="1"/>
      <c r="I25">
        <v>21</v>
      </c>
      <c r="J25" s="23">
        <f>$C$5*Data!C23/Data!C22</f>
        <v>11213.610521069884</v>
      </c>
      <c r="K25" s="23">
        <f>$C$6*Data!F23/Data!F22</f>
        <v>9706.9039196277299</v>
      </c>
      <c r="L25" s="23">
        <f>$C$7*Data!I23/Data!I22</f>
        <v>6170.5596641165957</v>
      </c>
      <c r="M25" s="23">
        <f>$C$8*Data!L23/Data!L22</f>
        <v>113.60980324742758</v>
      </c>
      <c r="N25" s="23">
        <f t="shared" si="0"/>
        <v>10112.10616656602</v>
      </c>
      <c r="O25" s="23">
        <f t="shared" si="3"/>
        <v>112.10616656601997</v>
      </c>
      <c r="P25" s="23">
        <f t="shared" si="4"/>
        <v>-112.10616656601997</v>
      </c>
      <c r="Q25" s="48">
        <f t="shared" si="5"/>
        <v>4.9337881832582772E-4</v>
      </c>
      <c r="S25">
        <v>441</v>
      </c>
      <c r="T25" s="50">
        <v>164.07487392111034</v>
      </c>
      <c r="U25" s="51">
        <f t="shared" si="6"/>
        <v>4.0502943603919301E-3</v>
      </c>
      <c r="V25" s="51">
        <f>SUM($U$5:U25)</f>
        <v>6.0276339655581018E-2</v>
      </c>
      <c r="X25" s="36">
        <v>400</v>
      </c>
      <c r="Y25" s="36">
        <v>0</v>
      </c>
      <c r="Z25" s="46">
        <f t="shared" si="7"/>
        <v>0</v>
      </c>
      <c r="AA25" s="46">
        <f>SUM($Z$5:Z25)</f>
        <v>1</v>
      </c>
      <c r="AB25">
        <f t="shared" si="1"/>
        <v>400</v>
      </c>
    </row>
    <row r="26" spans="1:28" x14ac:dyDescent="0.3">
      <c r="A26" s="2"/>
      <c r="B26" s="1"/>
      <c r="C26" s="1"/>
      <c r="I26">
        <v>22</v>
      </c>
      <c r="J26" s="23">
        <f>$C$5*Data!C24/Data!C23</f>
        <v>11008.018062742358</v>
      </c>
      <c r="K26" s="23">
        <f>$C$6*Data!F24/Data!F23</f>
        <v>9785.143073504787</v>
      </c>
      <c r="L26" s="23">
        <f>$C$7*Data!I24/Data!I23</f>
        <v>6189.1398185238304</v>
      </c>
      <c r="M26" s="23">
        <f>$C$8*Data!L24/Data!L23</f>
        <v>113.07448060264588</v>
      </c>
      <c r="N26" s="23">
        <f t="shared" si="0"/>
        <v>10055.451828801084</v>
      </c>
      <c r="O26" s="23">
        <f t="shared" si="3"/>
        <v>55.451828801084048</v>
      </c>
      <c r="P26" s="23">
        <f t="shared" si="4"/>
        <v>-55.451828801084048</v>
      </c>
      <c r="Q26" s="48">
        <f t="shared" si="5"/>
        <v>4.9585810887017867E-4</v>
      </c>
      <c r="S26">
        <v>304</v>
      </c>
      <c r="T26" s="50">
        <v>160.77775746024599</v>
      </c>
      <c r="U26" s="51">
        <f t="shared" si="6"/>
        <v>2.03820869256957E-3</v>
      </c>
      <c r="V26" s="51">
        <f>SUM($U$5:U26)</f>
        <v>6.2314548348150589E-2</v>
      </c>
      <c r="X26" s="36">
        <v>450</v>
      </c>
      <c r="Y26" s="36">
        <v>0</v>
      </c>
      <c r="Z26" s="46">
        <f t="shared" si="7"/>
        <v>0</v>
      </c>
      <c r="AA26" s="46">
        <f>SUM($Z$5:Z26)</f>
        <v>1</v>
      </c>
      <c r="AB26">
        <f t="shared" si="1"/>
        <v>450</v>
      </c>
    </row>
    <row r="27" spans="1:28" x14ac:dyDescent="0.3">
      <c r="A27" s="2"/>
      <c r="B27" s="2"/>
      <c r="C27" s="1"/>
      <c r="I27">
        <v>23</v>
      </c>
      <c r="J27" s="23">
        <f>$C$5*Data!C25/Data!C24</f>
        <v>10951.92027720359</v>
      </c>
      <c r="K27" s="23">
        <f>$C$6*Data!F25/Data!F24</f>
        <v>9602.0615422513638</v>
      </c>
      <c r="L27" s="23">
        <f>$C$7*Data!I25/Data!I24</f>
        <v>6099.8731617608555</v>
      </c>
      <c r="M27" s="23">
        <f>$C$8*Data!L25/Data!L24</f>
        <v>113.7127083042444</v>
      </c>
      <c r="N27" s="23">
        <f t="shared" si="0"/>
        <v>9974.7968250191443</v>
      </c>
      <c r="O27" s="23">
        <f t="shared" si="3"/>
        <v>-25.203174980855692</v>
      </c>
      <c r="P27" s="23">
        <f t="shared" si="4"/>
        <v>25.203174980855692</v>
      </c>
      <c r="Q27" s="48">
        <f t="shared" si="5"/>
        <v>4.9834985816098372E-4</v>
      </c>
      <c r="S27">
        <v>292</v>
      </c>
      <c r="T27" s="50">
        <v>157.59697152135959</v>
      </c>
      <c r="U27" s="51">
        <f t="shared" si="6"/>
        <v>1.9192237901746382E-3</v>
      </c>
      <c r="V27" s="51">
        <f>SUM($U$5:U27)</f>
        <v>6.4233772138325221E-2</v>
      </c>
      <c r="X27" s="36">
        <v>500</v>
      </c>
      <c r="Y27" s="36">
        <v>0</v>
      </c>
      <c r="Z27" s="46">
        <f t="shared" si="7"/>
        <v>0</v>
      </c>
      <c r="AA27" s="46">
        <f>SUM($Z$5:Z27)</f>
        <v>1</v>
      </c>
      <c r="AB27">
        <f t="shared" si="1"/>
        <v>500</v>
      </c>
    </row>
    <row r="28" spans="1:28" x14ac:dyDescent="0.3">
      <c r="A28" s="2"/>
      <c r="B28" s="1"/>
      <c r="C28" s="1"/>
      <c r="I28">
        <v>24</v>
      </c>
      <c r="J28" s="23">
        <f>$C$5*Data!C26/Data!C25</f>
        <v>10958.963972133297</v>
      </c>
      <c r="K28" s="23">
        <f>$C$6*Data!F26/Data!F25</f>
        <v>9549.3373694764105</v>
      </c>
      <c r="L28" s="23">
        <f>$C$7*Data!I26/Data!I25</f>
        <v>6218.461769925827</v>
      </c>
      <c r="M28" s="23">
        <f>$C$8*Data!L26/Data!L25</f>
        <v>113.5379805363422</v>
      </c>
      <c r="N28" s="23">
        <f t="shared" si="0"/>
        <v>9976.9051342699677</v>
      </c>
      <c r="O28" s="23">
        <f t="shared" si="3"/>
        <v>-23.094865730032325</v>
      </c>
      <c r="P28" s="23">
        <f t="shared" si="4"/>
        <v>23.094865730032325</v>
      </c>
      <c r="Q28" s="48">
        <f t="shared" si="5"/>
        <v>5.0085412880500856E-4</v>
      </c>
      <c r="S28">
        <v>485</v>
      </c>
      <c r="T28" s="50">
        <v>156.82985649326292</v>
      </c>
      <c r="U28" s="51">
        <f t="shared" si="6"/>
        <v>5.0497634484116651E-3</v>
      </c>
      <c r="V28" s="51">
        <f>SUM($U$5:U28)</f>
        <v>6.9283535586736889E-2</v>
      </c>
      <c r="AB28" s="42"/>
    </row>
    <row r="29" spans="1:28" x14ac:dyDescent="0.3">
      <c r="A29" s="2"/>
      <c r="B29" s="1"/>
      <c r="C29" s="1"/>
      <c r="I29">
        <v>25</v>
      </c>
      <c r="J29" s="23">
        <f>$C$5*Data!C27/Data!C26</f>
        <v>11013.441516137418</v>
      </c>
      <c r="K29" s="23">
        <f>$C$6*Data!F27/Data!F26</f>
        <v>9632.2970447484258</v>
      </c>
      <c r="L29" s="23">
        <f>$C$7*Data!I27/Data!I26</f>
        <v>6243.3494566649497</v>
      </c>
      <c r="M29" s="23">
        <f>$C$8*Data!L27/Data!L26</f>
        <v>111.93721670732329</v>
      </c>
      <c r="N29" s="23">
        <f t="shared" si="0"/>
        <v>9998.2377884491398</v>
      </c>
      <c r="O29" s="23">
        <f t="shared" si="3"/>
        <v>-1.7622115508602292</v>
      </c>
      <c r="P29" s="23">
        <f t="shared" si="4"/>
        <v>1.7622115508602292</v>
      </c>
      <c r="Q29" s="48">
        <f t="shared" si="5"/>
        <v>5.033709837236267E-4</v>
      </c>
      <c r="S29">
        <v>490</v>
      </c>
      <c r="T29" s="50">
        <v>156.51117493912352</v>
      </c>
      <c r="U29" s="51">
        <f t="shared" si="6"/>
        <v>5.1779235115623941E-3</v>
      </c>
      <c r="V29" s="51">
        <f>SUM($U$5:U29)</f>
        <v>7.4461459098299279E-2</v>
      </c>
      <c r="AB29" s="42"/>
    </row>
    <row r="30" spans="1:28" x14ac:dyDescent="0.3">
      <c r="A30" s="2"/>
      <c r="B30" s="1"/>
      <c r="C30" s="1"/>
      <c r="I30">
        <v>26</v>
      </c>
      <c r="J30" s="23">
        <f>$C$5*Data!C28/Data!C27</f>
        <v>11040.835498333083</v>
      </c>
      <c r="K30" s="23">
        <f>$C$6*Data!F28/Data!F27</f>
        <v>9587.9890649812569</v>
      </c>
      <c r="L30" s="23">
        <f>$C$7*Data!I28/Data!I27</f>
        <v>6207.3279529534975</v>
      </c>
      <c r="M30" s="23">
        <f>$C$8*Data!L28/Data!L27</f>
        <v>113.21038497946461</v>
      </c>
      <c r="N30" s="23">
        <f t="shared" si="0"/>
        <v>10011.092839921404</v>
      </c>
      <c r="O30" s="23">
        <f t="shared" si="3"/>
        <v>11.092839921404448</v>
      </c>
      <c r="P30" s="23">
        <f t="shared" si="4"/>
        <v>-11.092839921404448</v>
      </c>
      <c r="Q30" s="48">
        <f t="shared" si="5"/>
        <v>5.0590048615439863E-4</v>
      </c>
      <c r="S30">
        <v>249</v>
      </c>
      <c r="T30" s="50">
        <v>152.98155537234743</v>
      </c>
      <c r="U30" s="51">
        <f t="shared" si="6"/>
        <v>1.5470989467225146E-3</v>
      </c>
      <c r="V30" s="51">
        <f>SUM($U$5:U30)</f>
        <v>7.6008558045021796E-2</v>
      </c>
      <c r="AB30" s="42"/>
    </row>
    <row r="31" spans="1:28" x14ac:dyDescent="0.3">
      <c r="A31" s="2"/>
      <c r="B31" s="1"/>
      <c r="C31" s="1"/>
      <c r="I31">
        <v>27</v>
      </c>
      <c r="J31" s="23">
        <f>$C$5*Data!C29/Data!C28</f>
        <v>10865.500505748276</v>
      </c>
      <c r="K31" s="23">
        <f>$C$6*Data!F29/Data!F28</f>
        <v>9603.4909945109339</v>
      </c>
      <c r="L31" s="23">
        <f>$C$7*Data!I29/Data!I28</f>
        <v>6119.5189224661481</v>
      </c>
      <c r="M31" s="23">
        <f>$C$8*Data!L29/Data!L28</f>
        <v>111.99100637029626</v>
      </c>
      <c r="N31" s="23">
        <f t="shared" si="0"/>
        <v>9916.528881847622</v>
      </c>
      <c r="O31" s="23">
        <f t="shared" si="3"/>
        <v>-83.47111815237804</v>
      </c>
      <c r="P31" s="23">
        <f t="shared" si="4"/>
        <v>83.47111815237804</v>
      </c>
      <c r="Q31" s="48">
        <f t="shared" si="5"/>
        <v>5.0844269965266199E-4</v>
      </c>
      <c r="S31">
        <v>370</v>
      </c>
      <c r="T31" s="50">
        <v>152.58539501708401</v>
      </c>
      <c r="U31" s="51">
        <f t="shared" si="6"/>
        <v>2.8374310716526353E-3</v>
      </c>
      <c r="V31" s="51">
        <f>SUM($U$5:U31)</f>
        <v>7.8845989116674425E-2</v>
      </c>
      <c r="AB31" s="42"/>
    </row>
    <row r="32" spans="1:28" x14ac:dyDescent="0.3">
      <c r="A32" s="2"/>
      <c r="B32" s="1"/>
      <c r="C32" s="1"/>
      <c r="I32">
        <v>28</v>
      </c>
      <c r="J32" s="23">
        <f>$C$5*Data!C30/Data!C29</f>
        <v>11038.39254644187</v>
      </c>
      <c r="K32" s="23">
        <f>$C$6*Data!F30/Data!F29</f>
        <v>9610.916684676733</v>
      </c>
      <c r="L32" s="23">
        <f>$C$7*Data!I30/Data!I29</f>
        <v>6221.3087285117163</v>
      </c>
      <c r="M32" s="23">
        <f>$C$8*Data!L30/Data!L29</f>
        <v>112.19520022502786</v>
      </c>
      <c r="N32" s="23">
        <f t="shared" si="0"/>
        <v>10001.629847830502</v>
      </c>
      <c r="O32" s="23">
        <f t="shared" si="3"/>
        <v>1.6298478305016033</v>
      </c>
      <c r="P32" s="23">
        <f t="shared" si="4"/>
        <v>-1.6298478305016033</v>
      </c>
      <c r="Q32" s="48">
        <f t="shared" si="5"/>
        <v>5.1099768809312774E-4</v>
      </c>
      <c r="S32">
        <v>228</v>
      </c>
      <c r="T32" s="50">
        <v>151.05667825214732</v>
      </c>
      <c r="U32" s="51">
        <f t="shared" si="6"/>
        <v>1.3925243116208743E-3</v>
      </c>
      <c r="V32" s="51">
        <f>SUM($U$5:U32)</f>
        <v>8.0238513428295299E-2</v>
      </c>
      <c r="AB32" s="42"/>
    </row>
    <row r="33" spans="9:28" x14ac:dyDescent="0.3">
      <c r="I33">
        <v>29</v>
      </c>
      <c r="J33" s="23">
        <f>$C$5*Data!C31/Data!C30</f>
        <v>11001.735435969254</v>
      </c>
      <c r="K33" s="23">
        <f>$C$6*Data!F31/Data!F30</f>
        <v>9558.6962875901445</v>
      </c>
      <c r="L33" s="23">
        <f>$C$7*Data!I31/Data!I30</f>
        <v>6229.7037137150746</v>
      </c>
      <c r="M33" s="23">
        <f>$C$8*Data!L31/Data!L30</f>
        <v>112.23022542213454</v>
      </c>
      <c r="N33" s="23">
        <f t="shared" si="0"/>
        <v>9973.9824573549377</v>
      </c>
      <c r="O33" s="23">
        <f t="shared" si="3"/>
        <v>-26.017542645062349</v>
      </c>
      <c r="P33" s="23">
        <f t="shared" si="4"/>
        <v>26.017542645062349</v>
      </c>
      <c r="Q33" s="48">
        <f t="shared" si="5"/>
        <v>5.1356551567148501E-4</v>
      </c>
      <c r="S33">
        <v>336</v>
      </c>
      <c r="T33" s="50">
        <v>145.72147568348373</v>
      </c>
      <c r="U33" s="51">
        <f t="shared" si="6"/>
        <v>2.3928201959148893E-3</v>
      </c>
      <c r="V33" s="51">
        <f>SUM($U$5:U33)</f>
        <v>8.2631333624210185E-2</v>
      </c>
      <c r="AB33" s="42"/>
    </row>
    <row r="34" spans="9:28" x14ac:dyDescent="0.3">
      <c r="I34">
        <v>30</v>
      </c>
      <c r="J34" s="23">
        <f>$C$5*Data!C32/Data!C31</f>
        <v>10744.71313114238</v>
      </c>
      <c r="K34" s="23">
        <f>$C$6*Data!F32/Data!F31</f>
        <v>9494.9384912443929</v>
      </c>
      <c r="L34" s="23">
        <f>$C$7*Data!I32/Data!I31</f>
        <v>6109.9632197470673</v>
      </c>
      <c r="M34" s="23">
        <f>$C$8*Data!L32/Data!L31</f>
        <v>113.83518056369839</v>
      </c>
      <c r="N34" s="23">
        <f t="shared" si="0"/>
        <v>9869.9216618086048</v>
      </c>
      <c r="O34" s="23">
        <f t="shared" si="3"/>
        <v>-130.07833819139523</v>
      </c>
      <c r="P34" s="23">
        <f t="shared" si="4"/>
        <v>130.07833819139523</v>
      </c>
      <c r="Q34" s="48">
        <f t="shared" si="5"/>
        <v>5.1614624690601504E-4</v>
      </c>
      <c r="S34">
        <v>499</v>
      </c>
      <c r="T34" s="50">
        <v>142.53549443205702</v>
      </c>
      <c r="U34" s="51">
        <f t="shared" si="6"/>
        <v>5.4168636511962697E-3</v>
      </c>
      <c r="V34" s="51">
        <f>SUM($U$5:U34)</f>
        <v>8.8048197275406456E-2</v>
      </c>
      <c r="AB34" s="42"/>
    </row>
    <row r="35" spans="9:28" x14ac:dyDescent="0.3">
      <c r="I35">
        <v>31</v>
      </c>
      <c r="J35" s="23">
        <f>$C$5*Data!C33/Data!C32</f>
        <v>10790.961785416348</v>
      </c>
      <c r="K35" s="23">
        <f>$C$6*Data!F33/Data!F32</f>
        <v>9364.5399259865862</v>
      </c>
      <c r="L35" s="23">
        <f>$C$7*Data!I33/Data!I32</f>
        <v>6111.127674888241</v>
      </c>
      <c r="M35" s="23">
        <f>$C$8*Data!L33/Data!L32</f>
        <v>113.76581070503667</v>
      </c>
      <c r="N35" s="23">
        <f t="shared" si="0"/>
        <v>9844.9137942045909</v>
      </c>
      <c r="O35" s="23">
        <f t="shared" si="3"/>
        <v>-155.08620579540911</v>
      </c>
      <c r="P35" s="23">
        <f t="shared" si="4"/>
        <v>155.08620579540911</v>
      </c>
      <c r="Q35" s="48">
        <f t="shared" si="5"/>
        <v>5.1873994663921119E-4</v>
      </c>
      <c r="S35">
        <v>135</v>
      </c>
      <c r="T35" s="50">
        <v>139.7373309141276</v>
      </c>
      <c r="U35" s="51">
        <f t="shared" si="6"/>
        <v>8.7367376644093366E-4</v>
      </c>
      <c r="V35" s="51">
        <f>SUM($U$5:U35)</f>
        <v>8.8921871041847386E-2</v>
      </c>
      <c r="AB35" s="42"/>
    </row>
    <row r="36" spans="9:28" x14ac:dyDescent="0.3">
      <c r="I36">
        <v>32</v>
      </c>
      <c r="J36" s="23">
        <f>$C$5*Data!C34/Data!C33</f>
        <v>11321.388902145476</v>
      </c>
      <c r="K36" s="23">
        <f>$C$6*Data!F34/Data!F33</f>
        <v>9675.7493431483472</v>
      </c>
      <c r="L36" s="23">
        <f>$C$7*Data!I34/Data!I33</f>
        <v>6150.2200797146379</v>
      </c>
      <c r="M36" s="23">
        <f>$C$8*Data!L34/Data!L33</f>
        <v>107.63037697904552</v>
      </c>
      <c r="N36" s="23">
        <f t="shared" si="0"/>
        <v>10032.20617731223</v>
      </c>
      <c r="O36" s="23">
        <f t="shared" si="3"/>
        <v>32.206177312229556</v>
      </c>
      <c r="P36" s="23">
        <f t="shared" si="4"/>
        <v>-32.206177312229556</v>
      </c>
      <c r="Q36" s="48">
        <f t="shared" si="5"/>
        <v>5.2134668003940815E-4</v>
      </c>
      <c r="S36">
        <v>437</v>
      </c>
      <c r="T36" s="50">
        <v>136.98427225466185</v>
      </c>
      <c r="U36" s="51">
        <f t="shared" si="6"/>
        <v>3.9698939947224038E-3</v>
      </c>
      <c r="V36" s="51">
        <f>SUM($U$5:U36)</f>
        <v>9.289176503656979E-2</v>
      </c>
      <c r="AB36" s="37"/>
    </row>
    <row r="37" spans="9:28" x14ac:dyDescent="0.3">
      <c r="I37">
        <v>33</v>
      </c>
      <c r="J37" s="23">
        <f>$C$5*Data!C35/Data!C34</f>
        <v>10831.63948619762</v>
      </c>
      <c r="K37" s="23">
        <f>$C$6*Data!F35/Data!F34</f>
        <v>9675.9655114916877</v>
      </c>
      <c r="L37" s="23">
        <f>$C$7*Data!I35/Data!I34</f>
        <v>6280.6585167639996</v>
      </c>
      <c r="M37" s="23">
        <f>$C$8*Data!L35/Data!L34</f>
        <v>113.09930797622634</v>
      </c>
      <c r="N37" s="23">
        <f t="shared" si="0"/>
        <v>9972.5244359295048</v>
      </c>
      <c r="O37" s="23">
        <f t="shared" si="3"/>
        <v>-27.475564070495238</v>
      </c>
      <c r="P37" s="23">
        <f t="shared" si="4"/>
        <v>27.475564070495238</v>
      </c>
      <c r="Q37" s="48">
        <f t="shared" si="5"/>
        <v>5.2396651260242031E-4</v>
      </c>
      <c r="S37">
        <v>408</v>
      </c>
      <c r="T37" s="50">
        <v>136.62167548815887</v>
      </c>
      <c r="U37" s="51">
        <f t="shared" si="6"/>
        <v>3.4327980267700926E-3</v>
      </c>
      <c r="V37" s="51">
        <f>SUM($U$5:U37)</f>
        <v>9.6324563063339877E-2</v>
      </c>
      <c r="AB37" s="37"/>
    </row>
    <row r="38" spans="9:28" x14ac:dyDescent="0.3">
      <c r="I38">
        <v>34</v>
      </c>
      <c r="J38" s="23">
        <f>$C$5*Data!C36/Data!C35</f>
        <v>10989.912430502807</v>
      </c>
      <c r="K38" s="23">
        <f>$C$6*Data!F36/Data!F35</f>
        <v>9360.3592443631878</v>
      </c>
      <c r="L38" s="23">
        <f>$C$7*Data!I36/Data!I35</f>
        <v>6188.8079343202235</v>
      </c>
      <c r="M38" s="23">
        <f>$C$8*Data!L36/Data!L35</f>
        <v>115.49126608293582</v>
      </c>
      <c r="N38" s="23">
        <f t="shared" si="0"/>
        <v>9958.9236670138416</v>
      </c>
      <c r="O38" s="23">
        <f t="shared" si="3"/>
        <v>-41.076332986158377</v>
      </c>
      <c r="P38" s="23">
        <f t="shared" si="4"/>
        <v>41.076332986158377</v>
      </c>
      <c r="Q38" s="48">
        <f t="shared" si="5"/>
        <v>5.2659951015318629E-4</v>
      </c>
      <c r="S38">
        <v>256</v>
      </c>
      <c r="T38" s="50">
        <v>133.91624239557677</v>
      </c>
      <c r="U38" s="51">
        <f t="shared" si="6"/>
        <v>1.6023468289723558E-3</v>
      </c>
      <c r="V38" s="51">
        <f>SUM($U$5:U38)</f>
        <v>9.7926909892312231E-2</v>
      </c>
      <c r="AB38" s="37"/>
    </row>
    <row r="39" spans="9:28" x14ac:dyDescent="0.3">
      <c r="I39">
        <v>35</v>
      </c>
      <c r="J39" s="23">
        <f>$C$5*Data!C37/Data!C36</f>
        <v>11173.830664791178</v>
      </c>
      <c r="K39" s="23">
        <f>$C$6*Data!F37/Data!F36</f>
        <v>9622.5536463302706</v>
      </c>
      <c r="L39" s="23">
        <f>$C$7*Data!I37/Data!I36</f>
        <v>6300.249209746039</v>
      </c>
      <c r="M39" s="23">
        <f>$C$8*Data!L37/Data!L36</f>
        <v>110.85505422829492</v>
      </c>
      <c r="N39" s="23">
        <f t="shared" si="0"/>
        <v>10043.392817476582</v>
      </c>
      <c r="O39" s="23">
        <f t="shared" si="3"/>
        <v>43.392817476582422</v>
      </c>
      <c r="P39" s="23">
        <f t="shared" si="4"/>
        <v>-43.392817476582422</v>
      </c>
      <c r="Q39" s="48">
        <f t="shared" si="5"/>
        <v>5.2924573884742337E-4</v>
      </c>
      <c r="S39">
        <v>459</v>
      </c>
      <c r="T39" s="50">
        <v>133.87470779802788</v>
      </c>
      <c r="U39" s="51">
        <f t="shared" si="6"/>
        <v>4.4327285186102584E-3</v>
      </c>
      <c r="V39" s="51">
        <f>SUM($U$5:U39)</f>
        <v>0.10235963841092249</v>
      </c>
      <c r="AB39" s="37"/>
    </row>
    <row r="40" spans="9:28" x14ac:dyDescent="0.3">
      <c r="I40">
        <v>36</v>
      </c>
      <c r="J40" s="23">
        <f>$C$5*Data!C38/Data!C37</f>
        <v>10775.855578822084</v>
      </c>
      <c r="K40" s="23">
        <f>$C$6*Data!F38/Data!F37</f>
        <v>9627.5619979611456</v>
      </c>
      <c r="L40" s="23">
        <f>$C$7*Data!I38/Data!I37</f>
        <v>6146.6025164062121</v>
      </c>
      <c r="M40" s="23">
        <f>$C$8*Data!L38/Data!L37</f>
        <v>113.2768506117272</v>
      </c>
      <c r="N40" s="23">
        <f t="shared" si="0"/>
        <v>9918.6804674893792</v>
      </c>
      <c r="O40" s="23">
        <f t="shared" si="3"/>
        <v>-81.319532510620775</v>
      </c>
      <c r="P40" s="23">
        <f t="shared" si="4"/>
        <v>81.319532510620775</v>
      </c>
      <c r="Q40" s="48">
        <f t="shared" si="5"/>
        <v>5.3190526517328974E-4</v>
      </c>
      <c r="S40">
        <v>498</v>
      </c>
      <c r="T40" s="50">
        <v>133.74437618429511</v>
      </c>
      <c r="U40" s="51">
        <f t="shared" si="6"/>
        <v>5.389779332940289E-3</v>
      </c>
      <c r="V40" s="51">
        <f>SUM($U$5:U40)</f>
        <v>0.10774941774386278</v>
      </c>
      <c r="AB40" s="37"/>
    </row>
    <row r="41" spans="9:28" x14ac:dyDescent="0.3">
      <c r="I41">
        <v>37</v>
      </c>
      <c r="J41" s="23">
        <f>$C$5*Data!C39/Data!C38</f>
        <v>11161.101806733066</v>
      </c>
      <c r="K41" s="23">
        <f>$C$6*Data!F39/Data!F38</f>
        <v>9389.5124045729117</v>
      </c>
      <c r="L41" s="23">
        <f>$C$7*Data!I39/Data!I38</f>
        <v>6181.3789105251681</v>
      </c>
      <c r="M41" s="23">
        <f>$C$8*Data!L39/Data!L38</f>
        <v>114.74606922143951</v>
      </c>
      <c r="N41" s="23">
        <f t="shared" si="0"/>
        <v>10015.751944281506</v>
      </c>
      <c r="O41" s="23">
        <f t="shared" si="3"/>
        <v>15.751944281506439</v>
      </c>
      <c r="P41" s="23">
        <f t="shared" si="4"/>
        <v>-15.751944281506439</v>
      </c>
      <c r="Q41" s="48">
        <f t="shared" si="5"/>
        <v>5.3457815595305512E-4</v>
      </c>
      <c r="S41">
        <v>366</v>
      </c>
      <c r="T41" s="50">
        <v>131.2871219465178</v>
      </c>
      <c r="U41" s="51">
        <f t="shared" si="6"/>
        <v>2.7811066479381898E-3</v>
      </c>
      <c r="V41" s="51">
        <f>SUM($U$5:U41)</f>
        <v>0.11053052439180097</v>
      </c>
      <c r="AB41" s="37"/>
    </row>
    <row r="42" spans="9:28" x14ac:dyDescent="0.3">
      <c r="I42">
        <v>38</v>
      </c>
      <c r="J42" s="23">
        <f>$C$5*Data!C40/Data!C39</f>
        <v>11149.546465767651</v>
      </c>
      <c r="K42" s="23">
        <f>$C$6*Data!F40/Data!F39</f>
        <v>9705.9995484939645</v>
      </c>
      <c r="L42" s="23">
        <f>$C$7*Data!I40/Data!I39</f>
        <v>6366.548073756855</v>
      </c>
      <c r="M42" s="23">
        <f>$C$8*Data!L40/Data!L39</f>
        <v>112.3238604217436</v>
      </c>
      <c r="N42" s="23">
        <f t="shared" si="0"/>
        <v>10097.387233190371</v>
      </c>
      <c r="O42" s="23">
        <f t="shared" si="3"/>
        <v>97.387233190371262</v>
      </c>
      <c r="P42" s="23">
        <f t="shared" si="4"/>
        <v>-97.387233190371262</v>
      </c>
      <c r="Q42" s="48">
        <f t="shared" si="5"/>
        <v>5.3726447834477901E-4</v>
      </c>
      <c r="S42">
        <v>415</v>
      </c>
      <c r="T42" s="50">
        <v>131.03039933957552</v>
      </c>
      <c r="U42" s="51">
        <f t="shared" si="6"/>
        <v>3.5553854162659339E-3</v>
      </c>
      <c r="V42" s="51">
        <f>SUM($U$5:U42)</f>
        <v>0.1140859098080669</v>
      </c>
      <c r="AB42" s="37"/>
    </row>
    <row r="43" spans="9:28" x14ac:dyDescent="0.3">
      <c r="I43">
        <v>39</v>
      </c>
      <c r="J43" s="23">
        <f>$C$5*Data!C41/Data!C40</f>
        <v>11097.702897165924</v>
      </c>
      <c r="K43" s="23">
        <f>$C$6*Data!F41/Data!F40</f>
        <v>9723.621583500757</v>
      </c>
      <c r="L43" s="23">
        <f>$C$7*Data!I41/Data!I40</f>
        <v>6136.2096696586586</v>
      </c>
      <c r="M43" s="23">
        <f>$C$8*Data!L41/Data!L40</f>
        <v>112.22851879139597</v>
      </c>
      <c r="N43" s="23">
        <f t="shared" si="0"/>
        <v>10045.240596867106</v>
      </c>
      <c r="O43" s="23">
        <f t="shared" si="3"/>
        <v>45.240596867106433</v>
      </c>
      <c r="P43" s="23">
        <f t="shared" si="4"/>
        <v>-45.240596867106433</v>
      </c>
      <c r="Q43" s="48">
        <f t="shared" si="5"/>
        <v>5.399642998439989E-4</v>
      </c>
      <c r="S43">
        <v>375</v>
      </c>
      <c r="T43" s="50">
        <v>129.24069165022593</v>
      </c>
      <c r="U43" s="51">
        <f t="shared" si="6"/>
        <v>2.9094434241209921E-3</v>
      </c>
      <c r="V43" s="51">
        <f>SUM($U$5:U43)</f>
        <v>0.11699535323218789</v>
      </c>
      <c r="AB43" s="37"/>
    </row>
    <row r="44" spans="9:28" x14ac:dyDescent="0.3">
      <c r="I44">
        <v>40</v>
      </c>
      <c r="J44" s="23">
        <f>$C$5*Data!C42/Data!C41</f>
        <v>10780.453703519677</v>
      </c>
      <c r="K44" s="23">
        <f>$C$6*Data!F42/Data!F41</f>
        <v>9758.4148851964164</v>
      </c>
      <c r="L44" s="23">
        <f>$C$7*Data!I42/Data!I41</f>
        <v>6172.3348903868082</v>
      </c>
      <c r="M44" s="23">
        <f>$C$8*Data!L42/Data!L41</f>
        <v>113.24493342177593</v>
      </c>
      <c r="N44" s="23">
        <f t="shared" si="0"/>
        <v>9964.8254474792302</v>
      </c>
      <c r="O44" s="23">
        <f t="shared" si="3"/>
        <v>-35.174552520769794</v>
      </c>
      <c r="P44" s="23">
        <f t="shared" si="4"/>
        <v>35.174552520769794</v>
      </c>
      <c r="Q44" s="48">
        <f t="shared" si="5"/>
        <v>5.4267768828542614E-4</v>
      </c>
      <c r="S44">
        <v>298</v>
      </c>
      <c r="T44" s="50">
        <v>128.27438934693964</v>
      </c>
      <c r="U44" s="51">
        <f t="shared" si="6"/>
        <v>1.9778216836004868E-3</v>
      </c>
      <c r="V44" s="51">
        <f>SUM($U$5:U44)</f>
        <v>0.11897317491578838</v>
      </c>
      <c r="AB44" s="37"/>
    </row>
    <row r="45" spans="9:28" x14ac:dyDescent="0.3">
      <c r="I45">
        <v>41</v>
      </c>
      <c r="J45" s="23">
        <f>$C$5*Data!C43/Data!C42</f>
        <v>11058.835640404748</v>
      </c>
      <c r="K45" s="23">
        <f>$C$6*Data!F43/Data!F42</f>
        <v>9652.6861673677522</v>
      </c>
      <c r="L45" s="23">
        <f>$C$7*Data!I43/Data!I42</f>
        <v>6284.8726481983367</v>
      </c>
      <c r="M45" s="23">
        <f>$C$8*Data!L43/Data!L42</f>
        <v>113.29515035480561</v>
      </c>
      <c r="N45" s="23">
        <f t="shared" si="0"/>
        <v>10051.852351654194</v>
      </c>
      <c r="O45" s="23">
        <f t="shared" si="3"/>
        <v>51.852351654193626</v>
      </c>
      <c r="P45" s="23">
        <f t="shared" si="4"/>
        <v>-51.852351654193626</v>
      </c>
      <c r="Q45" s="48">
        <f t="shared" si="5"/>
        <v>5.4540471184464929E-4</v>
      </c>
      <c r="S45">
        <v>241</v>
      </c>
      <c r="T45" s="50">
        <v>127.9211213055969</v>
      </c>
      <c r="U45" s="51">
        <f t="shared" si="6"/>
        <v>1.4862871958392055E-3</v>
      </c>
      <c r="V45" s="51">
        <f>SUM($U$5:U45)</f>
        <v>0.12045946211162759</v>
      </c>
      <c r="AB45" s="53"/>
    </row>
    <row r="46" spans="9:28" x14ac:dyDescent="0.3">
      <c r="I46">
        <v>42</v>
      </c>
      <c r="J46" s="23">
        <f>$C$5*Data!C44/Data!C43</f>
        <v>11206.425487894525</v>
      </c>
      <c r="K46" s="23">
        <f>$C$6*Data!F44/Data!F43</f>
        <v>9579.2581329774712</v>
      </c>
      <c r="L46" s="23">
        <f>$C$7*Data!I44/Data!I43</f>
        <v>6118.0532243647494</v>
      </c>
      <c r="M46" s="23">
        <f>$C$8*Data!L44/Data!L43</f>
        <v>111.79598372169704</v>
      </c>
      <c r="N46" s="23">
        <f t="shared" si="0"/>
        <v>10028.987070945605</v>
      </c>
      <c r="O46" s="23">
        <f t="shared" si="3"/>
        <v>28.987070945604501</v>
      </c>
      <c r="P46" s="23">
        <f t="shared" si="4"/>
        <v>-28.987070945604501</v>
      </c>
      <c r="Q46" s="48">
        <f t="shared" si="5"/>
        <v>5.4814543903984863E-4</v>
      </c>
      <c r="S46">
        <v>142</v>
      </c>
      <c r="T46" s="50">
        <v>127.69298705638721</v>
      </c>
      <c r="U46" s="51">
        <f t="shared" si="6"/>
        <v>9.0487320942120287E-4</v>
      </c>
      <c r="V46" s="51">
        <f>SUM($U$5:U46)</f>
        <v>0.12136433532104879</v>
      </c>
      <c r="AB46" s="37"/>
    </row>
    <row r="47" spans="9:28" x14ac:dyDescent="0.3">
      <c r="I47">
        <v>43</v>
      </c>
      <c r="J47" s="23">
        <f>$C$5*Data!C45/Data!C44</f>
        <v>10961.159100235558</v>
      </c>
      <c r="K47" s="23">
        <f>$C$6*Data!F45/Data!F44</f>
        <v>9592.7685408656725</v>
      </c>
      <c r="L47" s="23">
        <f>$C$7*Data!I45/Data!I44</f>
        <v>6225.4418702263547</v>
      </c>
      <c r="M47" s="23">
        <f>$C$8*Data!L45/Data!L44</f>
        <v>113.45830962298413</v>
      </c>
      <c r="N47" s="23">
        <f t="shared" si="0"/>
        <v>9990.987572586524</v>
      </c>
      <c r="O47" s="23">
        <f t="shared" si="3"/>
        <v>-9.0124274134759617</v>
      </c>
      <c r="P47" s="23">
        <f t="shared" si="4"/>
        <v>9.0124274134759617</v>
      </c>
      <c r="Q47" s="48">
        <f t="shared" si="5"/>
        <v>5.5089993873351604E-4</v>
      </c>
      <c r="S47">
        <v>429</v>
      </c>
      <c r="T47" s="50">
        <v>125.46235599386819</v>
      </c>
      <c r="U47" s="51">
        <f t="shared" si="6"/>
        <v>3.8138495444617164E-3</v>
      </c>
      <c r="V47" s="51">
        <f>SUM($U$5:U47)</f>
        <v>0.12517818486551049</v>
      </c>
      <c r="AB47" s="37"/>
    </row>
    <row r="48" spans="9:28" x14ac:dyDescent="0.3">
      <c r="I48">
        <v>44</v>
      </c>
      <c r="J48" s="23">
        <f>$C$5*Data!C46/Data!C45</f>
        <v>11113.000262981244</v>
      </c>
      <c r="K48" s="23">
        <f>$C$6*Data!F46/Data!F45</f>
        <v>9446.3446089687877</v>
      </c>
      <c r="L48" s="23">
        <f>$C$7*Data!I46/Data!I45</f>
        <v>6223.3159585846515</v>
      </c>
      <c r="M48" s="23">
        <f>$C$8*Data!L46/Data!L45</f>
        <v>113.50207172748304</v>
      </c>
      <c r="N48" s="23">
        <f t="shared" si="0"/>
        <v>10000.766973020391</v>
      </c>
      <c r="O48" s="23">
        <f t="shared" si="3"/>
        <v>0.76697302039065107</v>
      </c>
      <c r="P48" s="23">
        <f t="shared" si="4"/>
        <v>-0.76697302039065107</v>
      </c>
      <c r="Q48" s="48">
        <f t="shared" si="5"/>
        <v>5.5366828013418711E-4</v>
      </c>
      <c r="S48">
        <v>98</v>
      </c>
      <c r="T48" s="50">
        <v>124.43121451282423</v>
      </c>
      <c r="U48" s="51">
        <f t="shared" si="6"/>
        <v>7.257771367768168E-4</v>
      </c>
      <c r="V48" s="51">
        <f>SUM($U$5:U48)</f>
        <v>0.12590396200228732</v>
      </c>
      <c r="AB48" s="37"/>
    </row>
    <row r="49" spans="9:28" x14ac:dyDescent="0.3">
      <c r="I49">
        <v>45</v>
      </c>
      <c r="J49" s="23">
        <f>$C$5*Data!C47/Data!C46</f>
        <v>10990.243442349023</v>
      </c>
      <c r="K49" s="23">
        <f>$C$6*Data!F47/Data!F46</f>
        <v>9519.8327695319113</v>
      </c>
      <c r="L49" s="23">
        <f>$C$7*Data!I47/Data!I46</f>
        <v>6154.1023981123699</v>
      </c>
      <c r="M49" s="23">
        <f>$C$8*Data!L47/Data!L46</f>
        <v>111.929906647878</v>
      </c>
      <c r="N49" s="23">
        <f t="shared" si="0"/>
        <v>9940.1501978405158</v>
      </c>
      <c r="O49" s="23">
        <f t="shared" si="3"/>
        <v>-59.84980215948417</v>
      </c>
      <c r="P49" s="23">
        <f t="shared" si="4"/>
        <v>59.84980215948417</v>
      </c>
      <c r="Q49" s="48">
        <f t="shared" si="5"/>
        <v>5.5645053279817786E-4</v>
      </c>
      <c r="S49">
        <v>481</v>
      </c>
      <c r="T49" s="50">
        <v>123.34256543069023</v>
      </c>
      <c r="U49" s="51">
        <f t="shared" si="6"/>
        <v>4.9495231222350718E-3</v>
      </c>
      <c r="V49" s="51">
        <f>SUM($U$5:U49)</f>
        <v>0.13085348512452238</v>
      </c>
      <c r="AB49" s="37"/>
    </row>
    <row r="50" spans="9:28" x14ac:dyDescent="0.3">
      <c r="I50">
        <v>46</v>
      </c>
      <c r="J50" s="23">
        <f>$C$5*Data!C48/Data!C47</f>
        <v>11111.438307375221</v>
      </c>
      <c r="K50" s="23">
        <f>$C$6*Data!F48/Data!F47</f>
        <v>9670.6297035434218</v>
      </c>
      <c r="L50" s="23">
        <f>$C$7*Data!I48/Data!I47</f>
        <v>6252.2022886366203</v>
      </c>
      <c r="M50" s="23">
        <f>$C$8*Data!L48/Data!L47</f>
        <v>113.26844842522814</v>
      </c>
      <c r="N50" s="23">
        <f t="shared" si="0"/>
        <v>10070.807302666375</v>
      </c>
      <c r="O50" s="23">
        <f t="shared" si="3"/>
        <v>70.807302666375108</v>
      </c>
      <c r="P50" s="23">
        <f t="shared" si="4"/>
        <v>-70.807302666375108</v>
      </c>
      <c r="Q50" s="48">
        <f t="shared" si="5"/>
        <v>5.592467666313347E-4</v>
      </c>
      <c r="S50">
        <v>488</v>
      </c>
      <c r="T50" s="50">
        <v>123.0999335494671</v>
      </c>
      <c r="U50" s="51">
        <f t="shared" si="6"/>
        <v>5.1262737245345589E-3</v>
      </c>
      <c r="V50" s="51">
        <f>SUM($U$5:U50)</f>
        <v>0.13597975884905694</v>
      </c>
      <c r="AB50" s="37"/>
    </row>
    <row r="51" spans="9:28" x14ac:dyDescent="0.3">
      <c r="I51">
        <v>47</v>
      </c>
      <c r="J51" s="23">
        <f>$C$5*Data!C49/Data!C48</f>
        <v>11139.571745794097</v>
      </c>
      <c r="K51" s="23">
        <f>$C$6*Data!F49/Data!F48</f>
        <v>9734.3635312530951</v>
      </c>
      <c r="L51" s="23">
        <f>$C$7*Data!I49/Data!I48</f>
        <v>6177.6479168148308</v>
      </c>
      <c r="M51" s="23">
        <f>$C$8*Data!L49/Data!L48</f>
        <v>113.96477229284567</v>
      </c>
      <c r="N51" s="23">
        <f t="shared" si="0"/>
        <v>10101.253817156872</v>
      </c>
      <c r="O51" s="23">
        <f t="shared" si="3"/>
        <v>101.25381715687217</v>
      </c>
      <c r="P51" s="23">
        <f t="shared" si="4"/>
        <v>-101.25381715687217</v>
      </c>
      <c r="Q51" s="48">
        <f t="shared" si="5"/>
        <v>5.6205705189078868E-4</v>
      </c>
      <c r="S51">
        <v>451</v>
      </c>
      <c r="T51" s="50">
        <v>123.04408139780935</v>
      </c>
      <c r="U51" s="51">
        <f t="shared" si="6"/>
        <v>4.2584914518873267E-3</v>
      </c>
      <c r="V51" s="51">
        <f>SUM($U$5:U51)</f>
        <v>0.14023825030094428</v>
      </c>
      <c r="AB51" s="37"/>
    </row>
    <row r="52" spans="9:28" x14ac:dyDescent="0.3">
      <c r="I52">
        <v>48</v>
      </c>
      <c r="J52" s="23">
        <f>$C$5*Data!C50/Data!C49</f>
        <v>11031.223363735631</v>
      </c>
      <c r="K52" s="23">
        <f>$C$6*Data!F50/Data!F49</f>
        <v>9509.2060504538749</v>
      </c>
      <c r="L52" s="23">
        <f>$C$7*Data!I50/Data!I49</f>
        <v>6213.7350334375942</v>
      </c>
      <c r="M52" s="23">
        <f>$C$8*Data!L50/Data!L49</f>
        <v>112.75533967516834</v>
      </c>
      <c r="N52" s="23">
        <f t="shared" si="0"/>
        <v>9975.9512980872751</v>
      </c>
      <c r="O52" s="23">
        <f t="shared" si="3"/>
        <v>-24.048701912724937</v>
      </c>
      <c r="P52" s="23">
        <f t="shared" si="4"/>
        <v>24.048701912724937</v>
      </c>
      <c r="Q52" s="48">
        <f t="shared" si="5"/>
        <v>5.6488145918672211E-4</v>
      </c>
      <c r="S52">
        <v>240</v>
      </c>
      <c r="T52" s="50">
        <v>122.93748785324351</v>
      </c>
      <c r="U52" s="51">
        <f t="shared" si="6"/>
        <v>1.4788557598600096E-3</v>
      </c>
      <c r="V52" s="51">
        <f>SUM($U$5:U52)</f>
        <v>0.14171710606080429</v>
      </c>
      <c r="AB52" s="37"/>
    </row>
    <row r="53" spans="9:28" x14ac:dyDescent="0.3">
      <c r="I53">
        <v>49</v>
      </c>
      <c r="J53" s="23">
        <f>$C$5*Data!C51/Data!C50</f>
        <v>10958.946309153758</v>
      </c>
      <c r="K53" s="23">
        <f>$C$6*Data!F51/Data!F50</f>
        <v>9548.1628729047115</v>
      </c>
      <c r="L53" s="23">
        <f>$C$7*Data!I51/Data!I50</f>
        <v>6170.6073435826029</v>
      </c>
      <c r="M53" s="23">
        <f>$C$8*Data!L51/Data!L50</f>
        <v>113.61912427129573</v>
      </c>
      <c r="N53" s="23">
        <f t="shared" si="0"/>
        <v>9970.2521639673723</v>
      </c>
      <c r="O53" s="23">
        <f t="shared" si="3"/>
        <v>-29.747836032627674</v>
      </c>
      <c r="P53" s="23">
        <f t="shared" si="4"/>
        <v>29.747836032627674</v>
      </c>
      <c r="Q53" s="48">
        <f t="shared" si="5"/>
        <v>5.6772005948414284E-4</v>
      </c>
      <c r="S53">
        <v>141</v>
      </c>
      <c r="T53" s="50">
        <v>122.608223349529</v>
      </c>
      <c r="U53" s="51">
        <f t="shared" si="6"/>
        <v>9.0034884337409672E-4</v>
      </c>
      <c r="V53" s="51">
        <f>SUM($U$5:U53)</f>
        <v>0.14261745490417838</v>
      </c>
      <c r="AB53" s="37"/>
    </row>
    <row r="54" spans="9:28" x14ac:dyDescent="0.3">
      <c r="I54">
        <v>50</v>
      </c>
      <c r="J54" s="23">
        <f>$C$5*Data!C52/Data!C51</f>
        <v>10927.969829756472</v>
      </c>
      <c r="K54" s="23">
        <f>$C$6*Data!F52/Data!F51</f>
        <v>9721.058418063436</v>
      </c>
      <c r="L54" s="23">
        <f>$C$7*Data!I52/Data!I51</f>
        <v>6196.4162094939811</v>
      </c>
      <c r="M54" s="23">
        <f>$C$8*Data!L52/Data!L51</f>
        <v>113.9829472642798</v>
      </c>
      <c r="N54" s="23">
        <f t="shared" si="0"/>
        <v>10023.652915855564</v>
      </c>
      <c r="O54" s="23">
        <f t="shared" si="3"/>
        <v>23.652915855564061</v>
      </c>
      <c r="P54" s="23">
        <f t="shared" si="4"/>
        <v>-23.652915855564061</v>
      </c>
      <c r="Q54" s="48">
        <f t="shared" si="5"/>
        <v>5.7057292410466615E-4</v>
      </c>
      <c r="S54">
        <v>296</v>
      </c>
      <c r="T54" s="50">
        <v>121.03198824976062</v>
      </c>
      <c r="U54" s="51">
        <f t="shared" si="6"/>
        <v>1.9580929123065721E-3</v>
      </c>
      <c r="V54" s="51">
        <f>SUM($U$5:U54)</f>
        <v>0.14457554781648496</v>
      </c>
      <c r="AB54" s="37"/>
    </row>
    <row r="55" spans="9:28" x14ac:dyDescent="0.3">
      <c r="I55">
        <v>51</v>
      </c>
      <c r="J55" s="23">
        <f>$C$5*Data!C53/Data!C52</f>
        <v>11022.679787084975</v>
      </c>
      <c r="K55" s="23">
        <f>$C$6*Data!F53/Data!F52</f>
        <v>9503.3581206353792</v>
      </c>
      <c r="L55" s="23">
        <f>$C$7*Data!I53/Data!I52</f>
        <v>6156.0170428808133</v>
      </c>
      <c r="M55" s="23">
        <f>$C$8*Data!L53/Data!L52</f>
        <v>112.47864966106165</v>
      </c>
      <c r="N55" s="23">
        <f t="shared" si="0"/>
        <v>9956.8096153926654</v>
      </c>
      <c r="O55" s="23">
        <f t="shared" si="3"/>
        <v>-43.190384607334636</v>
      </c>
      <c r="P55" s="23">
        <f t="shared" si="4"/>
        <v>43.190384607334636</v>
      </c>
      <c r="Q55" s="48">
        <f t="shared" si="5"/>
        <v>5.734401247283078E-4</v>
      </c>
      <c r="S55">
        <v>427</v>
      </c>
      <c r="T55" s="50">
        <v>121.01042413684809</v>
      </c>
      <c r="U55" s="51">
        <f t="shared" si="6"/>
        <v>3.7758063952557101E-3</v>
      </c>
      <c r="V55" s="51">
        <f>SUM($U$5:U55)</f>
        <v>0.14835135421174067</v>
      </c>
      <c r="AB55" s="37"/>
    </row>
    <row r="56" spans="9:28" x14ac:dyDescent="0.3">
      <c r="I56">
        <v>52</v>
      </c>
      <c r="J56" s="23">
        <f>$C$5*Data!C54/Data!C53</f>
        <v>10874.578648683464</v>
      </c>
      <c r="K56" s="23">
        <f>$C$6*Data!F54/Data!F53</f>
        <v>9550.336987603212</v>
      </c>
      <c r="L56" s="23">
        <f>$C$7*Data!I54/Data!I53</f>
        <v>6137.4214487178688</v>
      </c>
      <c r="M56" s="23">
        <f>$C$8*Data!L54/Data!L53</f>
        <v>112.52408910558449</v>
      </c>
      <c r="N56" s="23">
        <f t="shared" si="0"/>
        <v>9915.5499029449493</v>
      </c>
      <c r="O56" s="23">
        <f t="shared" si="3"/>
        <v>-84.450097055050719</v>
      </c>
      <c r="P56" s="23">
        <f t="shared" si="4"/>
        <v>84.450097055050719</v>
      </c>
      <c r="Q56" s="48">
        <f t="shared" si="5"/>
        <v>5.7632173339528404E-4</v>
      </c>
      <c r="S56">
        <v>469</v>
      </c>
      <c r="T56" s="50">
        <v>120.23273209612489</v>
      </c>
      <c r="U56" s="51">
        <f t="shared" si="6"/>
        <v>4.6605838552465943E-3</v>
      </c>
      <c r="V56" s="51">
        <f>SUM($U$5:U56)</f>
        <v>0.15301193806698726</v>
      </c>
      <c r="AB56" s="37"/>
    </row>
    <row r="57" spans="9:28" x14ac:dyDescent="0.3">
      <c r="I57">
        <v>53</v>
      </c>
      <c r="J57" s="23">
        <f>$C$5*Data!C55/Data!C54</f>
        <v>11042.308177586367</v>
      </c>
      <c r="K57" s="23">
        <f>$C$6*Data!F55/Data!F54</f>
        <v>9550.0797889722162</v>
      </c>
      <c r="L57" s="23">
        <f>$C$7*Data!I55/Data!I54</f>
        <v>6272.5569543152715</v>
      </c>
      <c r="M57" s="23">
        <f>$C$8*Data!L55/Data!L54</f>
        <v>112.76530038775215</v>
      </c>
      <c r="N57" s="23">
        <f t="shared" si="0"/>
        <v>10002.410624777411</v>
      </c>
      <c r="O57" s="23">
        <f t="shared" si="3"/>
        <v>2.4106247774107032</v>
      </c>
      <c r="P57" s="23">
        <f t="shared" si="4"/>
        <v>-2.4106247774107032</v>
      </c>
      <c r="Q57" s="48">
        <f t="shared" si="5"/>
        <v>5.7921782250782328E-4</v>
      </c>
      <c r="S57">
        <v>358</v>
      </c>
      <c r="T57" s="50">
        <v>119.18281433402262</v>
      </c>
      <c r="U57" s="51">
        <f t="shared" si="6"/>
        <v>2.6717898101156208E-3</v>
      </c>
      <c r="V57" s="51">
        <f>SUM($U$5:U57)</f>
        <v>0.15568372787710288</v>
      </c>
      <c r="AB57" s="37"/>
    </row>
    <row r="58" spans="9:28" x14ac:dyDescent="0.3">
      <c r="I58">
        <v>54</v>
      </c>
      <c r="J58" s="23">
        <f>$C$5*Data!C56/Data!C55</f>
        <v>11137.066430829344</v>
      </c>
      <c r="K58" s="23">
        <f>$C$6*Data!F56/Data!F55</f>
        <v>9597.5570956036554</v>
      </c>
      <c r="L58" s="23">
        <f>$C$7*Data!I56/Data!I55</f>
        <v>6251.7901004835321</v>
      </c>
      <c r="M58" s="23">
        <f>$C$8*Data!L56/Data!L55</f>
        <v>114.3015366478425</v>
      </c>
      <c r="N58" s="23">
        <f t="shared" si="0"/>
        <v>10075.519634658702</v>
      </c>
      <c r="O58" s="23">
        <f t="shared" si="3"/>
        <v>75.519634658701762</v>
      </c>
      <c r="P58" s="23">
        <f t="shared" si="4"/>
        <v>-75.519634658701762</v>
      </c>
      <c r="Q58" s="48">
        <f t="shared" si="5"/>
        <v>5.8212846483198313E-4</v>
      </c>
      <c r="S58">
        <v>445</v>
      </c>
      <c r="T58" s="50">
        <v>118.11657607364032</v>
      </c>
      <c r="U58" s="51">
        <f t="shared" si="6"/>
        <v>4.1323230362401127E-3</v>
      </c>
      <c r="V58" s="51">
        <f>SUM($U$5:U58)</f>
        <v>0.159816050913343</v>
      </c>
      <c r="AB58" s="37"/>
    </row>
    <row r="59" spans="9:28" x14ac:dyDescent="0.3">
      <c r="I59">
        <v>55</v>
      </c>
      <c r="J59" s="23">
        <f>$C$5*Data!C57/Data!C56</f>
        <v>11034.334441601404</v>
      </c>
      <c r="K59" s="23">
        <f>$C$6*Data!F57/Data!F56</f>
        <v>9687.2319938613145</v>
      </c>
      <c r="L59" s="23">
        <f>$C$7*Data!I57/Data!I56</f>
        <v>6214.7518700234186</v>
      </c>
      <c r="M59" s="23">
        <f>$C$8*Data!L57/Data!L56</f>
        <v>113.45111073346786</v>
      </c>
      <c r="N59" s="23">
        <f t="shared" si="0"/>
        <v>10045.211974040936</v>
      </c>
      <c r="O59" s="23">
        <f t="shared" si="3"/>
        <v>45.211974040936184</v>
      </c>
      <c r="P59" s="23">
        <f t="shared" si="4"/>
        <v>-45.211974040936184</v>
      </c>
      <c r="Q59" s="48">
        <f t="shared" si="5"/>
        <v>5.8505373349948076E-4</v>
      </c>
      <c r="S59">
        <v>21</v>
      </c>
      <c r="T59" s="50">
        <v>118.08934495997346</v>
      </c>
      <c r="U59" s="51">
        <f t="shared" si="6"/>
        <v>4.9337881832582772E-4</v>
      </c>
      <c r="V59" s="51">
        <f>SUM($U$5:U59)</f>
        <v>0.16030942973166884</v>
      </c>
      <c r="AB59" s="37"/>
    </row>
    <row r="60" spans="9:28" x14ac:dyDescent="0.3">
      <c r="I60">
        <v>56</v>
      </c>
      <c r="J60" s="23">
        <f>$C$5*Data!C58/Data!C57</f>
        <v>10931.816984497917</v>
      </c>
      <c r="K60" s="23">
        <f>$C$6*Data!F58/Data!F57</f>
        <v>9767.2205775434468</v>
      </c>
      <c r="L60" s="23">
        <f>$C$7*Data!I58/Data!I57</f>
        <v>6243.2816878878457</v>
      </c>
      <c r="M60" s="23">
        <f>$C$8*Data!L58/Data!L57</f>
        <v>113.47719129585643</v>
      </c>
      <c r="N60" s="23">
        <f t="shared" si="0"/>
        <v>10038.067827783341</v>
      </c>
      <c r="O60" s="23">
        <f t="shared" si="3"/>
        <v>38.067827783341272</v>
      </c>
      <c r="P60" s="23">
        <f t="shared" si="4"/>
        <v>-38.067827783341272</v>
      </c>
      <c r="Q60" s="48">
        <f t="shared" si="5"/>
        <v>5.8799370200952829E-4</v>
      </c>
      <c r="S60">
        <v>302</v>
      </c>
      <c r="T60" s="50">
        <v>117.99525083352819</v>
      </c>
      <c r="U60" s="51">
        <f t="shared" si="6"/>
        <v>2.0178775608611882E-3</v>
      </c>
      <c r="V60" s="51">
        <f>SUM($U$5:U60)</f>
        <v>0.16232730729253003</v>
      </c>
      <c r="AB60" s="37"/>
    </row>
    <row r="61" spans="9:28" x14ac:dyDescent="0.3">
      <c r="I61">
        <v>57</v>
      </c>
      <c r="J61" s="23">
        <f>$C$5*Data!C59/Data!C58</f>
        <v>11050.155732189085</v>
      </c>
      <c r="K61" s="23">
        <f>$C$6*Data!F59/Data!F58</f>
        <v>9586.7226692437453</v>
      </c>
      <c r="L61" s="23">
        <f>$C$7*Data!I59/Data!I58</f>
        <v>6120.6831905120771</v>
      </c>
      <c r="M61" s="23">
        <f>$C$8*Data!L59/Data!L58</f>
        <v>113.8914695923265</v>
      </c>
      <c r="N61" s="23">
        <f t="shared" si="0"/>
        <v>10012.179011484868</v>
      </c>
      <c r="O61" s="23">
        <f t="shared" si="3"/>
        <v>12.17901148486817</v>
      </c>
      <c r="P61" s="23">
        <f t="shared" si="4"/>
        <v>-12.17901148486817</v>
      </c>
      <c r="Q61" s="48">
        <f t="shared" si="5"/>
        <v>5.9094844423068153E-4</v>
      </c>
      <c r="S61">
        <v>225</v>
      </c>
      <c r="T61" s="50">
        <v>117.81808259283571</v>
      </c>
      <c r="U61" s="51">
        <f t="shared" si="6"/>
        <v>1.371740712204394E-3</v>
      </c>
      <c r="V61" s="51">
        <f>SUM($U$5:U61)</f>
        <v>0.16369904800473442</v>
      </c>
      <c r="AB61" s="37"/>
    </row>
    <row r="62" spans="9:28" x14ac:dyDescent="0.3">
      <c r="I62">
        <v>58</v>
      </c>
      <c r="J62" s="23">
        <f>$C$5*Data!C60/Data!C59</f>
        <v>10942.636539208275</v>
      </c>
      <c r="K62" s="23">
        <f>$C$6*Data!F60/Data!F59</f>
        <v>9586.704560877939</v>
      </c>
      <c r="L62" s="23">
        <f>$C$7*Data!I60/Data!I59</f>
        <v>6262.5830254643461</v>
      </c>
      <c r="M62" s="23">
        <f>$C$8*Data!L60/Data!L59</f>
        <v>113.09672393430837</v>
      </c>
      <c r="N62" s="23">
        <f t="shared" si="0"/>
        <v>9981.9508521411099</v>
      </c>
      <c r="O62" s="23">
        <f t="shared" si="3"/>
        <v>-18.049147858890137</v>
      </c>
      <c r="P62" s="23">
        <f t="shared" si="4"/>
        <v>18.049147858890137</v>
      </c>
      <c r="Q62" s="48">
        <f t="shared" si="5"/>
        <v>5.9391803440269513E-4</v>
      </c>
      <c r="S62">
        <v>334</v>
      </c>
      <c r="T62" s="50">
        <v>117.38142640045953</v>
      </c>
      <c r="U62" s="51">
        <f t="shared" si="6"/>
        <v>2.368951814460638E-3</v>
      </c>
      <c r="V62" s="51">
        <f>SUM($U$5:U62)</f>
        <v>0.16606799981919507</v>
      </c>
      <c r="AB62" s="37"/>
    </row>
    <row r="63" spans="9:28" x14ac:dyDescent="0.3">
      <c r="I63">
        <v>59</v>
      </c>
      <c r="J63" s="23">
        <f>$C$5*Data!C61/Data!C60</f>
        <v>10997.219864832074</v>
      </c>
      <c r="K63" s="23">
        <f>$C$6*Data!F61/Data!F60</f>
        <v>9471.631049827176</v>
      </c>
      <c r="L63" s="23">
        <f>$C$7*Data!I61/Data!I60</f>
        <v>6251.4174062975544</v>
      </c>
      <c r="M63" s="23">
        <f>$C$8*Data!L61/Data!L60</f>
        <v>112.78786726870791</v>
      </c>
      <c r="N63" s="23">
        <f t="shared" si="0"/>
        <v>9958.522856203268</v>
      </c>
      <c r="O63" s="23">
        <f t="shared" si="3"/>
        <v>-41.47714379673198</v>
      </c>
      <c r="P63" s="23">
        <f t="shared" si="4"/>
        <v>41.47714379673198</v>
      </c>
      <c r="Q63" s="48">
        <f t="shared" si="5"/>
        <v>5.9690254713838696E-4</v>
      </c>
      <c r="S63">
        <v>132</v>
      </c>
      <c r="T63" s="50">
        <v>113.97078774600413</v>
      </c>
      <c r="U63" s="51">
        <f t="shared" si="6"/>
        <v>8.6063407626758197E-4</v>
      </c>
      <c r="V63" s="51">
        <f>SUM($U$5:U63)</f>
        <v>0.16692863389546264</v>
      </c>
      <c r="AB63" s="37"/>
    </row>
    <row r="64" spans="9:28" x14ac:dyDescent="0.3">
      <c r="I64">
        <v>60</v>
      </c>
      <c r="J64" s="23">
        <f>$C$5*Data!C62/Data!C61</f>
        <v>11163.265585723489</v>
      </c>
      <c r="K64" s="23">
        <f>$C$6*Data!F62/Data!F61</f>
        <v>9477.3813537944006</v>
      </c>
      <c r="L64" s="23">
        <f>$C$7*Data!I62/Data!I61</f>
        <v>6181.6153050263692</v>
      </c>
      <c r="M64" s="23">
        <f>$C$8*Data!L62/Data!L61</f>
        <v>111.45577989514791</v>
      </c>
      <c r="N64" s="23">
        <f t="shared" si="0"/>
        <v>9985.7076357727292</v>
      </c>
      <c r="O64" s="23">
        <f t="shared" si="3"/>
        <v>-14.292364227270809</v>
      </c>
      <c r="P64" s="23">
        <f t="shared" si="4"/>
        <v>14.292364227270809</v>
      </c>
      <c r="Q64" s="48">
        <f t="shared" si="5"/>
        <v>5.9990205742551468E-4</v>
      </c>
      <c r="S64">
        <v>465</v>
      </c>
      <c r="T64" s="50">
        <v>113.09410090882193</v>
      </c>
      <c r="U64" s="51">
        <f t="shared" si="6"/>
        <v>4.5680689383408865E-3</v>
      </c>
      <c r="V64" s="51">
        <f>SUM($U$5:U64)</f>
        <v>0.17149670283380353</v>
      </c>
      <c r="AB64" s="37"/>
    </row>
    <row r="65" spans="9:28" x14ac:dyDescent="0.3">
      <c r="I65">
        <v>61</v>
      </c>
      <c r="J65" s="23">
        <f>$C$5*Data!C63/Data!C62</f>
        <v>11060.173683051313</v>
      </c>
      <c r="K65" s="23">
        <f>$C$6*Data!F63/Data!F62</f>
        <v>9621.6345492058135</v>
      </c>
      <c r="L65" s="23">
        <f>$C$7*Data!I63/Data!I62</f>
        <v>6219.9616277879913</v>
      </c>
      <c r="M65" s="23">
        <f>$C$8*Data!L63/Data!L62</f>
        <v>113.68204876333802</v>
      </c>
      <c r="N65" s="23">
        <f t="shared" si="0"/>
        <v>10039.023910679211</v>
      </c>
      <c r="O65" s="23">
        <f t="shared" si="3"/>
        <v>39.02391067921053</v>
      </c>
      <c r="P65" s="23">
        <f t="shared" si="4"/>
        <v>-39.02391067921053</v>
      </c>
      <c r="Q65" s="48">
        <f t="shared" si="5"/>
        <v>6.0291664062865776E-4</v>
      </c>
      <c r="S65">
        <v>371</v>
      </c>
      <c r="T65" s="50">
        <v>112.44478436864847</v>
      </c>
      <c r="U65" s="51">
        <f t="shared" si="6"/>
        <v>2.8516895192488801E-3</v>
      </c>
      <c r="V65" s="51">
        <f>SUM($U$5:U65)</f>
        <v>0.17434839235305241</v>
      </c>
      <c r="AB65" s="37"/>
    </row>
    <row r="66" spans="9:28" x14ac:dyDescent="0.3">
      <c r="I66">
        <v>62</v>
      </c>
      <c r="J66" s="23">
        <f>$C$5*Data!C64/Data!C63</f>
        <v>11019.132085143761</v>
      </c>
      <c r="K66" s="23">
        <f>$C$6*Data!F64/Data!F63</f>
        <v>9730.6582860394774</v>
      </c>
      <c r="L66" s="23">
        <f>$C$7*Data!I64/Data!I63</f>
        <v>6199.4427496831422</v>
      </c>
      <c r="M66" s="23">
        <f>$C$8*Data!L64/Data!L63</f>
        <v>112.35838811633813</v>
      </c>
      <c r="N66" s="23">
        <f t="shared" si="0"/>
        <v>10031.425997423397</v>
      </c>
      <c r="O66" s="23">
        <f t="shared" si="3"/>
        <v>31.425997423397348</v>
      </c>
      <c r="P66" s="23">
        <f t="shared" si="4"/>
        <v>-31.425997423397348</v>
      </c>
      <c r="Q66" s="48">
        <f t="shared" si="5"/>
        <v>6.0594637249111348E-4</v>
      </c>
      <c r="S66">
        <v>254</v>
      </c>
      <c r="T66" s="50">
        <v>112.42275590582722</v>
      </c>
      <c r="U66" s="51">
        <f t="shared" si="6"/>
        <v>1.5863634193533564E-3</v>
      </c>
      <c r="V66" s="51">
        <f>SUM($U$5:U66)</f>
        <v>0.17593475577240578</v>
      </c>
      <c r="AB66" s="37"/>
    </row>
    <row r="67" spans="9:28" x14ac:dyDescent="0.3">
      <c r="I67">
        <v>63</v>
      </c>
      <c r="J67" s="23">
        <f>$C$5*Data!C65/Data!C64</f>
        <v>11128.778011806126</v>
      </c>
      <c r="K67" s="23">
        <f>$C$6*Data!F65/Data!F64</f>
        <v>9641.998297326445</v>
      </c>
      <c r="L67" s="23">
        <f>$C$7*Data!I65/Data!I64</f>
        <v>6199.6152695761739</v>
      </c>
      <c r="M67" s="23">
        <f>$C$8*Data!L65/Data!L64</f>
        <v>112.46922291720476</v>
      </c>
      <c r="N67" s="23">
        <f t="shared" si="0"/>
        <v>10045.503498612603</v>
      </c>
      <c r="O67" s="23">
        <f t="shared" si="3"/>
        <v>45.503498612602925</v>
      </c>
      <c r="P67" s="23">
        <f t="shared" si="4"/>
        <v>-45.503498612602925</v>
      </c>
      <c r="Q67" s="48">
        <f t="shared" si="5"/>
        <v>6.0899132913679738E-4</v>
      </c>
      <c r="S67">
        <v>233</v>
      </c>
      <c r="T67" s="50">
        <v>108.81012583367192</v>
      </c>
      <c r="U67" s="51">
        <f t="shared" si="6"/>
        <v>1.4278657697979677E-3</v>
      </c>
      <c r="V67" s="51">
        <f>SUM($U$5:U67)</f>
        <v>0.17736262154220375</v>
      </c>
      <c r="AB67" s="37"/>
    </row>
    <row r="68" spans="9:28" x14ac:dyDescent="0.3">
      <c r="I68">
        <v>64</v>
      </c>
      <c r="J68" s="23">
        <f>$C$5*Data!C66/Data!C65</f>
        <v>11125.343796148578</v>
      </c>
      <c r="K68" s="23">
        <f>$C$6*Data!F66/Data!F65</f>
        <v>9685.7488365714707</v>
      </c>
      <c r="L68" s="23">
        <f>$C$7*Data!I66/Data!I65</f>
        <v>6159.086195374096</v>
      </c>
      <c r="M68" s="23">
        <f>$C$8*Data!L66/Data!L65</f>
        <v>113.81967652028884</v>
      </c>
      <c r="N68" s="23">
        <f t="shared" si="0"/>
        <v>10075.332368974681</v>
      </c>
      <c r="O68" s="23">
        <f t="shared" si="3"/>
        <v>75.332368974681231</v>
      </c>
      <c r="P68" s="23">
        <f t="shared" si="4"/>
        <v>-75.332368974681231</v>
      </c>
      <c r="Q68" s="48">
        <f t="shared" si="5"/>
        <v>6.120515870721581E-4</v>
      </c>
      <c r="S68">
        <v>194</v>
      </c>
      <c r="T68" s="50">
        <v>106.08073291957771</v>
      </c>
      <c r="U68" s="51">
        <f t="shared" si="6"/>
        <v>1.1743229040655351E-3</v>
      </c>
      <c r="V68" s="51">
        <f>SUM($U$5:U68)</f>
        <v>0.17853694444626927</v>
      </c>
      <c r="AB68" s="37"/>
    </row>
    <row r="69" spans="9:28" x14ac:dyDescent="0.3">
      <c r="I69">
        <v>65</v>
      </c>
      <c r="J69" s="23">
        <f>$C$5*Data!C67/Data!C66</f>
        <v>11040.881223317923</v>
      </c>
      <c r="K69" s="23">
        <f>$C$6*Data!F67/Data!F66</f>
        <v>9697.3767084201609</v>
      </c>
      <c r="L69" s="23">
        <f>$C$7*Data!I67/Data!I66</f>
        <v>6176.0191676688164</v>
      </c>
      <c r="M69" s="23">
        <f>$C$8*Data!L67/Data!L66</f>
        <v>111.71320540078179</v>
      </c>
      <c r="N69" s="23">
        <f t="shared" ref="N69:N132" si="8">MMULT(J69:M69,$D$5:$D$8)</f>
        <v>10013.703420104413</v>
      </c>
      <c r="O69" s="23">
        <f t="shared" si="3"/>
        <v>13.703420104413453</v>
      </c>
      <c r="P69" s="23">
        <f t="shared" si="4"/>
        <v>-13.703420104413453</v>
      </c>
      <c r="Q69" s="48">
        <f t="shared" si="5"/>
        <v>6.1512722318809868E-4</v>
      </c>
      <c r="S69">
        <v>350</v>
      </c>
      <c r="T69" s="50">
        <v>105.65210020491941</v>
      </c>
      <c r="U69" s="51">
        <f t="shared" si="6"/>
        <v>2.5667698844738145E-3</v>
      </c>
      <c r="V69" s="51">
        <f>SUM($U$5:U69)</f>
        <v>0.1811037143307431</v>
      </c>
      <c r="AB69" s="37"/>
    </row>
    <row r="70" spans="9:28" x14ac:dyDescent="0.3">
      <c r="I70">
        <v>66</v>
      </c>
      <c r="J70" s="23">
        <f>$C$5*Data!C68/Data!C67</f>
        <v>11031.797874466996</v>
      </c>
      <c r="K70" s="23">
        <f>$C$6*Data!F68/Data!F67</f>
        <v>9729.1489976312478</v>
      </c>
      <c r="L70" s="23">
        <f>$C$7*Data!I68/Data!I67</f>
        <v>6161.6747495937507</v>
      </c>
      <c r="M70" s="23">
        <f>$C$8*Data!L68/Data!L67</f>
        <v>113.6322721469122</v>
      </c>
      <c r="N70" s="23">
        <f t="shared" si="8"/>
        <v>10052.041807418727</v>
      </c>
      <c r="O70" s="23">
        <f t="shared" ref="O70:O133" si="9">N70-$B$9</f>
        <v>52.041807418727331</v>
      </c>
      <c r="P70" s="23">
        <f t="shared" ref="P70:P133" si="10">-O70</f>
        <v>-52.041807418727331</v>
      </c>
      <c r="Q70" s="48">
        <f t="shared" ref="Q70:Q133" si="11">$Q$2^(500-I70)*(1-$Q$2)/(1-$Q$2^500)</f>
        <v>6.1821831476190818E-4</v>
      </c>
      <c r="S70">
        <v>364</v>
      </c>
      <c r="T70" s="50">
        <v>104.89806083192889</v>
      </c>
      <c r="U70" s="51">
        <f t="shared" ref="U70:U133" si="12">$Q$2^(500-S70)*(1-$Q$2)/(1-$Q$2^500)</f>
        <v>2.7533651091250061E-3</v>
      </c>
      <c r="V70" s="51">
        <f>SUM($U$5:U70)</f>
        <v>0.18385707943986809</v>
      </c>
      <c r="AB70" s="37"/>
    </row>
    <row r="71" spans="9:28" x14ac:dyDescent="0.3">
      <c r="I71">
        <v>67</v>
      </c>
      <c r="J71" s="23">
        <f>$C$5*Data!C69/Data!C68</f>
        <v>10946.645517860536</v>
      </c>
      <c r="K71" s="23">
        <f>$C$6*Data!F69/Data!F68</f>
        <v>9481.486222585514</v>
      </c>
      <c r="L71" s="23">
        <f>$C$7*Data!I69/Data!I68</f>
        <v>6322.4705171533024</v>
      </c>
      <c r="M71" s="23">
        <f>$C$8*Data!L69/Data!L68</f>
        <v>113.77495880188962</v>
      </c>
      <c r="N71" s="23">
        <f t="shared" si="8"/>
        <v>9972.2064051764428</v>
      </c>
      <c r="O71" s="23">
        <f t="shared" si="9"/>
        <v>-27.793594823557214</v>
      </c>
      <c r="P71" s="23">
        <f t="shared" si="10"/>
        <v>27.793594823557214</v>
      </c>
      <c r="Q71" s="48">
        <f t="shared" si="11"/>
        <v>6.2132493945920425E-4</v>
      </c>
      <c r="S71">
        <v>472</v>
      </c>
      <c r="T71" s="50">
        <v>103.14199662658939</v>
      </c>
      <c r="U71" s="51">
        <f t="shared" si="12"/>
        <v>4.7311975703842758E-3</v>
      </c>
      <c r="V71" s="51">
        <f>SUM($U$5:U71)</f>
        <v>0.18858827701025238</v>
      </c>
      <c r="AB71" s="37"/>
    </row>
    <row r="72" spans="9:28" x14ac:dyDescent="0.3">
      <c r="I72">
        <v>68</v>
      </c>
      <c r="J72" s="23">
        <f>$C$5*Data!C70/Data!C69</f>
        <v>11066.81575541265</v>
      </c>
      <c r="K72" s="23">
        <f>$C$6*Data!F70/Data!F69</f>
        <v>9587.0079235871926</v>
      </c>
      <c r="L72" s="23">
        <f>$C$7*Data!I70/Data!I69</f>
        <v>6199.4015709609012</v>
      </c>
      <c r="M72" s="23">
        <f>$C$8*Data!L70/Data!L69</f>
        <v>113.33524335438386</v>
      </c>
      <c r="N72" s="23">
        <f t="shared" si="8"/>
        <v>10021.149687750059</v>
      </c>
      <c r="O72" s="23">
        <f t="shared" si="9"/>
        <v>21.149687750059456</v>
      </c>
      <c r="P72" s="23">
        <f t="shared" si="10"/>
        <v>-21.149687750059456</v>
      </c>
      <c r="Q72" s="48">
        <f t="shared" si="11"/>
        <v>6.244471753358836E-4</v>
      </c>
      <c r="S72">
        <v>453</v>
      </c>
      <c r="T72" s="50">
        <v>102.16532099117103</v>
      </c>
      <c r="U72" s="51">
        <f t="shared" si="12"/>
        <v>4.3013978958989186E-3</v>
      </c>
      <c r="V72" s="51">
        <f>SUM($U$5:U72)</f>
        <v>0.1928896749061513</v>
      </c>
      <c r="AB72" s="37"/>
    </row>
    <row r="73" spans="9:28" x14ac:dyDescent="0.3">
      <c r="I73">
        <v>69</v>
      </c>
      <c r="J73" s="23">
        <f>$C$5*Data!C71/Data!C70</f>
        <v>11012.626524434303</v>
      </c>
      <c r="K73" s="23">
        <f>$C$6*Data!F71/Data!F70</f>
        <v>9548.0423619308585</v>
      </c>
      <c r="L73" s="23">
        <f>$C$7*Data!I71/Data!I70</f>
        <v>6208.9405234567066</v>
      </c>
      <c r="M73" s="23">
        <f>$C$8*Data!L71/Data!L70</f>
        <v>113.00702804047664</v>
      </c>
      <c r="N73" s="23">
        <f t="shared" si="8"/>
        <v>9985.0272476417522</v>
      </c>
      <c r="O73" s="23">
        <f t="shared" si="9"/>
        <v>-14.972752358247817</v>
      </c>
      <c r="P73" s="23">
        <f t="shared" si="10"/>
        <v>14.972752358247817</v>
      </c>
      <c r="Q73" s="48">
        <f t="shared" si="11"/>
        <v>6.2758510084008417E-4</v>
      </c>
      <c r="S73">
        <v>20</v>
      </c>
      <c r="T73" s="50">
        <v>101.20088325966572</v>
      </c>
      <c r="U73" s="51">
        <f t="shared" si="12"/>
        <v>4.9091192423419863E-4</v>
      </c>
      <c r="V73" s="51">
        <f>SUM($U$5:U73)</f>
        <v>0.1933805868303855</v>
      </c>
      <c r="AB73" s="37"/>
    </row>
    <row r="74" spans="9:28" x14ac:dyDescent="0.3">
      <c r="I74">
        <v>70</v>
      </c>
      <c r="J74" s="23">
        <f>$C$5*Data!C72/Data!C71</f>
        <v>10993.047789902264</v>
      </c>
      <c r="K74" s="23">
        <f>$C$6*Data!F72/Data!F71</f>
        <v>9632.7106960420751</v>
      </c>
      <c r="L74" s="23">
        <f>$C$7*Data!I72/Data!I71</f>
        <v>6243.521599180498</v>
      </c>
      <c r="M74" s="23">
        <f>$C$8*Data!L72/Data!L71</f>
        <v>111.84855207012858</v>
      </c>
      <c r="N74" s="23">
        <f t="shared" si="8"/>
        <v>9989.4220012152255</v>
      </c>
      <c r="O74" s="23">
        <f t="shared" si="9"/>
        <v>-10.577998784774536</v>
      </c>
      <c r="P74" s="23">
        <f t="shared" si="10"/>
        <v>10.577998784774536</v>
      </c>
      <c r="Q74" s="48">
        <f t="shared" si="11"/>
        <v>6.3073879481415497E-4</v>
      </c>
      <c r="S74">
        <v>461</v>
      </c>
      <c r="T74" s="50">
        <v>100.80099496688126</v>
      </c>
      <c r="U74" s="51">
        <f t="shared" si="12"/>
        <v>4.4773904887353945E-3</v>
      </c>
      <c r="V74" s="51">
        <f>SUM($U$5:U74)</f>
        <v>0.19785797731912089</v>
      </c>
      <c r="AB74" s="37"/>
    </row>
    <row r="75" spans="9:28" x14ac:dyDescent="0.3">
      <c r="I75">
        <v>71</v>
      </c>
      <c r="J75" s="23">
        <f>$C$5*Data!C73/Data!C72</f>
        <v>11103.477234477874</v>
      </c>
      <c r="K75" s="23">
        <f>$C$6*Data!F73/Data!F72</f>
        <v>9657.5447857811596</v>
      </c>
      <c r="L75" s="23">
        <f>$C$7*Data!I73/Data!I72</f>
        <v>6117.8488642226139</v>
      </c>
      <c r="M75" s="23">
        <f>$C$8*Data!L73/Data!L72</f>
        <v>113.69310844646732</v>
      </c>
      <c r="N75" s="23">
        <f t="shared" si="8"/>
        <v>10049.688514878746</v>
      </c>
      <c r="O75" s="23">
        <f t="shared" si="9"/>
        <v>49.688514878745991</v>
      </c>
      <c r="P75" s="23">
        <f t="shared" si="10"/>
        <v>-49.688514878745991</v>
      </c>
      <c r="Q75" s="48">
        <f t="shared" si="11"/>
        <v>6.3390833649663804E-4</v>
      </c>
      <c r="S75">
        <v>351</v>
      </c>
      <c r="T75" s="50">
        <v>100.48137997735466</v>
      </c>
      <c r="U75" s="51">
        <f t="shared" si="12"/>
        <v>2.5796682256018231E-3</v>
      </c>
      <c r="V75" s="51">
        <f>SUM($U$5:U75)</f>
        <v>0.20043764554472271</v>
      </c>
      <c r="AB75" s="37"/>
    </row>
    <row r="76" spans="9:28" x14ac:dyDescent="0.3">
      <c r="I76">
        <v>72</v>
      </c>
      <c r="J76" s="23">
        <f>$C$5*Data!C74/Data!C73</f>
        <v>10987.497442828049</v>
      </c>
      <c r="K76" s="23">
        <f>$C$6*Data!F74/Data!F73</f>
        <v>9425.1053105356332</v>
      </c>
      <c r="L76" s="23">
        <f>$C$7*Data!I74/Data!I73</f>
        <v>6168.9605673439401</v>
      </c>
      <c r="M76" s="23">
        <f>$C$8*Data!L74/Data!L73</f>
        <v>114.51985692166856</v>
      </c>
      <c r="N76" s="23">
        <f t="shared" si="8"/>
        <v>9957.8594335391026</v>
      </c>
      <c r="O76" s="23">
        <f t="shared" si="9"/>
        <v>-42.140566460897389</v>
      </c>
      <c r="P76" s="23">
        <f t="shared" si="10"/>
        <v>42.140566460897389</v>
      </c>
      <c r="Q76" s="48">
        <f t="shared" si="11"/>
        <v>6.3709380552425931E-4</v>
      </c>
      <c r="S76">
        <v>193</v>
      </c>
      <c r="T76" s="50">
        <v>99.966077181925357</v>
      </c>
      <c r="U76" s="51">
        <f t="shared" si="12"/>
        <v>1.1684512895452075E-3</v>
      </c>
      <c r="V76" s="51">
        <f>SUM($U$5:U76)</f>
        <v>0.20160609683426792</v>
      </c>
      <c r="AB76" s="37"/>
    </row>
    <row r="77" spans="9:28" x14ac:dyDescent="0.3">
      <c r="I77">
        <v>73</v>
      </c>
      <c r="J77" s="23">
        <f>$C$5*Data!C75/Data!C74</f>
        <v>11057.864170131963</v>
      </c>
      <c r="K77" s="23">
        <f>$C$6*Data!F75/Data!F74</f>
        <v>9629.5660622589112</v>
      </c>
      <c r="L77" s="23">
        <f>$C$7*Data!I75/Data!I74</f>
        <v>6264.7860095181986</v>
      </c>
      <c r="M77" s="23">
        <f>$C$8*Data!L75/Data!L74</f>
        <v>113.9188195709213</v>
      </c>
      <c r="N77" s="23">
        <f t="shared" si="8"/>
        <v>10052.090910776058</v>
      </c>
      <c r="O77" s="23">
        <f t="shared" si="9"/>
        <v>52.090910776058081</v>
      </c>
      <c r="P77" s="23">
        <f t="shared" si="10"/>
        <v>-52.090910776058081</v>
      </c>
      <c r="Q77" s="48">
        <f t="shared" si="11"/>
        <v>6.4029528193392882E-4</v>
      </c>
      <c r="S77">
        <v>175</v>
      </c>
      <c r="T77" s="50">
        <v>99.588270163307243</v>
      </c>
      <c r="U77" s="51">
        <f t="shared" si="12"/>
        <v>1.0676430213509627E-3</v>
      </c>
      <c r="V77" s="51">
        <f>SUM($U$5:U77)</f>
        <v>0.20267373985561887</v>
      </c>
      <c r="AB77" s="37"/>
    </row>
    <row r="78" spans="9:28" x14ac:dyDescent="0.3">
      <c r="I78">
        <v>74</v>
      </c>
      <c r="J78" s="23">
        <f>$C$5*Data!C76/Data!C75</f>
        <v>10999.760020645434</v>
      </c>
      <c r="K78" s="23">
        <f>$C$6*Data!F76/Data!F75</f>
        <v>9546.1037668496301</v>
      </c>
      <c r="L78" s="23">
        <f>$C$7*Data!I76/Data!I75</f>
        <v>6141.1854517659322</v>
      </c>
      <c r="M78" s="23">
        <f>$C$8*Data!L76/Data!L75</f>
        <v>112.39285723815189</v>
      </c>
      <c r="N78" s="23">
        <f t="shared" si="8"/>
        <v>9957.9371082918515</v>
      </c>
      <c r="O78" s="23">
        <f t="shared" si="9"/>
        <v>-42.062891708148527</v>
      </c>
      <c r="P78" s="23">
        <f t="shared" si="10"/>
        <v>42.062891708148527</v>
      </c>
      <c r="Q78" s="48">
        <f t="shared" si="11"/>
        <v>6.4351284616475269E-4</v>
      </c>
      <c r="S78">
        <v>318</v>
      </c>
      <c r="T78" s="50">
        <v>98.372581884141255</v>
      </c>
      <c r="U78" s="51">
        <f t="shared" si="12"/>
        <v>2.1863793607609637E-3</v>
      </c>
      <c r="V78" s="51">
        <f>SUM($U$5:U78)</f>
        <v>0.20486011921637984</v>
      </c>
      <c r="AB78" s="37"/>
    </row>
    <row r="79" spans="9:28" x14ac:dyDescent="0.3">
      <c r="I79">
        <v>75</v>
      </c>
      <c r="J79" s="23">
        <f>$C$5*Data!C77/Data!C76</f>
        <v>10996.078573466833</v>
      </c>
      <c r="K79" s="23">
        <f>$C$6*Data!F77/Data!F76</f>
        <v>9663.9920150218277</v>
      </c>
      <c r="L79" s="23">
        <f>$C$7*Data!I77/Data!I76</f>
        <v>6113.763989597468</v>
      </c>
      <c r="M79" s="23">
        <f>$C$8*Data!L77/Data!L76</f>
        <v>111.34857862465984</v>
      </c>
      <c r="N79" s="23">
        <f t="shared" si="8"/>
        <v>9970.5070649726913</v>
      </c>
      <c r="O79" s="23">
        <f t="shared" si="9"/>
        <v>-29.492935027308704</v>
      </c>
      <c r="P79" s="23">
        <f t="shared" si="10"/>
        <v>29.492935027308704</v>
      </c>
      <c r="Q79" s="48">
        <f t="shared" si="11"/>
        <v>6.4674657906005286E-4</v>
      </c>
      <c r="S79">
        <v>321</v>
      </c>
      <c r="T79" s="50">
        <v>97.34824603116067</v>
      </c>
      <c r="U79" s="51">
        <f t="shared" si="12"/>
        <v>2.2195057616924431E-3</v>
      </c>
      <c r="V79" s="51">
        <f>SUM($U$5:U79)</f>
        <v>0.20707962497807228</v>
      </c>
      <c r="AB79" s="37"/>
    </row>
    <row r="80" spans="9:28" x14ac:dyDescent="0.3">
      <c r="I80">
        <v>76</v>
      </c>
      <c r="J80" s="23">
        <f>$C$5*Data!C78/Data!C77</f>
        <v>10894.598832622913</v>
      </c>
      <c r="K80" s="23">
        <f>$C$6*Data!F78/Data!F77</f>
        <v>9503.9751463320426</v>
      </c>
      <c r="L80" s="23">
        <f>$C$7*Data!I78/Data!I77</f>
        <v>6238.6737468152951</v>
      </c>
      <c r="M80" s="23">
        <f>$C$8*Data!L78/Data!L77</f>
        <v>111.64228246685218</v>
      </c>
      <c r="N80" s="23">
        <f t="shared" si="8"/>
        <v>9909.0253389997943</v>
      </c>
      <c r="O80" s="23">
        <f t="shared" si="9"/>
        <v>-90.974661000205742</v>
      </c>
      <c r="P80" s="23">
        <f t="shared" si="10"/>
        <v>90.974661000205742</v>
      </c>
      <c r="Q80" s="48">
        <f t="shared" si="11"/>
        <v>6.4999656186939987E-4</v>
      </c>
      <c r="S80">
        <v>335</v>
      </c>
      <c r="T80" s="50">
        <v>96.385817169086295</v>
      </c>
      <c r="U80" s="51">
        <f t="shared" si="12"/>
        <v>2.380856094935315E-3</v>
      </c>
      <c r="V80" s="51">
        <f>SUM($U$5:U80)</f>
        <v>0.2094604810730076</v>
      </c>
      <c r="AB80" s="37"/>
    </row>
    <row r="81" spans="9:28" x14ac:dyDescent="0.3">
      <c r="I81">
        <v>77</v>
      </c>
      <c r="J81" s="23">
        <f>$C$5*Data!C79/Data!C78</f>
        <v>11161.993775321862</v>
      </c>
      <c r="K81" s="23">
        <f>$C$6*Data!F79/Data!F78</f>
        <v>9465.1827414629606</v>
      </c>
      <c r="L81" s="23">
        <f>$C$7*Data!I79/Data!I78</f>
        <v>6132.3745893806235</v>
      </c>
      <c r="M81" s="23">
        <f>$C$8*Data!L79/Data!L78</f>
        <v>113.38924263456359</v>
      </c>
      <c r="N81" s="23">
        <f t="shared" si="8"/>
        <v>10007.766967658441</v>
      </c>
      <c r="O81" s="23">
        <f t="shared" si="9"/>
        <v>7.7669676584409899</v>
      </c>
      <c r="P81" s="23">
        <f t="shared" si="10"/>
        <v>-7.7669676584409899</v>
      </c>
      <c r="Q81" s="48">
        <f t="shared" si="11"/>
        <v>6.5326287625065314E-4</v>
      </c>
      <c r="S81">
        <v>284</v>
      </c>
      <c r="T81" s="50">
        <v>95.038025661946449</v>
      </c>
      <c r="U81" s="51">
        <f t="shared" si="12"/>
        <v>1.8437849442852594E-3</v>
      </c>
      <c r="V81" s="51">
        <f>SUM($U$5:U81)</f>
        <v>0.21130426601729285</v>
      </c>
      <c r="AB81" s="37"/>
    </row>
    <row r="82" spans="9:28" x14ac:dyDescent="0.3">
      <c r="I82">
        <v>78</v>
      </c>
      <c r="J82" s="23">
        <f>$C$5*Data!C80/Data!C79</f>
        <v>10946.233078138064</v>
      </c>
      <c r="K82" s="23">
        <f>$C$6*Data!F80/Data!F79</f>
        <v>9731.414923675622</v>
      </c>
      <c r="L82" s="23">
        <f>$C$7*Data!I80/Data!I79</f>
        <v>6159.793704346167</v>
      </c>
      <c r="M82" s="23">
        <f>$C$8*Data!L80/Data!L79</f>
        <v>113.44523989064919</v>
      </c>
      <c r="N82" s="23">
        <f t="shared" si="8"/>
        <v>10018.078819578435</v>
      </c>
      <c r="O82" s="23">
        <f t="shared" si="9"/>
        <v>18.078819578435287</v>
      </c>
      <c r="P82" s="23">
        <f t="shared" si="10"/>
        <v>-18.078819578435287</v>
      </c>
      <c r="Q82" s="48">
        <f t="shared" si="11"/>
        <v>6.565456042720132E-4</v>
      </c>
      <c r="S82">
        <v>416</v>
      </c>
      <c r="T82" s="50">
        <v>93.601425174438191</v>
      </c>
      <c r="U82" s="51">
        <f t="shared" si="12"/>
        <v>3.5732516746391297E-3</v>
      </c>
      <c r="V82" s="51">
        <f>SUM($U$5:U82)</f>
        <v>0.21487751769193197</v>
      </c>
      <c r="AB82" s="37"/>
    </row>
    <row r="83" spans="9:28" x14ac:dyDescent="0.3">
      <c r="I83">
        <v>79</v>
      </c>
      <c r="J83" s="23">
        <f>$C$5*Data!C81/Data!C80</f>
        <v>11141.640865402789</v>
      </c>
      <c r="K83" s="23">
        <f>$C$6*Data!F81/Data!F80</f>
        <v>9607.5703663903769</v>
      </c>
      <c r="L83" s="23">
        <f>$C$7*Data!I81/Data!I80</f>
        <v>6231.631219524812</v>
      </c>
      <c r="M83" s="23">
        <f>$C$8*Data!L81/Data!L80</f>
        <v>111.95380636646655</v>
      </c>
      <c r="N83" s="23">
        <f t="shared" si="8"/>
        <v>10035.439429521755</v>
      </c>
      <c r="O83" s="23">
        <f t="shared" si="9"/>
        <v>35.439429521755301</v>
      </c>
      <c r="P83" s="23">
        <f t="shared" si="10"/>
        <v>-35.439429521755301</v>
      </c>
      <c r="Q83" s="48">
        <f t="shared" si="11"/>
        <v>6.5984482841408378E-4</v>
      </c>
      <c r="S83">
        <v>389</v>
      </c>
      <c r="T83" s="50">
        <v>93.099163924864115</v>
      </c>
      <c r="U83" s="51">
        <f t="shared" si="12"/>
        <v>3.1209498207861843E-3</v>
      </c>
      <c r="V83" s="51">
        <f>SUM($U$5:U83)</f>
        <v>0.21799846751271815</v>
      </c>
      <c r="AB83" s="37"/>
    </row>
    <row r="84" spans="9:28" x14ac:dyDescent="0.3">
      <c r="I84">
        <v>80</v>
      </c>
      <c r="J84" s="23">
        <f>$C$5*Data!C82/Data!C81</f>
        <v>11071.434402740853</v>
      </c>
      <c r="K84" s="23">
        <f>$C$6*Data!F82/Data!F81</f>
        <v>9758.9066305969118</v>
      </c>
      <c r="L84" s="23">
        <f>$C$7*Data!I82/Data!I81</f>
        <v>6208.8833578045469</v>
      </c>
      <c r="M84" s="23">
        <f>$C$8*Data!L82/Data!L81</f>
        <v>111.43514381248805</v>
      </c>
      <c r="N84" s="23">
        <f t="shared" si="8"/>
        <v>10044.390868681699</v>
      </c>
      <c r="O84" s="23">
        <f t="shared" si="9"/>
        <v>44.39086868169943</v>
      </c>
      <c r="P84" s="23">
        <f t="shared" si="10"/>
        <v>-44.39086868169943</v>
      </c>
      <c r="Q84" s="48">
        <f t="shared" si="11"/>
        <v>6.6316063157194338E-4</v>
      </c>
      <c r="S84">
        <v>430</v>
      </c>
      <c r="T84" s="50">
        <v>90.567430256933221</v>
      </c>
      <c r="U84" s="51">
        <f t="shared" si="12"/>
        <v>3.8330146175494639E-3</v>
      </c>
      <c r="V84" s="51">
        <f>SUM($U$5:U84)</f>
        <v>0.2218314821302676</v>
      </c>
      <c r="AB84" s="37"/>
    </row>
    <row r="85" spans="9:28" x14ac:dyDescent="0.3">
      <c r="I85">
        <v>81</v>
      </c>
      <c r="J85" s="23">
        <f>$C$5*Data!C83/Data!C82</f>
        <v>11029.804023340701</v>
      </c>
      <c r="K85" s="23">
        <f>$C$6*Data!F83/Data!F82</f>
        <v>9629.4645293577341</v>
      </c>
      <c r="L85" s="23">
        <f>$C$7*Data!I83/Data!I82</f>
        <v>6198.1839928289655</v>
      </c>
      <c r="M85" s="23">
        <f>$C$8*Data!L83/Data!L82</f>
        <v>113.94946377372466</v>
      </c>
      <c r="N85" s="23">
        <f t="shared" si="8"/>
        <v>10031.677569586667</v>
      </c>
      <c r="O85" s="23">
        <f t="shared" si="9"/>
        <v>31.677569586667232</v>
      </c>
      <c r="P85" s="23">
        <f t="shared" si="10"/>
        <v>-31.677569586667232</v>
      </c>
      <c r="Q85" s="48">
        <f t="shared" si="11"/>
        <v>6.6649309705722954E-4</v>
      </c>
      <c r="S85">
        <v>418</v>
      </c>
      <c r="T85" s="50">
        <v>90.533427239264711</v>
      </c>
      <c r="U85" s="51">
        <f t="shared" si="12"/>
        <v>3.6092539831207595E-3</v>
      </c>
      <c r="V85" s="51">
        <f>SUM($U$5:U85)</f>
        <v>0.22544073611338836</v>
      </c>
      <c r="AB85" s="37"/>
    </row>
    <row r="86" spans="9:28" x14ac:dyDescent="0.3">
      <c r="I86">
        <v>82</v>
      </c>
      <c r="J86" s="23">
        <f>$C$5*Data!C84/Data!C83</f>
        <v>11116.490314484085</v>
      </c>
      <c r="K86" s="23">
        <f>$C$6*Data!F84/Data!F83</f>
        <v>9651.0418708552279</v>
      </c>
      <c r="L86" s="23">
        <f>$C$7*Data!I84/Data!I83</f>
        <v>6198.1598237210737</v>
      </c>
      <c r="M86" s="23">
        <f>$C$8*Data!L84/Data!L83</f>
        <v>112.41290600923222</v>
      </c>
      <c r="N86" s="23">
        <f t="shared" si="8"/>
        <v>10042.637269321383</v>
      </c>
      <c r="O86" s="23">
        <f t="shared" si="9"/>
        <v>42.637269321383428</v>
      </c>
      <c r="P86" s="23">
        <f t="shared" si="10"/>
        <v>-42.637269321383428</v>
      </c>
      <c r="Q86" s="48">
        <f t="shared" si="11"/>
        <v>6.6984230860023058E-4</v>
      </c>
      <c r="S86">
        <v>444</v>
      </c>
      <c r="T86" s="50">
        <v>88.545575824464322</v>
      </c>
      <c r="U86" s="51">
        <f t="shared" si="12"/>
        <v>4.1116614210589117E-3</v>
      </c>
      <c r="V86" s="51">
        <f>SUM($U$5:U86)</f>
        <v>0.22955239753444726</v>
      </c>
      <c r="AB86" s="37"/>
    </row>
    <row r="87" spans="9:28" x14ac:dyDescent="0.3">
      <c r="I87">
        <v>83</v>
      </c>
      <c r="J87" s="23">
        <f>$C$5*Data!C85/Data!C84</f>
        <v>11014.18816974429</v>
      </c>
      <c r="K87" s="23">
        <f>$C$6*Data!F85/Data!F84</f>
        <v>9677.7597034818264</v>
      </c>
      <c r="L87" s="23">
        <f>$C$7*Data!I85/Data!I84</f>
        <v>6198.0608506884228</v>
      </c>
      <c r="M87" s="23">
        <f>$C$8*Data!L85/Data!L84</f>
        <v>114.04526375097255</v>
      </c>
      <c r="N87" s="23">
        <f t="shared" si="8"/>
        <v>10042.781231943436</v>
      </c>
      <c r="O87" s="23">
        <f t="shared" si="9"/>
        <v>42.781231943436069</v>
      </c>
      <c r="P87" s="23">
        <f t="shared" si="10"/>
        <v>-42.781231943436069</v>
      </c>
      <c r="Q87" s="48">
        <f t="shared" si="11"/>
        <v>6.7320835035199059E-4</v>
      </c>
      <c r="S87">
        <v>299</v>
      </c>
      <c r="T87" s="50">
        <v>86.96428468583872</v>
      </c>
      <c r="U87" s="51">
        <f t="shared" si="12"/>
        <v>1.9877604860306397E-3</v>
      </c>
      <c r="V87" s="51">
        <f>SUM($U$5:U87)</f>
        <v>0.23154015802047789</v>
      </c>
      <c r="AB87" s="37"/>
    </row>
    <row r="88" spans="9:28" x14ac:dyDescent="0.3">
      <c r="I88">
        <v>84</v>
      </c>
      <c r="J88" s="23">
        <f>$C$5*Data!C86/Data!C85</f>
        <v>11056.513905300595</v>
      </c>
      <c r="K88" s="23">
        <f>$C$6*Data!F86/Data!F85</f>
        <v>9431.0018411455385</v>
      </c>
      <c r="L88" s="23">
        <f>$C$7*Data!I86/Data!I85</f>
        <v>6258.4171456198728</v>
      </c>
      <c r="M88" s="23">
        <f>$C$8*Data!L86/Data!L85</f>
        <v>111.6239262401384</v>
      </c>
      <c r="N88" s="23">
        <f t="shared" si="8"/>
        <v>9947.8401213296256</v>
      </c>
      <c r="O88" s="23">
        <f t="shared" si="9"/>
        <v>-52.159878670374383</v>
      </c>
      <c r="P88" s="23">
        <f t="shared" si="10"/>
        <v>52.159878670374383</v>
      </c>
      <c r="Q88" s="48">
        <f t="shared" si="11"/>
        <v>6.7659130688642278E-4</v>
      </c>
      <c r="S88">
        <v>466</v>
      </c>
      <c r="T88" s="50">
        <v>84.359650178445008</v>
      </c>
      <c r="U88" s="51">
        <f t="shared" si="12"/>
        <v>4.5910240586340568E-3</v>
      </c>
      <c r="V88" s="51">
        <f>SUM($U$5:U88)</f>
        <v>0.23613118207911196</v>
      </c>
      <c r="AB88" s="37"/>
    </row>
    <row r="89" spans="9:28" x14ac:dyDescent="0.3">
      <c r="I89">
        <v>85</v>
      </c>
      <c r="J89" s="23">
        <f>$C$5*Data!C87/Data!C86</f>
        <v>11033.839361222677</v>
      </c>
      <c r="K89" s="23">
        <f>$C$6*Data!F87/Data!F86</f>
        <v>9632.6094885709354</v>
      </c>
      <c r="L89" s="23">
        <f>$C$7*Data!I87/Data!I86</f>
        <v>6225.6271615233536</v>
      </c>
      <c r="M89" s="23">
        <f>$C$8*Data!L87/Data!L86</f>
        <v>113.23420637965943</v>
      </c>
      <c r="N89" s="23">
        <f t="shared" si="8"/>
        <v>10025.87149093532</v>
      </c>
      <c r="O89" s="23">
        <f t="shared" si="9"/>
        <v>25.871490935320253</v>
      </c>
      <c r="P89" s="23">
        <f t="shared" si="10"/>
        <v>-25.871490935320253</v>
      </c>
      <c r="Q89" s="48">
        <f t="shared" si="11"/>
        <v>6.7999126320243491E-4</v>
      </c>
      <c r="S89">
        <v>435</v>
      </c>
      <c r="T89" s="50">
        <v>82.771221278409939</v>
      </c>
      <c r="U89" s="51">
        <f t="shared" si="12"/>
        <v>3.930294302125048E-3</v>
      </c>
      <c r="V89" s="51">
        <f>SUM($U$5:U89)</f>
        <v>0.24006147638123701</v>
      </c>
      <c r="AB89" s="37"/>
    </row>
    <row r="90" spans="9:28" x14ac:dyDescent="0.3">
      <c r="I90">
        <v>86</v>
      </c>
      <c r="J90" s="23">
        <f>$C$5*Data!C88/Data!C87</f>
        <v>11041.275697757685</v>
      </c>
      <c r="K90" s="23">
        <f>$C$6*Data!F88/Data!F87</f>
        <v>9612.0625903311357</v>
      </c>
      <c r="L90" s="23">
        <f>$C$7*Data!I88/Data!I87</f>
        <v>6192.8721738618251</v>
      </c>
      <c r="M90" s="23">
        <f>$C$8*Data!L88/Data!L87</f>
        <v>113.63239065885665</v>
      </c>
      <c r="N90" s="23">
        <f t="shared" si="8"/>
        <v>10023.925123226834</v>
      </c>
      <c r="O90" s="23">
        <f t="shared" si="9"/>
        <v>23.92512322683433</v>
      </c>
      <c r="P90" s="23">
        <f t="shared" si="10"/>
        <v>-23.92512322683433</v>
      </c>
      <c r="Q90" s="48">
        <f t="shared" si="11"/>
        <v>6.8340830472606528E-4</v>
      </c>
      <c r="S90">
        <v>134</v>
      </c>
      <c r="T90" s="50">
        <v>81.942326419741221</v>
      </c>
      <c r="U90" s="51">
        <f t="shared" si="12"/>
        <v>8.6930539760872905E-4</v>
      </c>
      <c r="V90" s="51">
        <f>SUM($U$5:U90)</f>
        <v>0.24093078177884575</v>
      </c>
      <c r="AB90" s="37"/>
    </row>
    <row r="91" spans="9:28" x14ac:dyDescent="0.3">
      <c r="I91">
        <v>87</v>
      </c>
      <c r="J91" s="23">
        <f>$C$5*Data!C89/Data!C88</f>
        <v>10977.683776452257</v>
      </c>
      <c r="K91" s="23">
        <f>$C$6*Data!F89/Data!F88</f>
        <v>9483.2571744059442</v>
      </c>
      <c r="L91" s="23">
        <f>$C$7*Data!I89/Data!I88</f>
        <v>6248.79790125209</v>
      </c>
      <c r="M91" s="23">
        <f>$C$8*Data!L89/Data!L88</f>
        <v>111.83274736667441</v>
      </c>
      <c r="N91" s="23">
        <f t="shared" si="8"/>
        <v>9937.7123411121574</v>
      </c>
      <c r="O91" s="23">
        <f t="shared" si="9"/>
        <v>-62.287658887842554</v>
      </c>
      <c r="P91" s="23">
        <f t="shared" si="10"/>
        <v>62.287658887842554</v>
      </c>
      <c r="Q91" s="48">
        <f t="shared" si="11"/>
        <v>6.8684251731262851E-4</v>
      </c>
      <c r="S91">
        <v>392</v>
      </c>
      <c r="T91" s="50">
        <v>81.909793142953276</v>
      </c>
      <c r="U91" s="51">
        <f t="shared" si="12"/>
        <v>3.1682361412234622E-3</v>
      </c>
      <c r="V91" s="51">
        <f>SUM($U$5:U91)</f>
        <v>0.24409901792006922</v>
      </c>
      <c r="AB91" s="37"/>
    </row>
    <row r="92" spans="9:28" x14ac:dyDescent="0.3">
      <c r="I92">
        <v>88</v>
      </c>
      <c r="J92" s="23">
        <f>$C$5*Data!C90/Data!C89</f>
        <v>11049.301568273755</v>
      </c>
      <c r="K92" s="23">
        <f>$C$6*Data!F90/Data!F89</f>
        <v>9510.8578741256097</v>
      </c>
      <c r="L92" s="23">
        <f>$C$7*Data!I90/Data!I89</f>
        <v>6161.1193077100024</v>
      </c>
      <c r="M92" s="23">
        <f>$C$8*Data!L90/Data!L89</f>
        <v>113.29925320944621</v>
      </c>
      <c r="N92" s="23">
        <f t="shared" si="8"/>
        <v>9984.1843346860278</v>
      </c>
      <c r="O92" s="23">
        <f t="shared" si="9"/>
        <v>-15.815665313972204</v>
      </c>
      <c r="P92" s="23">
        <f t="shared" si="10"/>
        <v>15.815665313972204</v>
      </c>
      <c r="Q92" s="48">
        <f t="shared" si="11"/>
        <v>6.9029398724887274E-4</v>
      </c>
      <c r="S92">
        <v>294</v>
      </c>
      <c r="T92" s="50">
        <v>81.74057500199342</v>
      </c>
      <c r="U92" s="51">
        <f t="shared" si="12"/>
        <v>1.9385609355063141E-3</v>
      </c>
      <c r="V92" s="51">
        <f>SUM($U$5:U92)</f>
        <v>0.24603757885557553</v>
      </c>
      <c r="AB92" s="37"/>
    </row>
    <row r="93" spans="9:28" x14ac:dyDescent="0.3">
      <c r="I93">
        <v>89</v>
      </c>
      <c r="J93" s="23">
        <f>$C$5*Data!C91/Data!C90</f>
        <v>11010.849433337484</v>
      </c>
      <c r="K93" s="23">
        <f>$C$6*Data!F91/Data!F90</f>
        <v>9558.68602401924</v>
      </c>
      <c r="L93" s="23">
        <f>$C$7*Data!I91/Data!I90</f>
        <v>6176.6378811997602</v>
      </c>
      <c r="M93" s="23">
        <f>$C$8*Data!L91/Data!L90</f>
        <v>112.78729896918421</v>
      </c>
      <c r="N93" s="23">
        <f t="shared" si="8"/>
        <v>9978.6035931957995</v>
      </c>
      <c r="O93" s="23">
        <f t="shared" si="9"/>
        <v>-21.396406804200524</v>
      </c>
      <c r="P93" s="23">
        <f t="shared" si="10"/>
        <v>21.396406804200524</v>
      </c>
      <c r="Q93" s="48">
        <f t="shared" si="11"/>
        <v>6.9376280125514839E-4</v>
      </c>
      <c r="S93">
        <v>406</v>
      </c>
      <c r="T93" s="50">
        <v>81.162557870480668</v>
      </c>
      <c r="U93" s="51">
        <f t="shared" si="12"/>
        <v>3.3985558664530605E-3</v>
      </c>
      <c r="V93" s="51">
        <f>SUM($U$5:U93)</f>
        <v>0.24943613472202861</v>
      </c>
      <c r="AB93" s="37"/>
    </row>
    <row r="94" spans="9:28" x14ac:dyDescent="0.3">
      <c r="I94">
        <v>90</v>
      </c>
      <c r="J94" s="23">
        <f>$C$5*Data!C92/Data!C91</f>
        <v>10998.625692667109</v>
      </c>
      <c r="K94" s="23">
        <f>$C$6*Data!F92/Data!F91</f>
        <v>9333.4215655063672</v>
      </c>
      <c r="L94" s="23">
        <f>$C$7*Data!I92/Data!I91</f>
        <v>6109.2189402984595</v>
      </c>
      <c r="M94" s="23">
        <f>$C$8*Data!L92/Data!L91</f>
        <v>113.25623654147162</v>
      </c>
      <c r="N94" s="23">
        <f t="shared" si="8"/>
        <v>9901.2111423843216</v>
      </c>
      <c r="O94" s="23">
        <f t="shared" si="9"/>
        <v>-98.788857615678353</v>
      </c>
      <c r="P94" s="23">
        <f t="shared" si="10"/>
        <v>98.788857615678353</v>
      </c>
      <c r="Q94" s="48">
        <f t="shared" si="11"/>
        <v>6.972490464875865E-4</v>
      </c>
      <c r="S94">
        <v>393</v>
      </c>
      <c r="T94" s="50">
        <v>80.53876630713421</v>
      </c>
      <c r="U94" s="51">
        <f t="shared" si="12"/>
        <v>3.1841569258527257E-3</v>
      </c>
      <c r="V94" s="51">
        <f>SUM($U$5:U94)</f>
        <v>0.25262029164788136</v>
      </c>
      <c r="AB94" s="37"/>
    </row>
    <row r="95" spans="9:28" x14ac:dyDescent="0.3">
      <c r="I95">
        <v>91</v>
      </c>
      <c r="J95" s="23">
        <f>$C$5*Data!C93/Data!C92</f>
        <v>10977.713818960354</v>
      </c>
      <c r="K95" s="23">
        <f>$C$6*Data!F93/Data!F92</f>
        <v>9674.1807795104633</v>
      </c>
      <c r="L95" s="23">
        <f>$C$7*Data!I93/Data!I92</f>
        <v>6214.1364737313497</v>
      </c>
      <c r="M95" s="23">
        <f>$C$8*Data!L93/Data!L92</f>
        <v>111.49553288330135</v>
      </c>
      <c r="N95" s="23">
        <f t="shared" si="8"/>
        <v>9985.8194981618708</v>
      </c>
      <c r="O95" s="23">
        <f t="shared" si="9"/>
        <v>-14.180501838129203</v>
      </c>
      <c r="P95" s="23">
        <f t="shared" si="10"/>
        <v>14.180501838129203</v>
      </c>
      <c r="Q95" s="48">
        <f t="shared" si="11"/>
        <v>7.007528105402879E-4</v>
      </c>
      <c r="S95">
        <v>486</v>
      </c>
      <c r="T95" s="50">
        <v>79.353220281544054</v>
      </c>
      <c r="U95" s="51">
        <f t="shared" si="12"/>
        <v>5.0751391441323269E-3</v>
      </c>
      <c r="V95" s="51">
        <f>SUM($U$5:U95)</f>
        <v>0.25769543079201368</v>
      </c>
      <c r="AB95" s="37"/>
    </row>
    <row r="96" spans="9:28" x14ac:dyDescent="0.3">
      <c r="I96">
        <v>92</v>
      </c>
      <c r="J96" s="23">
        <f>$C$5*Data!C94/Data!C93</f>
        <v>11040.931465435735</v>
      </c>
      <c r="K96" s="23">
        <f>$C$6*Data!F94/Data!F93</f>
        <v>9470.551648833627</v>
      </c>
      <c r="L96" s="23">
        <f>$C$7*Data!I94/Data!I93</f>
        <v>6108.273364259363</v>
      </c>
      <c r="M96" s="23">
        <f>$C$8*Data!L94/Data!L93</f>
        <v>113.27819462622902</v>
      </c>
      <c r="N96" s="23">
        <f t="shared" si="8"/>
        <v>9959.6546232195469</v>
      </c>
      <c r="O96" s="23">
        <f t="shared" si="9"/>
        <v>-40.34537678045308</v>
      </c>
      <c r="P96" s="23">
        <f t="shared" si="10"/>
        <v>40.34537678045308</v>
      </c>
      <c r="Q96" s="48">
        <f t="shared" si="11"/>
        <v>7.0427418144752547E-4</v>
      </c>
      <c r="S96">
        <v>337</v>
      </c>
      <c r="T96" s="50">
        <v>77.734542978660102</v>
      </c>
      <c r="U96" s="51">
        <f t="shared" si="12"/>
        <v>2.4048444180049138E-3</v>
      </c>
      <c r="V96" s="51">
        <f>SUM($U$5:U96)</f>
        <v>0.26010027521001861</v>
      </c>
      <c r="AB96" s="37"/>
    </row>
    <row r="97" spans="9:28" x14ac:dyDescent="0.3">
      <c r="I97">
        <v>93</v>
      </c>
      <c r="J97" s="23">
        <f>$C$5*Data!C95/Data!C94</f>
        <v>10952.119404722431</v>
      </c>
      <c r="K97" s="23">
        <f>$C$6*Data!F95/Data!F94</f>
        <v>9613.8736854328126</v>
      </c>
      <c r="L97" s="23">
        <f>$C$7*Data!I95/Data!I94</f>
        <v>6251.6628349330631</v>
      </c>
      <c r="M97" s="23">
        <f>$C$8*Data!L95/Data!L94</f>
        <v>111.63650497991621</v>
      </c>
      <c r="N97" s="23">
        <f t="shared" si="8"/>
        <v>9966.2361670924874</v>
      </c>
      <c r="O97" s="23">
        <f t="shared" si="9"/>
        <v>-33.763832907512551</v>
      </c>
      <c r="P97" s="23">
        <f t="shared" si="10"/>
        <v>33.763832907512551</v>
      </c>
      <c r="Q97" s="48">
        <f t="shared" si="11"/>
        <v>7.0781324768595525E-4</v>
      </c>
      <c r="S97">
        <v>313</v>
      </c>
      <c r="T97" s="50">
        <v>77.697118357044019</v>
      </c>
      <c r="U97" s="51">
        <f t="shared" si="12"/>
        <v>2.1322637454335314E-3</v>
      </c>
      <c r="V97" s="51">
        <f>SUM($U$5:U97)</f>
        <v>0.26223253895545212</v>
      </c>
      <c r="AB97" s="37"/>
    </row>
    <row r="98" spans="9:28" x14ac:dyDescent="0.3">
      <c r="I98">
        <v>94</v>
      </c>
      <c r="J98" s="23">
        <f>$C$5*Data!C96/Data!C95</f>
        <v>11042.582353657466</v>
      </c>
      <c r="K98" s="23">
        <f>$C$6*Data!F96/Data!F95</f>
        <v>9476.4394783617463</v>
      </c>
      <c r="L98" s="23">
        <f>$C$7*Data!I96/Data!I95</f>
        <v>6080.0051322961408</v>
      </c>
      <c r="M98" s="23">
        <f>$C$8*Data!L96/Data!L95</f>
        <v>110.93518627841567</v>
      </c>
      <c r="N98" s="23">
        <f t="shared" si="8"/>
        <v>9916.000053550124</v>
      </c>
      <c r="O98" s="23">
        <f t="shared" si="9"/>
        <v>-83.999946449876006</v>
      </c>
      <c r="P98" s="23">
        <f t="shared" si="10"/>
        <v>83.999946449876006</v>
      </c>
      <c r="Q98" s="48">
        <f t="shared" si="11"/>
        <v>7.1137009817683939E-4</v>
      </c>
      <c r="S98">
        <v>221</v>
      </c>
      <c r="T98" s="50">
        <v>76.827023197807648</v>
      </c>
      <c r="U98" s="51">
        <f t="shared" si="12"/>
        <v>1.3445109740541185E-3</v>
      </c>
      <c r="V98" s="51">
        <f>SUM($U$5:U98)</f>
        <v>0.26357704992950626</v>
      </c>
      <c r="AB98" s="37"/>
    </row>
    <row r="99" spans="9:28" x14ac:dyDescent="0.3">
      <c r="I99">
        <v>95</v>
      </c>
      <c r="J99" s="23">
        <f>$C$5*Data!C97/Data!C96</f>
        <v>10870.78587291716</v>
      </c>
      <c r="K99" s="23">
        <f>$C$6*Data!F97/Data!F96</f>
        <v>9573.3838541573932</v>
      </c>
      <c r="L99" s="23">
        <f>$C$7*Data!I97/Data!I96</f>
        <v>6185.8951496274849</v>
      </c>
      <c r="M99" s="23">
        <f>$C$8*Data!L97/Data!L96</f>
        <v>113.94622980706801</v>
      </c>
      <c r="N99" s="23">
        <f t="shared" si="8"/>
        <v>9954.4038505463595</v>
      </c>
      <c r="O99" s="23">
        <f t="shared" si="9"/>
        <v>-45.596149453640464</v>
      </c>
      <c r="P99" s="23">
        <f t="shared" si="10"/>
        <v>45.596149453640464</v>
      </c>
      <c r="Q99" s="48">
        <f t="shared" si="11"/>
        <v>7.14944822288281E-4</v>
      </c>
      <c r="S99">
        <v>74</v>
      </c>
      <c r="T99" s="50">
        <v>76.726569187892892</v>
      </c>
      <c r="U99" s="51">
        <f t="shared" si="12"/>
        <v>6.4351284616475269E-4</v>
      </c>
      <c r="V99" s="51">
        <f>SUM($U$5:U99)</f>
        <v>0.26422056277567102</v>
      </c>
      <c r="AB99" s="37"/>
    </row>
    <row r="100" spans="9:28" x14ac:dyDescent="0.3">
      <c r="I100">
        <v>96</v>
      </c>
      <c r="J100" s="23">
        <f>$C$5*Data!C98/Data!C97</f>
        <v>11046.358983297865</v>
      </c>
      <c r="K100" s="23">
        <f>$C$6*Data!F98/Data!F97</f>
        <v>9425.3467308474374</v>
      </c>
      <c r="L100" s="23">
        <f>$C$7*Data!I98/Data!I97</f>
        <v>6255.1126628429993</v>
      </c>
      <c r="M100" s="23">
        <f>$C$8*Data!L98/Data!L97</f>
        <v>113.33897522238973</v>
      </c>
      <c r="N100" s="23">
        <f t="shared" si="8"/>
        <v>9972.2573333937962</v>
      </c>
      <c r="O100" s="23">
        <f t="shared" si="9"/>
        <v>-27.742666606203784</v>
      </c>
      <c r="P100" s="23">
        <f t="shared" si="10"/>
        <v>27.742666606203784</v>
      </c>
      <c r="Q100" s="48">
        <f t="shared" si="11"/>
        <v>7.1853750983746814E-4</v>
      </c>
      <c r="S100">
        <v>345</v>
      </c>
      <c r="T100" s="50">
        <v>74.993330123194028</v>
      </c>
      <c r="U100" s="51">
        <f t="shared" si="12"/>
        <v>2.503239129383866E-3</v>
      </c>
      <c r="V100" s="51">
        <f>SUM($U$5:U100)</f>
        <v>0.2667238019050549</v>
      </c>
      <c r="AB100" s="37"/>
    </row>
    <row r="101" spans="9:28" x14ac:dyDescent="0.3">
      <c r="I101">
        <v>97</v>
      </c>
      <c r="J101" s="23">
        <f>$C$5*Data!C99/Data!C98</f>
        <v>10927.222280637543</v>
      </c>
      <c r="K101" s="23">
        <f>$C$6*Data!F99/Data!F98</f>
        <v>9647.6538843488961</v>
      </c>
      <c r="L101" s="23">
        <f>$C$7*Data!I99/Data!I98</f>
        <v>6078.9377923779693</v>
      </c>
      <c r="M101" s="23">
        <f>$C$8*Data!L99/Data!L98</f>
        <v>111.8709620020112</v>
      </c>
      <c r="N101" s="23">
        <f t="shared" si="8"/>
        <v>9944.0563374584344</v>
      </c>
      <c r="O101" s="23">
        <f t="shared" si="9"/>
        <v>-55.943662541565573</v>
      </c>
      <c r="P101" s="23">
        <f t="shared" si="10"/>
        <v>55.943662541565573</v>
      </c>
      <c r="Q101" s="48">
        <f t="shared" si="11"/>
        <v>7.2214825109293273E-4</v>
      </c>
      <c r="S101">
        <v>331</v>
      </c>
      <c r="T101" s="50">
        <v>74.736998641259561</v>
      </c>
      <c r="U101" s="51">
        <f t="shared" si="12"/>
        <v>2.333594912510836E-3</v>
      </c>
      <c r="V101" s="51">
        <f>SUM($U$5:U101)</f>
        <v>0.26905739681756574</v>
      </c>
      <c r="AB101" s="37"/>
    </row>
    <row r="102" spans="9:28" x14ac:dyDescent="0.3">
      <c r="I102">
        <v>98</v>
      </c>
      <c r="J102" s="23">
        <f>$C$5*Data!C100/Data!C99</f>
        <v>11090.161891240828</v>
      </c>
      <c r="K102" s="23">
        <f>$C$6*Data!F100/Data!F99</f>
        <v>9754.1138994070261</v>
      </c>
      <c r="L102" s="23">
        <f>$C$7*Data!I100/Data!I99</f>
        <v>6261.1325809227683</v>
      </c>
      <c r="M102" s="23">
        <f>$C$8*Data!L100/Data!L99</f>
        <v>112.39814365334891</v>
      </c>
      <c r="N102" s="23">
        <f t="shared" si="8"/>
        <v>10075.18736372598</v>
      </c>
      <c r="O102" s="23">
        <f t="shared" si="9"/>
        <v>75.187363725979594</v>
      </c>
      <c r="P102" s="23">
        <f t="shared" si="10"/>
        <v>-75.187363725979594</v>
      </c>
      <c r="Q102" s="48">
        <f t="shared" si="11"/>
        <v>7.257771367768168E-4</v>
      </c>
      <c r="S102">
        <v>205</v>
      </c>
      <c r="T102" s="50">
        <v>74.376110768313083</v>
      </c>
      <c r="U102" s="51">
        <f t="shared" si="12"/>
        <v>1.2408910244794632E-3</v>
      </c>
      <c r="V102" s="51">
        <f>SUM($U$5:U102)</f>
        <v>0.27029828784204518</v>
      </c>
      <c r="AB102" s="37"/>
    </row>
    <row r="103" spans="9:28" x14ac:dyDescent="0.3">
      <c r="I103">
        <v>99</v>
      </c>
      <c r="J103" s="23">
        <f>$C$5*Data!C101/Data!C100</f>
        <v>11030.419164596931</v>
      </c>
      <c r="K103" s="23">
        <f>$C$6*Data!F101/Data!F100</f>
        <v>9464.1181017765102</v>
      </c>
      <c r="L103" s="23">
        <f>$C$7*Data!I101/Data!I100</f>
        <v>6172.0339814175977</v>
      </c>
      <c r="M103" s="23">
        <f>$C$8*Data!L101/Data!L100</f>
        <v>112.21781558701625</v>
      </c>
      <c r="N103" s="23">
        <f t="shared" si="8"/>
        <v>9945.3150673816526</v>
      </c>
      <c r="O103" s="23">
        <f t="shared" si="9"/>
        <v>-54.684932618347375</v>
      </c>
      <c r="P103" s="23">
        <f t="shared" si="10"/>
        <v>54.684932618347375</v>
      </c>
      <c r="Q103" s="48">
        <f t="shared" si="11"/>
        <v>7.2942425806715272E-4</v>
      </c>
      <c r="S103">
        <v>356</v>
      </c>
      <c r="T103" s="50">
        <v>73.181802204910127</v>
      </c>
      <c r="U103" s="51">
        <f t="shared" si="12"/>
        <v>2.6451387067597172E-3</v>
      </c>
      <c r="V103" s="51">
        <f>SUM($U$5:U103)</f>
        <v>0.27294342654880488</v>
      </c>
      <c r="AB103" s="37"/>
    </row>
    <row r="104" spans="9:28" x14ac:dyDescent="0.3">
      <c r="I104">
        <v>100</v>
      </c>
      <c r="J104" s="23">
        <f>$C$5*Data!C102/Data!C101</f>
        <v>11055.875211690189</v>
      </c>
      <c r="K104" s="23">
        <f>$C$6*Data!F102/Data!F101</f>
        <v>9497.6964525408657</v>
      </c>
      <c r="L104" s="23">
        <f>$C$7*Data!I102/Data!I101</f>
        <v>6275.9072725553233</v>
      </c>
      <c r="M104" s="23">
        <f>$C$8*Data!L102/Data!L101</f>
        <v>112.25124232713611</v>
      </c>
      <c r="N104" s="23">
        <f t="shared" si="8"/>
        <v>9982.3918735593033</v>
      </c>
      <c r="O104" s="23">
        <f t="shared" si="9"/>
        <v>-17.608126440696651</v>
      </c>
      <c r="P104" s="23">
        <f t="shared" si="10"/>
        <v>17.608126440696651</v>
      </c>
      <c r="Q104" s="48">
        <f t="shared" si="11"/>
        <v>7.3308970660015331E-4</v>
      </c>
      <c r="S104">
        <v>127</v>
      </c>
      <c r="T104" s="50">
        <v>70.760172174293984</v>
      </c>
      <c r="U104" s="51">
        <f t="shared" si="12"/>
        <v>8.393323097741559E-4</v>
      </c>
      <c r="V104" s="51">
        <f>SUM($U$5:U104)</f>
        <v>0.27378275885857906</v>
      </c>
      <c r="AB104" s="37"/>
    </row>
    <row r="105" spans="9:28" x14ac:dyDescent="0.3">
      <c r="I105">
        <v>101</v>
      </c>
      <c r="J105" s="23">
        <f>$C$5*Data!C103/Data!C102</f>
        <v>10967.530005498909</v>
      </c>
      <c r="K105" s="23">
        <f>$C$6*Data!F103/Data!F102</f>
        <v>9579.6459610668971</v>
      </c>
      <c r="L105" s="23">
        <f>$C$7*Data!I103/Data!I102</f>
        <v>6156.581022991506</v>
      </c>
      <c r="M105" s="23">
        <f>$C$8*Data!L103/Data!L102</f>
        <v>112.04711144362165</v>
      </c>
      <c r="N105" s="23">
        <f t="shared" si="8"/>
        <v>9953.0765616505432</v>
      </c>
      <c r="O105" s="23">
        <f t="shared" si="9"/>
        <v>-46.923438349456774</v>
      </c>
      <c r="P105" s="23">
        <f t="shared" si="10"/>
        <v>46.923438349456774</v>
      </c>
      <c r="Q105" s="48">
        <f t="shared" si="11"/>
        <v>7.3677357447251603E-4</v>
      </c>
      <c r="S105">
        <v>23</v>
      </c>
      <c r="T105" s="50">
        <v>70.545222813823784</v>
      </c>
      <c r="U105" s="51">
        <f t="shared" si="12"/>
        <v>4.9834985816098372E-4</v>
      </c>
      <c r="V105" s="51">
        <f>SUM($U$5:U105)</f>
        <v>0.27428110871674005</v>
      </c>
      <c r="AB105" s="37"/>
    </row>
    <row r="106" spans="9:28" x14ac:dyDescent="0.3">
      <c r="I106">
        <v>102</v>
      </c>
      <c r="J106" s="23">
        <f>$C$5*Data!C104/Data!C103</f>
        <v>11117.079012522283</v>
      </c>
      <c r="K106" s="23">
        <f>$C$6*Data!F104/Data!F103</f>
        <v>9645.3835890586943</v>
      </c>
      <c r="L106" s="23">
        <f>$C$7*Data!I104/Data!I103</f>
        <v>6267.2358983675167</v>
      </c>
      <c r="M106" s="23">
        <f>$C$8*Data!L104/Data!L103</f>
        <v>113.08885659381914</v>
      </c>
      <c r="N106" s="23">
        <f t="shared" si="8"/>
        <v>10064.205861462357</v>
      </c>
      <c r="O106" s="23">
        <f t="shared" si="9"/>
        <v>64.205861462356552</v>
      </c>
      <c r="P106" s="23">
        <f t="shared" si="10"/>
        <v>-64.205861462356552</v>
      </c>
      <c r="Q106" s="48">
        <f t="shared" si="11"/>
        <v>7.4047595424373469E-4</v>
      </c>
      <c r="S106">
        <v>280</v>
      </c>
      <c r="T106" s="50">
        <v>70.031677358780144</v>
      </c>
      <c r="U106" s="51">
        <f t="shared" si="12"/>
        <v>1.8071848924010904E-3</v>
      </c>
      <c r="V106" s="51">
        <f>SUM($U$5:U106)</f>
        <v>0.27608829360914117</v>
      </c>
      <c r="AB106" s="37"/>
    </row>
    <row r="107" spans="9:28" x14ac:dyDescent="0.3">
      <c r="I107">
        <v>103</v>
      </c>
      <c r="J107" s="23">
        <f>$C$5*Data!C105/Data!C104</f>
        <v>11115.541194886071</v>
      </c>
      <c r="K107" s="23">
        <f>$C$6*Data!F105/Data!F104</f>
        <v>9726.3169092997523</v>
      </c>
      <c r="L107" s="23">
        <f>$C$7*Data!I105/Data!I104</f>
        <v>6214.1199197707374</v>
      </c>
      <c r="M107" s="23">
        <f>$C$8*Data!L105/Data!L104</f>
        <v>109.97414282765659</v>
      </c>
      <c r="N107" s="23">
        <f t="shared" si="8"/>
        <v>10025.158564551337</v>
      </c>
      <c r="O107" s="23">
        <f t="shared" si="9"/>
        <v>25.158564551336895</v>
      </c>
      <c r="P107" s="23">
        <f t="shared" si="10"/>
        <v>-25.158564551336895</v>
      </c>
      <c r="Q107" s="48">
        <f t="shared" si="11"/>
        <v>7.4419693893842682E-4</v>
      </c>
      <c r="S107">
        <v>185</v>
      </c>
      <c r="T107" s="50">
        <v>69.843817755114287</v>
      </c>
      <c r="U107" s="51">
        <f t="shared" si="12"/>
        <v>1.1225230256228294E-3</v>
      </c>
      <c r="V107" s="51">
        <f>SUM($U$5:U107)</f>
        <v>0.27721081663476399</v>
      </c>
      <c r="AB107" s="37"/>
    </row>
    <row r="108" spans="9:28" x14ac:dyDescent="0.3">
      <c r="I108">
        <v>104</v>
      </c>
      <c r="J108" s="23">
        <f>$C$5*Data!C106/Data!C105</f>
        <v>11119.307481780119</v>
      </c>
      <c r="K108" s="23">
        <f>$C$6*Data!F106/Data!F105</f>
        <v>9597.8069917702214</v>
      </c>
      <c r="L108" s="23">
        <f>$C$7*Data!I106/Data!I105</f>
        <v>6266.8399372412341</v>
      </c>
      <c r="M108" s="23">
        <f>$C$8*Data!L106/Data!L105</f>
        <v>112.88194718833785</v>
      </c>
      <c r="N108" s="23">
        <f t="shared" si="8"/>
        <v>10046.415000211824</v>
      </c>
      <c r="O108" s="23">
        <f t="shared" si="9"/>
        <v>46.415000211824008</v>
      </c>
      <c r="P108" s="23">
        <f t="shared" si="10"/>
        <v>-46.415000211824008</v>
      </c>
      <c r="Q108" s="48">
        <f t="shared" si="11"/>
        <v>7.4793662204867021E-4</v>
      </c>
      <c r="S108">
        <v>197</v>
      </c>
      <c r="T108" s="50">
        <v>68.742833969195999</v>
      </c>
      <c r="U108" s="51">
        <f t="shared" si="12"/>
        <v>1.1921153750526175E-3</v>
      </c>
      <c r="V108" s="51">
        <f>SUM($U$5:U108)</f>
        <v>0.27840293200981658</v>
      </c>
      <c r="AB108" s="37"/>
    </row>
    <row r="109" spans="9:28" x14ac:dyDescent="0.3">
      <c r="I109">
        <v>105</v>
      </c>
      <c r="J109" s="23">
        <f>$C$5*Data!C107/Data!C106</f>
        <v>11060.342559200048</v>
      </c>
      <c r="K109" s="23">
        <f>$C$6*Data!F107/Data!F106</f>
        <v>9475.8724396151483</v>
      </c>
      <c r="L109" s="23">
        <f>$C$7*Data!I107/Data!I106</f>
        <v>6215.4540576667951</v>
      </c>
      <c r="M109" s="23">
        <f>$C$8*Data!L107/Data!L106</f>
        <v>111.74423109359856</v>
      </c>
      <c r="N109" s="23">
        <f t="shared" si="8"/>
        <v>9958.455341951576</v>
      </c>
      <c r="O109" s="23">
        <f t="shared" si="9"/>
        <v>-41.544658048424026</v>
      </c>
      <c r="P109" s="23">
        <f t="shared" si="10"/>
        <v>41.544658048424026</v>
      </c>
      <c r="Q109" s="48">
        <f t="shared" si="11"/>
        <v>7.5169509753635197E-4</v>
      </c>
      <c r="S109">
        <v>464</v>
      </c>
      <c r="T109" s="50">
        <v>68.619104822671943</v>
      </c>
      <c r="U109" s="51">
        <f t="shared" si="12"/>
        <v>4.545228593649182E-3</v>
      </c>
      <c r="V109" s="51">
        <f>SUM($U$5:U109)</f>
        <v>0.28294816060346578</v>
      </c>
      <c r="AB109" s="37"/>
    </row>
    <row r="110" spans="9:28" x14ac:dyDescent="0.3">
      <c r="I110">
        <v>106</v>
      </c>
      <c r="J110" s="23">
        <f>$C$5*Data!C108/Data!C107</f>
        <v>10943.867271776793</v>
      </c>
      <c r="K110" s="23">
        <f>$C$6*Data!F108/Data!F107</f>
        <v>9657.2504283205999</v>
      </c>
      <c r="L110" s="23">
        <f>$C$7*Data!I108/Data!I107</f>
        <v>6101.4553829036167</v>
      </c>
      <c r="M110" s="23">
        <f>$C$8*Data!L108/Data!L107</f>
        <v>111.87414458658418</v>
      </c>
      <c r="N110" s="23">
        <f t="shared" si="8"/>
        <v>9956.7839542548536</v>
      </c>
      <c r="O110" s="23">
        <f t="shared" si="9"/>
        <v>-43.216045745146403</v>
      </c>
      <c r="P110" s="23">
        <f t="shared" si="10"/>
        <v>43.216045745146403</v>
      </c>
      <c r="Q110" s="48">
        <f t="shared" si="11"/>
        <v>7.5547245983552955E-4</v>
      </c>
      <c r="S110">
        <v>423</v>
      </c>
      <c r="T110" s="50">
        <v>66.859117746642369</v>
      </c>
      <c r="U110" s="51">
        <f t="shared" si="12"/>
        <v>3.7008547527665665E-3</v>
      </c>
      <c r="V110" s="51">
        <f>SUM($U$5:U110)</f>
        <v>0.28664901535623233</v>
      </c>
      <c r="AB110" s="37"/>
    </row>
    <row r="111" spans="9:28" x14ac:dyDescent="0.3">
      <c r="I111">
        <v>107</v>
      </c>
      <c r="J111" s="23">
        <f>$C$5*Data!C109/Data!C108</f>
        <v>11118.492471175581</v>
      </c>
      <c r="K111" s="23">
        <f>$C$6*Data!F109/Data!F108</f>
        <v>9614.9346705902408</v>
      </c>
      <c r="L111" s="23">
        <f>$C$7*Data!I109/Data!I108</f>
        <v>6264.9664320639058</v>
      </c>
      <c r="M111" s="23">
        <f>$C$8*Data!L109/Data!L108</f>
        <v>113.89713626638982</v>
      </c>
      <c r="N111" s="23">
        <f t="shared" si="8"/>
        <v>10069.165800514262</v>
      </c>
      <c r="O111" s="23">
        <f t="shared" si="9"/>
        <v>69.165800514261718</v>
      </c>
      <c r="P111" s="23">
        <f t="shared" si="10"/>
        <v>-69.165800514261718</v>
      </c>
      <c r="Q111" s="48">
        <f t="shared" si="11"/>
        <v>7.5926880385480348E-4</v>
      </c>
      <c r="S111">
        <v>257</v>
      </c>
      <c r="T111" s="50">
        <v>65.949462420958298</v>
      </c>
      <c r="U111" s="51">
        <f t="shared" si="12"/>
        <v>1.6103988230877942E-3</v>
      </c>
      <c r="V111" s="51">
        <f>SUM($U$5:U111)</f>
        <v>0.28825941417932011</v>
      </c>
      <c r="AB111" s="37"/>
    </row>
    <row r="112" spans="9:28" x14ac:dyDescent="0.3">
      <c r="I112">
        <v>108</v>
      </c>
      <c r="J112" s="23">
        <f>$C$5*Data!C110/Data!C109</f>
        <v>11033.955422267627</v>
      </c>
      <c r="K112" s="23">
        <f>$C$6*Data!F110/Data!F109</f>
        <v>9604.6842089689198</v>
      </c>
      <c r="L112" s="23">
        <f>$C$7*Data!I110/Data!I109</f>
        <v>6177.94470807981</v>
      </c>
      <c r="M112" s="23">
        <f>$C$8*Data!L110/Data!L109</f>
        <v>114.37750391462652</v>
      </c>
      <c r="N112" s="23">
        <f t="shared" si="8"/>
        <v>10029.763899731253</v>
      </c>
      <c r="O112" s="23">
        <f t="shared" si="9"/>
        <v>29.763899731253332</v>
      </c>
      <c r="P112" s="23">
        <f t="shared" si="10"/>
        <v>-29.763899731253332</v>
      </c>
      <c r="Q112" s="48">
        <f t="shared" si="11"/>
        <v>7.6308422497970211E-4</v>
      </c>
      <c r="S112">
        <v>100</v>
      </c>
      <c r="T112" s="50">
        <v>65.274593593121608</v>
      </c>
      <c r="U112" s="51">
        <f t="shared" si="12"/>
        <v>7.3308970660015331E-4</v>
      </c>
      <c r="V112" s="51">
        <f>SUM($U$5:U112)</f>
        <v>0.28899250388592024</v>
      </c>
      <c r="AB112" s="37"/>
    </row>
    <row r="113" spans="9:28" x14ac:dyDescent="0.3">
      <c r="I113">
        <v>109</v>
      </c>
      <c r="J113" s="23">
        <f>$C$5*Data!C111/Data!C110</f>
        <v>11010.727826148117</v>
      </c>
      <c r="K113" s="23">
        <f>$C$6*Data!F111/Data!F110</f>
        <v>9479.4843480035906</v>
      </c>
      <c r="L113" s="23">
        <f>$C$7*Data!I111/Data!I110</f>
        <v>6216.2938404594615</v>
      </c>
      <c r="M113" s="23">
        <f>$C$8*Data!L111/Data!L110</f>
        <v>113.93795707425002</v>
      </c>
      <c r="N113" s="23">
        <f t="shared" si="8"/>
        <v>9980.6021285811967</v>
      </c>
      <c r="O113" s="23">
        <f t="shared" si="9"/>
        <v>-19.397871418803334</v>
      </c>
      <c r="P113" s="23">
        <f t="shared" si="10"/>
        <v>19.397871418803334</v>
      </c>
      <c r="Q113" s="48">
        <f t="shared" si="11"/>
        <v>7.669188190750773E-4</v>
      </c>
      <c r="S113">
        <v>111</v>
      </c>
      <c r="T113" s="50">
        <v>64.899406574546447</v>
      </c>
      <c r="U113" s="51">
        <f t="shared" si="12"/>
        <v>7.7464591204775386E-4</v>
      </c>
      <c r="V113" s="51">
        <f>SUM($U$5:U113)</f>
        <v>0.28976714979796797</v>
      </c>
      <c r="AB113" s="37"/>
    </row>
    <row r="114" spans="9:28" x14ac:dyDescent="0.3">
      <c r="I114">
        <v>110</v>
      </c>
      <c r="J114" s="23">
        <f>$C$5*Data!C112/Data!C111</f>
        <v>11065.858343985486</v>
      </c>
      <c r="K114" s="23">
        <f>$C$6*Data!F112/Data!F111</f>
        <v>9578.0087457410154</v>
      </c>
      <c r="L114" s="23">
        <f>$C$7*Data!I112/Data!I111</f>
        <v>6278.4341159665146</v>
      </c>
      <c r="M114" s="23">
        <f>$C$8*Data!L112/Data!L111</f>
        <v>111.50445910447239</v>
      </c>
      <c r="N114" s="23">
        <f t="shared" si="8"/>
        <v>9998.2819831108882</v>
      </c>
      <c r="O114" s="23">
        <f t="shared" si="9"/>
        <v>-1.7180168891118228</v>
      </c>
      <c r="P114" s="23">
        <f t="shared" si="10"/>
        <v>1.7180168891118228</v>
      </c>
      <c r="Q114" s="48">
        <f t="shared" si="11"/>
        <v>7.7077268248751504E-4</v>
      </c>
      <c r="S114">
        <v>231</v>
      </c>
      <c r="T114" s="50">
        <v>63.470986382711999</v>
      </c>
      <c r="U114" s="51">
        <f t="shared" si="12"/>
        <v>1.4136228087442333E-3</v>
      </c>
      <c r="V114" s="51">
        <f>SUM($U$5:U114)</f>
        <v>0.29118077260671221</v>
      </c>
      <c r="AB114" s="37"/>
    </row>
    <row r="115" spans="9:28" x14ac:dyDescent="0.3">
      <c r="I115">
        <v>111</v>
      </c>
      <c r="J115" s="23">
        <f>$C$5*Data!C113/Data!C112</f>
        <v>11045.873298404807</v>
      </c>
      <c r="K115" s="23">
        <f>$C$6*Data!F113/Data!F112</f>
        <v>9563.516312757065</v>
      </c>
      <c r="L115" s="23">
        <f>$C$7*Data!I113/Data!I112</f>
        <v>6245.6482882627315</v>
      </c>
      <c r="M115" s="23">
        <f>$C$8*Data!L113/Data!L112</f>
        <v>113.63041030720119</v>
      </c>
      <c r="N115" s="23">
        <f t="shared" si="8"/>
        <v>10018.89938662462</v>
      </c>
      <c r="O115" s="23">
        <f t="shared" si="9"/>
        <v>18.899386624620092</v>
      </c>
      <c r="P115" s="23">
        <f t="shared" si="10"/>
        <v>-18.899386624620092</v>
      </c>
      <c r="Q115" s="48">
        <f t="shared" si="11"/>
        <v>7.7464591204775386E-4</v>
      </c>
      <c r="S115">
        <v>31</v>
      </c>
      <c r="T115" s="50">
        <v>62.820878858023207</v>
      </c>
      <c r="U115" s="51">
        <f t="shared" si="12"/>
        <v>5.1873994663921119E-4</v>
      </c>
      <c r="V115" s="51">
        <f>SUM($U$5:U115)</f>
        <v>0.29169951255335141</v>
      </c>
      <c r="AB115" s="37"/>
    </row>
    <row r="116" spans="9:28" x14ac:dyDescent="0.3">
      <c r="I116">
        <v>112</v>
      </c>
      <c r="J116" s="23">
        <f>$C$5*Data!C114/Data!C113</f>
        <v>10978.489872460092</v>
      </c>
      <c r="K116" s="23">
        <f>$C$6*Data!F114/Data!F113</f>
        <v>9673.1107485053508</v>
      </c>
      <c r="L116" s="23">
        <f>$C$7*Data!I114/Data!I113</f>
        <v>6142.7476568669017</v>
      </c>
      <c r="M116" s="23">
        <f>$C$8*Data!L114/Data!L113</f>
        <v>114.50793126965993</v>
      </c>
      <c r="N116" s="23">
        <f t="shared" si="8"/>
        <v>10027.65400369332</v>
      </c>
      <c r="O116" s="23">
        <f t="shared" si="9"/>
        <v>27.654003693320192</v>
      </c>
      <c r="P116" s="23">
        <f t="shared" si="10"/>
        <v>-27.654003693320192</v>
      </c>
      <c r="Q116" s="48">
        <f t="shared" si="11"/>
        <v>7.7853860507311949E-4</v>
      </c>
      <c r="S116">
        <v>110</v>
      </c>
      <c r="T116" s="50">
        <v>60.567651861278136</v>
      </c>
      <c r="U116" s="51">
        <f t="shared" si="12"/>
        <v>7.7077268248751504E-4</v>
      </c>
      <c r="V116" s="51">
        <f>SUM($U$5:U116)</f>
        <v>0.29247028523583896</v>
      </c>
      <c r="AB116" s="37"/>
    </row>
    <row r="117" spans="9:28" x14ac:dyDescent="0.3">
      <c r="I117">
        <v>113</v>
      </c>
      <c r="J117" s="23">
        <f>$C$5*Data!C115/Data!C114</f>
        <v>11011.606152860855</v>
      </c>
      <c r="K117" s="23">
        <f>$C$6*Data!F115/Data!F114</f>
        <v>9610.6595559775033</v>
      </c>
      <c r="L117" s="23">
        <f>$C$7*Data!I115/Data!I114</f>
        <v>6099.3564878576271</v>
      </c>
      <c r="M117" s="23">
        <f>$C$8*Data!L115/Data!L114</f>
        <v>113.17489210307104</v>
      </c>
      <c r="N117" s="23">
        <f t="shared" si="8"/>
        <v>9989.5270405035335</v>
      </c>
      <c r="O117" s="23">
        <f t="shared" si="9"/>
        <v>-10.472959496466501</v>
      </c>
      <c r="P117" s="23">
        <f t="shared" si="10"/>
        <v>10.472959496466501</v>
      </c>
      <c r="Q117" s="48">
        <f t="shared" si="11"/>
        <v>7.8245085936996914E-4</v>
      </c>
      <c r="S117">
        <v>338</v>
      </c>
      <c r="T117" s="50">
        <v>59.425550734591525</v>
      </c>
      <c r="U117" s="51">
        <f t="shared" si="12"/>
        <v>2.4169290633215207E-3</v>
      </c>
      <c r="V117" s="51">
        <f>SUM($U$5:U117)</f>
        <v>0.29488721429916048</v>
      </c>
      <c r="AB117" s="37"/>
    </row>
    <row r="118" spans="9:28" x14ac:dyDescent="0.3">
      <c r="I118">
        <v>114</v>
      </c>
      <c r="J118" s="23">
        <f>$C$5*Data!C116/Data!C115</f>
        <v>11042.319090400884</v>
      </c>
      <c r="K118" s="23">
        <f>$C$6*Data!F116/Data!F115</f>
        <v>9737.9884871874947</v>
      </c>
      <c r="L118" s="23">
        <f>$C$7*Data!I116/Data!I115</f>
        <v>6188.1726518106461</v>
      </c>
      <c r="M118" s="23">
        <f>$C$8*Data!L116/Data!L115</f>
        <v>113.86485836554226</v>
      </c>
      <c r="N118" s="23">
        <f t="shared" si="8"/>
        <v>10067.019059327893</v>
      </c>
      <c r="O118" s="23">
        <f t="shared" si="9"/>
        <v>67.019059327893046</v>
      </c>
      <c r="P118" s="23">
        <f t="shared" si="10"/>
        <v>-67.019059327893046</v>
      </c>
      <c r="Q118" s="48">
        <f t="shared" si="11"/>
        <v>7.8638277323614977E-4</v>
      </c>
      <c r="S118">
        <v>133</v>
      </c>
      <c r="T118" s="50">
        <v>59.06638542447763</v>
      </c>
      <c r="U118" s="51">
        <f t="shared" si="12"/>
        <v>8.6495887062068534E-4</v>
      </c>
      <c r="V118" s="51">
        <f>SUM($U$5:U118)</f>
        <v>0.29575217316978114</v>
      </c>
      <c r="AB118" s="37"/>
    </row>
    <row r="119" spans="9:28" x14ac:dyDescent="0.3">
      <c r="I119">
        <v>115</v>
      </c>
      <c r="J119" s="23">
        <f>$C$5*Data!C117/Data!C116</f>
        <v>11074.755490004642</v>
      </c>
      <c r="K119" s="23">
        <f>$C$6*Data!F117/Data!F116</f>
        <v>9686.4203858296969</v>
      </c>
      <c r="L119" s="23">
        <f>$C$7*Data!I117/Data!I116</f>
        <v>6259.1429042554391</v>
      </c>
      <c r="M119" s="23">
        <f>$C$8*Data!L117/Data!L116</f>
        <v>113.72655954810219</v>
      </c>
      <c r="N119" s="23">
        <f t="shared" si="8"/>
        <v>10071.669762178946</v>
      </c>
      <c r="O119" s="23">
        <f t="shared" si="9"/>
        <v>71.669762178946257</v>
      </c>
      <c r="P119" s="23">
        <f t="shared" si="10"/>
        <v>-71.669762178946257</v>
      </c>
      <c r="Q119" s="48">
        <f t="shared" si="11"/>
        <v>7.9033444546346729E-4</v>
      </c>
      <c r="S119">
        <v>223</v>
      </c>
      <c r="T119" s="50">
        <v>58.904445030450006</v>
      </c>
      <c r="U119" s="51">
        <f t="shared" si="12"/>
        <v>1.3580575986001553E-3</v>
      </c>
      <c r="V119" s="51">
        <f>SUM($U$5:U119)</f>
        <v>0.29711023076838128</v>
      </c>
      <c r="AB119" s="37"/>
    </row>
    <row r="120" spans="9:28" x14ac:dyDescent="0.3">
      <c r="I120">
        <v>116</v>
      </c>
      <c r="J120" s="23">
        <f>$C$5*Data!C118/Data!C117</f>
        <v>11122.378436992329</v>
      </c>
      <c r="K120" s="23">
        <f>$C$6*Data!F118/Data!F117</f>
        <v>9553.5070520174413</v>
      </c>
      <c r="L120" s="23">
        <f>$C$7*Data!I118/Data!I117</f>
        <v>6167.363670454858</v>
      </c>
      <c r="M120" s="23">
        <f>$C$8*Data!L118/Data!L117</f>
        <v>112.08077458766506</v>
      </c>
      <c r="N120" s="23">
        <f t="shared" si="8"/>
        <v>10003.43966132835</v>
      </c>
      <c r="O120" s="23">
        <f t="shared" si="9"/>
        <v>3.4396613283497572</v>
      </c>
      <c r="P120" s="23">
        <f t="shared" si="10"/>
        <v>-3.4396613283497572</v>
      </c>
      <c r="Q120" s="48">
        <f t="shared" si="11"/>
        <v>7.9430597534016815E-4</v>
      </c>
      <c r="S120">
        <v>279</v>
      </c>
      <c r="T120" s="50">
        <v>58.066200834919073</v>
      </c>
      <c r="U120" s="51">
        <f t="shared" si="12"/>
        <v>1.7981489679390855E-3</v>
      </c>
      <c r="V120" s="51">
        <f>SUM($U$5:U120)</f>
        <v>0.29890837973632034</v>
      </c>
      <c r="AB120" s="37"/>
    </row>
    <row r="121" spans="9:28" x14ac:dyDescent="0.3">
      <c r="I121">
        <v>117</v>
      </c>
      <c r="J121" s="23">
        <f>$C$5*Data!C119/Data!C118</f>
        <v>10988.637851096806</v>
      </c>
      <c r="K121" s="23">
        <f>$C$6*Data!F119/Data!F118</f>
        <v>9607.6162629994251</v>
      </c>
      <c r="L121" s="23">
        <f>$C$7*Data!I119/Data!I118</f>
        <v>6326.784398828845</v>
      </c>
      <c r="M121" s="23">
        <f>$C$8*Data!L119/Data!L118</f>
        <v>113.28595454398942</v>
      </c>
      <c r="N121" s="23">
        <f t="shared" si="8"/>
        <v>10018.888991996266</v>
      </c>
      <c r="O121" s="23">
        <f t="shared" si="9"/>
        <v>18.888991996265759</v>
      </c>
      <c r="P121" s="23">
        <f t="shared" si="10"/>
        <v>-18.888991996265759</v>
      </c>
      <c r="Q121" s="48">
        <f t="shared" si="11"/>
        <v>7.9829746265343521E-4</v>
      </c>
      <c r="S121">
        <v>374</v>
      </c>
      <c r="T121" s="50">
        <v>57.551068875509372</v>
      </c>
      <c r="U121" s="51">
        <f t="shared" si="12"/>
        <v>2.8948962070003866E-3</v>
      </c>
      <c r="V121" s="51">
        <f>SUM($U$5:U121)</f>
        <v>0.30180327594332074</v>
      </c>
      <c r="AB121" s="37"/>
    </row>
    <row r="122" spans="9:28" x14ac:dyDescent="0.3">
      <c r="I122">
        <v>118</v>
      </c>
      <c r="J122" s="23">
        <f>$C$5*Data!C120/Data!C119</f>
        <v>10949.730942234621</v>
      </c>
      <c r="K122" s="23">
        <f>$C$6*Data!F120/Data!F119</f>
        <v>9576.1860283389651</v>
      </c>
      <c r="L122" s="23">
        <f>$C$7*Data!I120/Data!I119</f>
        <v>6181.2279214568307</v>
      </c>
      <c r="M122" s="23">
        <f>$C$8*Data!L120/Data!L119</f>
        <v>111.16940221691205</v>
      </c>
      <c r="N122" s="23">
        <f t="shared" si="8"/>
        <v>9933.9517717531999</v>
      </c>
      <c r="O122" s="23">
        <f t="shared" si="9"/>
        <v>-66.048228246800136</v>
      </c>
      <c r="P122" s="23">
        <f t="shared" si="10"/>
        <v>66.048228246800136</v>
      </c>
      <c r="Q122" s="48">
        <f t="shared" si="11"/>
        <v>8.023090076918945E-4</v>
      </c>
      <c r="S122">
        <v>324</v>
      </c>
      <c r="T122" s="50">
        <v>56.143111055313057</v>
      </c>
      <c r="U122" s="51">
        <f t="shared" si="12"/>
        <v>2.2531340693187846E-3</v>
      </c>
      <c r="V122" s="51">
        <f>SUM($U$5:U122)</f>
        <v>0.3040564100126395</v>
      </c>
      <c r="AB122" s="37"/>
    </row>
    <row r="123" spans="9:28" x14ac:dyDescent="0.3">
      <c r="I123">
        <v>119</v>
      </c>
      <c r="J123" s="23">
        <f>$C$5*Data!C121/Data!C120</f>
        <v>10958.637192504149</v>
      </c>
      <c r="K123" s="23">
        <f>$C$6*Data!F121/Data!F120</f>
        <v>9549.7421101209402</v>
      </c>
      <c r="L123" s="23">
        <f>$C$7*Data!I121/Data!I120</f>
        <v>6099.2680277546369</v>
      </c>
      <c r="M123" s="23">
        <f>$C$8*Data!L121/Data!L120</f>
        <v>113.20585725535406</v>
      </c>
      <c r="N123" s="23">
        <f t="shared" si="8"/>
        <v>9951.8019007341481</v>
      </c>
      <c r="O123" s="23">
        <f t="shared" si="9"/>
        <v>-48.198099265851852</v>
      </c>
      <c r="P123" s="23">
        <f t="shared" si="10"/>
        <v>48.198099265851852</v>
      </c>
      <c r="Q123" s="48">
        <f t="shared" si="11"/>
        <v>8.0634071124813548E-4</v>
      </c>
      <c r="S123">
        <v>216</v>
      </c>
      <c r="T123" s="50">
        <v>55.459022986871787</v>
      </c>
      <c r="U123" s="51">
        <f t="shared" si="12"/>
        <v>1.311232651004957E-3</v>
      </c>
      <c r="V123" s="51">
        <f>SUM($U$5:U123)</f>
        <v>0.30536764266364447</v>
      </c>
      <c r="AB123" s="37"/>
    </row>
    <row r="124" spans="9:28" x14ac:dyDescent="0.3">
      <c r="I124">
        <v>120</v>
      </c>
      <c r="J124" s="23">
        <f>$C$5*Data!C122/Data!C121</f>
        <v>11075.899772290788</v>
      </c>
      <c r="K124" s="23">
        <f>$C$6*Data!F122/Data!F121</f>
        <v>9518.529680902333</v>
      </c>
      <c r="L124" s="23">
        <f>$C$7*Data!I122/Data!I121</f>
        <v>6197.9479589780776</v>
      </c>
      <c r="M124" s="23">
        <f>$C$8*Data!L122/Data!L121</f>
        <v>112.85584393782317</v>
      </c>
      <c r="N124" s="23">
        <f t="shared" si="8"/>
        <v>9994.3139162622265</v>
      </c>
      <c r="O124" s="23">
        <f t="shared" si="9"/>
        <v>-5.6860837377735152</v>
      </c>
      <c r="P124" s="23">
        <f t="shared" si="10"/>
        <v>5.6860837377735152</v>
      </c>
      <c r="Q124" s="48">
        <f t="shared" si="11"/>
        <v>8.1039267462124152E-4</v>
      </c>
      <c r="S124">
        <v>293</v>
      </c>
      <c r="T124" s="50">
        <v>55.267326009172393</v>
      </c>
      <c r="U124" s="51">
        <f t="shared" si="12"/>
        <v>1.9288681308287825E-3</v>
      </c>
      <c r="V124" s="51">
        <f>SUM($U$5:U124)</f>
        <v>0.30729651079447323</v>
      </c>
      <c r="AB124" s="37"/>
    </row>
    <row r="125" spans="9:28" x14ac:dyDescent="0.3">
      <c r="I125">
        <v>121</v>
      </c>
      <c r="J125" s="23">
        <f>$C$5*Data!C123/Data!C122</f>
        <v>11010.593181649363</v>
      </c>
      <c r="K125" s="23">
        <f>$C$6*Data!F123/Data!F122</f>
        <v>9387.7916827544086</v>
      </c>
      <c r="L125" s="23">
        <f>$C$7*Data!I123/Data!I122</f>
        <v>6139.642912778867</v>
      </c>
      <c r="M125" s="23">
        <f>$C$8*Data!L123/Data!L122</f>
        <v>112.20403434844121</v>
      </c>
      <c r="N125" s="23">
        <f t="shared" si="8"/>
        <v>9908.7994574575368</v>
      </c>
      <c r="O125" s="23">
        <f t="shared" si="9"/>
        <v>-91.200542542463154</v>
      </c>
      <c r="P125" s="23">
        <f t="shared" si="10"/>
        <v>91.200542542463154</v>
      </c>
      <c r="Q125" s="48">
        <f t="shared" si="11"/>
        <v>8.1446499961933814E-4</v>
      </c>
      <c r="S125">
        <v>442</v>
      </c>
      <c r="T125" s="50">
        <v>54.546715863871214</v>
      </c>
      <c r="U125" s="51">
        <f t="shared" si="12"/>
        <v>4.0706475983838496E-3</v>
      </c>
      <c r="V125" s="51">
        <f>SUM($U$5:U125)</f>
        <v>0.31136715839285706</v>
      </c>
      <c r="AB125" s="37"/>
    </row>
    <row r="126" spans="9:28" x14ac:dyDescent="0.3">
      <c r="I126">
        <v>122</v>
      </c>
      <c r="J126" s="23">
        <f>$C$5*Data!C124/Data!C123</f>
        <v>11076.359573033591</v>
      </c>
      <c r="K126" s="23">
        <f>$C$6*Data!F124/Data!F123</f>
        <v>9586.6525698678688</v>
      </c>
      <c r="L126" s="23">
        <f>$C$7*Data!I124/Data!I123</f>
        <v>6112.9390771253156</v>
      </c>
      <c r="M126" s="23">
        <f>$C$8*Data!L124/Data!L123</f>
        <v>113.82501547303985</v>
      </c>
      <c r="N126" s="23">
        <f t="shared" si="8"/>
        <v>10019.239699253576</v>
      </c>
      <c r="O126" s="23">
        <f t="shared" si="9"/>
        <v>19.239699253575964</v>
      </c>
      <c r="P126" s="23">
        <f t="shared" si="10"/>
        <v>-19.239699253575964</v>
      </c>
      <c r="Q126" s="48">
        <f t="shared" si="11"/>
        <v>8.1855778856214888E-4</v>
      </c>
      <c r="S126">
        <v>404</v>
      </c>
      <c r="T126" s="50">
        <v>53.868515290299911</v>
      </c>
      <c r="U126" s="51">
        <f t="shared" si="12"/>
        <v>3.3646552716851911E-3</v>
      </c>
      <c r="V126" s="51">
        <f>SUM($U$5:U126)</f>
        <v>0.31473181366454223</v>
      </c>
      <c r="AB126" s="37"/>
    </row>
    <row r="127" spans="9:28" x14ac:dyDescent="0.3">
      <c r="I127">
        <v>123</v>
      </c>
      <c r="J127" s="23">
        <f>$C$5*Data!C125/Data!C124</f>
        <v>11073.248463963215</v>
      </c>
      <c r="K127" s="23">
        <f>$C$6*Data!F125/Data!F124</f>
        <v>9649.5831730348873</v>
      </c>
      <c r="L127" s="23">
        <f>$C$7*Data!I125/Data!I124</f>
        <v>6243.4964607425909</v>
      </c>
      <c r="M127" s="23">
        <f>$C$8*Data!L125/Data!L124</f>
        <v>112.47019942215002</v>
      </c>
      <c r="N127" s="23">
        <f t="shared" si="8"/>
        <v>10034.816118621238</v>
      </c>
      <c r="O127" s="23">
        <f t="shared" si="9"/>
        <v>34.816118621238274</v>
      </c>
      <c r="P127" s="23">
        <f t="shared" si="10"/>
        <v>-34.816118621238274</v>
      </c>
      <c r="Q127" s="48">
        <f t="shared" si="11"/>
        <v>8.2267114428356684E-4</v>
      </c>
      <c r="S127">
        <v>3</v>
      </c>
      <c r="T127" s="50">
        <v>53.264059162311241</v>
      </c>
      <c r="U127" s="51">
        <f t="shared" si="12"/>
        <v>4.5081250453579501E-4</v>
      </c>
      <c r="V127" s="51">
        <f>SUM($U$5:U127)</f>
        <v>0.315182626169078</v>
      </c>
      <c r="AB127" s="37"/>
    </row>
    <row r="128" spans="9:28" x14ac:dyDescent="0.3">
      <c r="I128">
        <v>124</v>
      </c>
      <c r="J128" s="23">
        <f>$C$5*Data!C126/Data!C125</f>
        <v>11061.058552591892</v>
      </c>
      <c r="K128" s="23">
        <f>$C$6*Data!F126/Data!F125</f>
        <v>9748.0470872983951</v>
      </c>
      <c r="L128" s="23">
        <f>$C$7*Data!I126/Data!I125</f>
        <v>6230.4454226010748</v>
      </c>
      <c r="M128" s="23">
        <f>$C$8*Data!L126/Data!L125</f>
        <v>114.09460538484421</v>
      </c>
      <c r="N128" s="23">
        <f t="shared" si="8"/>
        <v>10087.853599859987</v>
      </c>
      <c r="O128" s="23">
        <f t="shared" si="9"/>
        <v>87.853599859987298</v>
      </c>
      <c r="P128" s="23">
        <f t="shared" si="10"/>
        <v>-87.853599859987298</v>
      </c>
      <c r="Q128" s="48">
        <f t="shared" si="11"/>
        <v>8.2680517013423798E-4</v>
      </c>
      <c r="S128">
        <v>450</v>
      </c>
      <c r="T128" s="50">
        <v>52.834439323774859</v>
      </c>
      <c r="U128" s="51">
        <f t="shared" si="12"/>
        <v>4.2371989946278906E-3</v>
      </c>
      <c r="V128" s="51">
        <f>SUM($U$5:U128)</f>
        <v>0.31941982516370587</v>
      </c>
      <c r="AB128" s="37"/>
    </row>
    <row r="129" spans="9:28" x14ac:dyDescent="0.3">
      <c r="I129">
        <v>125</v>
      </c>
      <c r="J129" s="23">
        <f>$C$5*Data!C127/Data!C126</f>
        <v>11053.188306950433</v>
      </c>
      <c r="K129" s="23">
        <f>$C$6*Data!F127/Data!F126</f>
        <v>9637.3682932850134</v>
      </c>
      <c r="L129" s="23">
        <f>$C$7*Data!I127/Data!I126</f>
        <v>6239.6891255663231</v>
      </c>
      <c r="M129" s="23">
        <f>$C$8*Data!L127/Data!L126</f>
        <v>113.94960156017456</v>
      </c>
      <c r="N129" s="23">
        <f t="shared" si="8"/>
        <v>10049.330269977472</v>
      </c>
      <c r="O129" s="23">
        <f t="shared" si="9"/>
        <v>49.330269977472199</v>
      </c>
      <c r="P129" s="23">
        <f t="shared" si="10"/>
        <v>-49.330269977472199</v>
      </c>
      <c r="Q129" s="48">
        <f t="shared" si="11"/>
        <v>8.3095996998415868E-4</v>
      </c>
      <c r="S129">
        <v>120</v>
      </c>
      <c r="T129" s="50">
        <v>51.672309483385106</v>
      </c>
      <c r="U129" s="51">
        <f t="shared" si="12"/>
        <v>8.1039267462124152E-4</v>
      </c>
      <c r="V129" s="51">
        <f>SUM($U$5:U129)</f>
        <v>0.32023021783832711</v>
      </c>
      <c r="AB129" s="37"/>
    </row>
    <row r="130" spans="9:28" x14ac:dyDescent="0.3">
      <c r="I130">
        <v>126</v>
      </c>
      <c r="J130" s="23">
        <f>$C$5*Data!C128/Data!C127</f>
        <v>11019.168032275635</v>
      </c>
      <c r="K130" s="23">
        <f>$C$6*Data!F128/Data!F127</f>
        <v>9683.9034943725728</v>
      </c>
      <c r="L130" s="23">
        <f>$C$7*Data!I128/Data!I127</f>
        <v>6251.0138846678683</v>
      </c>
      <c r="M130" s="23">
        <f>$C$8*Data!L128/Data!L127</f>
        <v>110.91693001078171</v>
      </c>
      <c r="N130" s="23">
        <f t="shared" si="8"/>
        <v>9999.5926526080584</v>
      </c>
      <c r="O130" s="23">
        <f t="shared" si="9"/>
        <v>-0.40734739194158465</v>
      </c>
      <c r="P130" s="23">
        <f t="shared" si="10"/>
        <v>0.40734739194158465</v>
      </c>
      <c r="Q130" s="48">
        <f t="shared" si="11"/>
        <v>8.3513564822528506E-4</v>
      </c>
      <c r="S130">
        <v>41</v>
      </c>
      <c r="T130" s="50">
        <v>51.42113813609285</v>
      </c>
      <c r="U130" s="51">
        <f t="shared" si="12"/>
        <v>5.4540471184464929E-4</v>
      </c>
      <c r="V130" s="51">
        <f>SUM($U$5:U130)</f>
        <v>0.32077562255017178</v>
      </c>
      <c r="AB130" s="37"/>
    </row>
    <row r="131" spans="9:28" x14ac:dyDescent="0.3">
      <c r="I131">
        <v>127</v>
      </c>
      <c r="J131" s="23">
        <f>$C$5*Data!C129/Data!C128</f>
        <v>11006.169777731391</v>
      </c>
      <c r="K131" s="23">
        <f>$C$6*Data!F129/Data!F128</f>
        <v>9519.1316297117683</v>
      </c>
      <c r="L131" s="23">
        <f>$C$7*Data!I129/Data!I128</f>
        <v>6230.4285555931401</v>
      </c>
      <c r="M131" s="23">
        <f>$C$8*Data!L129/Data!L128</f>
        <v>112.06446422365697</v>
      </c>
      <c r="N131" s="23">
        <f t="shared" si="8"/>
        <v>9960.4060819255792</v>
      </c>
      <c r="O131" s="23">
        <f t="shared" si="9"/>
        <v>-39.593918074420799</v>
      </c>
      <c r="P131" s="23">
        <f t="shared" si="10"/>
        <v>39.593918074420799</v>
      </c>
      <c r="Q131" s="48">
        <f t="shared" si="11"/>
        <v>8.393323097741559E-4</v>
      </c>
      <c r="S131">
        <v>56</v>
      </c>
      <c r="T131" s="50">
        <v>51.261844210452182</v>
      </c>
      <c r="U131" s="51">
        <f t="shared" si="12"/>
        <v>5.8799370200952829E-4</v>
      </c>
      <c r="V131" s="51">
        <f>SUM($U$5:U131)</f>
        <v>0.32136361625218129</v>
      </c>
      <c r="AB131" s="37"/>
    </row>
    <row r="132" spans="9:28" x14ac:dyDescent="0.3">
      <c r="I132">
        <v>128</v>
      </c>
      <c r="J132" s="23">
        <f>$C$5*Data!C130/Data!C129</f>
        <v>10943.650299916251</v>
      </c>
      <c r="K132" s="23">
        <f>$C$6*Data!F130/Data!F129</f>
        <v>9454.3602576038902</v>
      </c>
      <c r="L132" s="23">
        <f>$C$7*Data!I130/Data!I129</f>
        <v>6049.9810483189412</v>
      </c>
      <c r="M132" s="23">
        <f>$C$8*Data!L130/Data!L129</f>
        <v>112.31493276389445</v>
      </c>
      <c r="N132" s="23">
        <f t="shared" si="8"/>
        <v>9892.8134431686958</v>
      </c>
      <c r="O132" s="23">
        <f t="shared" si="9"/>
        <v>-107.18655683130419</v>
      </c>
      <c r="P132" s="23">
        <f t="shared" si="10"/>
        <v>107.18655683130419</v>
      </c>
      <c r="Q132" s="48">
        <f t="shared" si="11"/>
        <v>8.4355006007452867E-4</v>
      </c>
      <c r="S132">
        <v>70</v>
      </c>
      <c r="T132" s="50">
        <v>49.799432483365308</v>
      </c>
      <c r="U132" s="51">
        <f t="shared" si="12"/>
        <v>6.3073879481415497E-4</v>
      </c>
      <c r="V132" s="51">
        <f>SUM($U$5:U132)</f>
        <v>0.32199435504699547</v>
      </c>
      <c r="AB132" s="37"/>
    </row>
    <row r="133" spans="9:28" x14ac:dyDescent="0.3">
      <c r="I133">
        <v>129</v>
      </c>
      <c r="J133" s="23">
        <f>$C$5*Data!C131/Data!C130</f>
        <v>10977.90571632195</v>
      </c>
      <c r="K133" s="23">
        <f>$C$6*Data!F131/Data!F130</f>
        <v>9536.7936121767034</v>
      </c>
      <c r="L133" s="23">
        <f>$C$7*Data!I131/Data!I130</f>
        <v>6215.2327758830252</v>
      </c>
      <c r="M133" s="23">
        <f>$C$8*Data!L131/Data!L130</f>
        <v>113.93895479859239</v>
      </c>
      <c r="N133" s="23">
        <f t="shared" ref="N133:N196" si="13">MMULT(J133:M133,$D$5:$D$8)</f>
        <v>9986.4465964965984</v>
      </c>
      <c r="O133" s="23">
        <f t="shared" si="9"/>
        <v>-13.553403503401569</v>
      </c>
      <c r="P133" s="23">
        <f t="shared" si="10"/>
        <v>13.553403503401569</v>
      </c>
      <c r="Q133" s="48">
        <f t="shared" si="11"/>
        <v>8.4778900510002852E-4</v>
      </c>
      <c r="S133">
        <v>436</v>
      </c>
      <c r="T133" s="50">
        <v>48.382162982183218</v>
      </c>
      <c r="U133" s="51">
        <f t="shared" si="12"/>
        <v>3.9500445247487928E-3</v>
      </c>
      <c r="V133" s="51">
        <f>SUM($U$5:U133)</f>
        <v>0.32594439957174426</v>
      </c>
      <c r="AB133" s="37"/>
    </row>
    <row r="134" spans="9:28" x14ac:dyDescent="0.3">
      <c r="I134">
        <v>130</v>
      </c>
      <c r="J134" s="23">
        <f>$C$5*Data!C132/Data!C131</f>
        <v>11092.482748341909</v>
      </c>
      <c r="K134" s="23">
        <f>$C$6*Data!F132/Data!F131</f>
        <v>9451.3872724250978</v>
      </c>
      <c r="L134" s="23">
        <f>$C$7*Data!I132/Data!I131</f>
        <v>6228.1942419614861</v>
      </c>
      <c r="M134" s="23">
        <f>$C$8*Data!L132/Data!L131</f>
        <v>113.23538533572733</v>
      </c>
      <c r="N134" s="23">
        <f t="shared" si="13"/>
        <v>9990.9560547738474</v>
      </c>
      <c r="O134" s="23">
        <f t="shared" ref="O134:O197" si="14">N134-$B$9</f>
        <v>-9.043945226152573</v>
      </c>
      <c r="P134" s="23">
        <f t="shared" ref="P134:P197" si="15">-O134</f>
        <v>9.043945226152573</v>
      </c>
      <c r="Q134" s="48">
        <f t="shared" ref="Q134:Q197" si="16">$Q$2^(500-I134)*(1-$Q$2)/(1-$Q$2^500)</f>
        <v>8.5204925135681276E-4</v>
      </c>
      <c r="S134">
        <v>399</v>
      </c>
      <c r="T134" s="50">
        <v>48.126874003788544</v>
      </c>
      <c r="U134" s="51">
        <f t="shared" ref="U134:U197" si="17">$Q$2^(500-S134)*(1-$Q$2)/(1-$Q$2^500)</f>
        <v>3.2813758583959264E-3</v>
      </c>
      <c r="V134" s="51">
        <f>SUM($U$5:U134)</f>
        <v>0.3292257754301402</v>
      </c>
      <c r="AB134" s="37"/>
    </row>
    <row r="135" spans="9:28" x14ac:dyDescent="0.3">
      <c r="I135">
        <v>131</v>
      </c>
      <c r="J135" s="23">
        <f>$C$5*Data!C133/Data!C132</f>
        <v>10938.268482081961</v>
      </c>
      <c r="K135" s="23">
        <f>$C$6*Data!F133/Data!F132</f>
        <v>9521.3633849132239</v>
      </c>
      <c r="L135" s="23">
        <f>$C$7*Data!I133/Data!I132</f>
        <v>6111.5392919150436</v>
      </c>
      <c r="M135" s="23">
        <f>$C$8*Data!L133/Data!L132</f>
        <v>114.30977877205649</v>
      </c>
      <c r="N135" s="23">
        <f t="shared" si="13"/>
        <v>9957.089824503717</v>
      </c>
      <c r="O135" s="23">
        <f t="shared" si="14"/>
        <v>-42.910175496283046</v>
      </c>
      <c r="P135" s="23">
        <f t="shared" si="15"/>
        <v>42.910175496283046</v>
      </c>
      <c r="Q135" s="48">
        <f t="shared" si="16"/>
        <v>8.5633090588624393E-4</v>
      </c>
      <c r="S135">
        <v>226</v>
      </c>
      <c r="T135" s="50">
        <v>47.245018210911439</v>
      </c>
      <c r="U135" s="51">
        <f t="shared" si="17"/>
        <v>1.3786338816124562E-3</v>
      </c>
      <c r="V135" s="51">
        <f>SUM($U$5:U135)</f>
        <v>0.33060440931175267</v>
      </c>
      <c r="AB135" s="37"/>
    </row>
    <row r="136" spans="9:28" x14ac:dyDescent="0.3">
      <c r="I136">
        <v>132</v>
      </c>
      <c r="J136" s="23">
        <f>$C$5*Data!C134/Data!C133</f>
        <v>11109.348194631904</v>
      </c>
      <c r="K136" s="23">
        <f>$C$6*Data!F134/Data!F133</f>
        <v>9640.0512523595935</v>
      </c>
      <c r="L136" s="23">
        <f>$C$7*Data!I134/Data!I133</f>
        <v>6239.8011343190065</v>
      </c>
      <c r="M136" s="23">
        <f>$C$8*Data!L134/Data!L133</f>
        <v>111.567138546553</v>
      </c>
      <c r="N136" s="23">
        <f t="shared" si="13"/>
        <v>10028.33370269737</v>
      </c>
      <c r="O136" s="23">
        <f t="shared" si="14"/>
        <v>28.333702697369517</v>
      </c>
      <c r="P136" s="23">
        <f t="shared" si="15"/>
        <v>-28.333702697369517</v>
      </c>
      <c r="Q136" s="48">
        <f t="shared" si="16"/>
        <v>8.6063407626758197E-4</v>
      </c>
      <c r="S136">
        <v>491</v>
      </c>
      <c r="T136" s="50">
        <v>47.048775944464069</v>
      </c>
      <c r="U136" s="51">
        <f t="shared" si="17"/>
        <v>5.2039432277008971E-3</v>
      </c>
      <c r="V136" s="51">
        <f>SUM($U$5:U136)</f>
        <v>0.33580835253945357</v>
      </c>
      <c r="AB136" s="37"/>
    </row>
    <row r="137" spans="9:28" x14ac:dyDescent="0.3">
      <c r="I137">
        <v>133</v>
      </c>
      <c r="J137" s="23">
        <f>$C$5*Data!C135/Data!C134</f>
        <v>11058.687583186318</v>
      </c>
      <c r="K137" s="23">
        <f>$C$6*Data!F135/Data!F134</f>
        <v>9735.5745575459314</v>
      </c>
      <c r="L137" s="23">
        <f>$C$7*Data!I135/Data!I134</f>
        <v>6168.3986158560274</v>
      </c>
      <c r="M137" s="23">
        <f>$C$8*Data!L135/Data!L134</f>
        <v>111.37282802849361</v>
      </c>
      <c r="N137" s="23">
        <f t="shared" si="13"/>
        <v>10024.839535527302</v>
      </c>
      <c r="O137" s="23">
        <f t="shared" si="14"/>
        <v>24.83953552730236</v>
      </c>
      <c r="P137" s="23">
        <f t="shared" si="15"/>
        <v>-24.83953552730236</v>
      </c>
      <c r="Q137" s="48">
        <f t="shared" si="16"/>
        <v>8.6495887062068534E-4</v>
      </c>
      <c r="S137">
        <v>343</v>
      </c>
      <c r="T137" s="50">
        <v>46.519402504671234</v>
      </c>
      <c r="U137" s="51">
        <f t="shared" si="17"/>
        <v>2.4782693190682627E-3</v>
      </c>
      <c r="V137" s="51">
        <f>SUM($U$5:U137)</f>
        <v>0.33828662185852182</v>
      </c>
      <c r="AB137" s="37"/>
    </row>
    <row r="138" spans="9:28" x14ac:dyDescent="0.3">
      <c r="I138">
        <v>134</v>
      </c>
      <c r="J138" s="23">
        <f>$C$5*Data!C136/Data!C135</f>
        <v>11048.821757531439</v>
      </c>
      <c r="K138" s="23">
        <f>$C$6*Data!F136/Data!F135</f>
        <v>9653.7345740394685</v>
      </c>
      <c r="L138" s="23">
        <f>$C$7*Data!I136/Data!I135</f>
        <v>6228.9644287814172</v>
      </c>
      <c r="M138" s="23">
        <f>$C$8*Data!L136/Data!L135</f>
        <v>116.00741363440672</v>
      </c>
      <c r="N138" s="23">
        <f t="shared" si="13"/>
        <v>10087.60932557573</v>
      </c>
      <c r="O138" s="23">
        <f t="shared" si="14"/>
        <v>87.609325575729599</v>
      </c>
      <c r="P138" s="23">
        <f t="shared" si="15"/>
        <v>-87.609325575729599</v>
      </c>
      <c r="Q138" s="48">
        <f t="shared" si="16"/>
        <v>8.6930539760872905E-4</v>
      </c>
      <c r="S138">
        <v>297</v>
      </c>
      <c r="T138" s="50">
        <v>45.30601771561669</v>
      </c>
      <c r="U138" s="51">
        <f t="shared" si="17"/>
        <v>1.9679325751824845E-3</v>
      </c>
      <c r="V138" s="51">
        <f>SUM($U$5:U138)</f>
        <v>0.34025455443370428</v>
      </c>
      <c r="AB138" s="37"/>
    </row>
    <row r="139" spans="9:28" x14ac:dyDescent="0.3">
      <c r="I139">
        <v>135</v>
      </c>
      <c r="J139" s="23">
        <f>$C$5*Data!C137/Data!C136</f>
        <v>11044.859532224338</v>
      </c>
      <c r="K139" s="23">
        <f>$C$6*Data!F137/Data!F136</f>
        <v>9660.3599262784519</v>
      </c>
      <c r="L139" s="23">
        <f>$C$7*Data!I137/Data!I136</f>
        <v>6234.1180472672731</v>
      </c>
      <c r="M139" s="23">
        <f>$C$8*Data!L137/Data!L136</f>
        <v>113.03132057678155</v>
      </c>
      <c r="N139" s="23">
        <f t="shared" si="13"/>
        <v>10036.315758456334</v>
      </c>
      <c r="O139" s="23">
        <f t="shared" si="14"/>
        <v>36.315758456334152</v>
      </c>
      <c r="P139" s="23">
        <f t="shared" si="15"/>
        <v>-36.315758456334152</v>
      </c>
      <c r="Q139" s="48">
        <f t="shared" si="16"/>
        <v>8.7367376644093366E-4</v>
      </c>
      <c r="S139">
        <v>425</v>
      </c>
      <c r="T139" s="50">
        <v>44.835349503879115</v>
      </c>
      <c r="U139" s="51">
        <f t="shared" si="17"/>
        <v>3.738142726463035E-3</v>
      </c>
      <c r="V139" s="51">
        <f>SUM($U$5:U139)</f>
        <v>0.34399269716016734</v>
      </c>
      <c r="AB139" s="37"/>
    </row>
    <row r="140" spans="9:28" x14ac:dyDescent="0.3">
      <c r="I140">
        <v>136</v>
      </c>
      <c r="J140" s="23">
        <f>$C$5*Data!C138/Data!C137</f>
        <v>11017.671545669262</v>
      </c>
      <c r="K140" s="23">
        <f>$C$6*Data!F138/Data!F137</f>
        <v>9552.7647131922295</v>
      </c>
      <c r="L140" s="23">
        <f>$C$7*Data!I138/Data!I137</f>
        <v>6179.6485333573009</v>
      </c>
      <c r="M140" s="23">
        <f>$C$8*Data!L138/Data!L137</f>
        <v>112.52742833147128</v>
      </c>
      <c r="N140" s="23">
        <f t="shared" si="13"/>
        <v>9975.1077929805797</v>
      </c>
      <c r="O140" s="23">
        <f t="shared" si="14"/>
        <v>-24.892207019420312</v>
      </c>
      <c r="P140" s="23">
        <f t="shared" si="15"/>
        <v>24.892207019420312</v>
      </c>
      <c r="Q140" s="48">
        <f t="shared" si="16"/>
        <v>8.7806408687531024E-4</v>
      </c>
      <c r="S140">
        <v>290</v>
      </c>
      <c r="T140" s="50">
        <v>44.719708930526394</v>
      </c>
      <c r="U140" s="51">
        <f t="shared" si="17"/>
        <v>1.9000795328676465E-3</v>
      </c>
      <c r="V140" s="51">
        <f>SUM($U$5:U140)</f>
        <v>0.34589277669303498</v>
      </c>
      <c r="AB140" s="37"/>
    </row>
    <row r="141" spans="9:28" x14ac:dyDescent="0.3">
      <c r="I141">
        <v>137</v>
      </c>
      <c r="J141" s="23">
        <f>$C$5*Data!C139/Data!C138</f>
        <v>11003.418806957223</v>
      </c>
      <c r="K141" s="23">
        <f>$C$6*Data!F139/Data!F138</f>
        <v>9558.9322136235533</v>
      </c>
      <c r="L141" s="23">
        <f>$C$7*Data!I139/Data!I138</f>
        <v>6217.0615014448567</v>
      </c>
      <c r="M141" s="23">
        <f>$C$8*Data!L139/Data!L138</f>
        <v>112.9192837132186</v>
      </c>
      <c r="N141" s="23">
        <f t="shared" si="13"/>
        <v>9984.8431087839472</v>
      </c>
      <c r="O141" s="23">
        <f t="shared" si="14"/>
        <v>-15.156891216052827</v>
      </c>
      <c r="P141" s="23">
        <f t="shared" si="15"/>
        <v>15.156891216052827</v>
      </c>
      <c r="Q141" s="48">
        <f t="shared" si="16"/>
        <v>8.8247646922141713E-4</v>
      </c>
      <c r="S141">
        <v>150</v>
      </c>
      <c r="T141" s="50">
        <v>43.48924320686092</v>
      </c>
      <c r="U141" s="51">
        <f t="shared" si="17"/>
        <v>9.4189628567883867E-4</v>
      </c>
      <c r="V141" s="51">
        <f>SUM($U$5:U141)</f>
        <v>0.34683467297871379</v>
      </c>
      <c r="AB141" s="37"/>
    </row>
    <row r="142" spans="9:28" x14ac:dyDescent="0.3">
      <c r="I142">
        <v>138</v>
      </c>
      <c r="J142" s="23">
        <f>$C$5*Data!C140/Data!C139</f>
        <v>11090.383983404203</v>
      </c>
      <c r="K142" s="23">
        <f>$C$6*Data!F140/Data!F139</f>
        <v>9807.8418105300352</v>
      </c>
      <c r="L142" s="23">
        <f>$C$7*Data!I140/Data!I139</f>
        <v>6214.3724292788829</v>
      </c>
      <c r="M142" s="23">
        <f>$C$8*Data!L140/Data!L139</f>
        <v>111.71293900361358</v>
      </c>
      <c r="N142" s="23">
        <f t="shared" si="13"/>
        <v>10072.369997942866</v>
      </c>
      <c r="O142" s="23">
        <f t="shared" si="14"/>
        <v>72.369997942865666</v>
      </c>
      <c r="P142" s="23">
        <f t="shared" si="15"/>
        <v>-72.369997942865666</v>
      </c>
      <c r="Q142" s="48">
        <f t="shared" si="16"/>
        <v>8.8691102434313297E-4</v>
      </c>
      <c r="S142">
        <v>303</v>
      </c>
      <c r="T142" s="50">
        <v>43.330577313707181</v>
      </c>
      <c r="U142" s="51">
        <f t="shared" si="17"/>
        <v>2.0280176491067219E-3</v>
      </c>
      <c r="V142" s="51">
        <f>SUM($U$5:U142)</f>
        <v>0.34886269062782049</v>
      </c>
      <c r="AB142" s="37"/>
    </row>
    <row r="143" spans="9:28" x14ac:dyDescent="0.3">
      <c r="I143">
        <v>139</v>
      </c>
      <c r="J143" s="23">
        <f>$C$5*Data!C141/Data!C140</f>
        <v>11106.603713607037</v>
      </c>
      <c r="K143" s="23">
        <f>$C$6*Data!F141/Data!F140</f>
        <v>9627.1822151690994</v>
      </c>
      <c r="L143" s="23">
        <f>$C$7*Data!I141/Data!I140</f>
        <v>6238.8750595251458</v>
      </c>
      <c r="M143" s="23">
        <f>$C$8*Data!L141/Data!L140</f>
        <v>112.20076483417738</v>
      </c>
      <c r="N143" s="23">
        <f t="shared" si="13"/>
        <v>10034.399038984662</v>
      </c>
      <c r="O143" s="23">
        <f t="shared" si="14"/>
        <v>34.399038984662184</v>
      </c>
      <c r="P143" s="23">
        <f t="shared" si="15"/>
        <v>-34.399038984662184</v>
      </c>
      <c r="Q143" s="48">
        <f t="shared" si="16"/>
        <v>8.9136786366144011E-4</v>
      </c>
      <c r="S143">
        <v>424</v>
      </c>
      <c r="T143" s="50">
        <v>42.77773107995381</v>
      </c>
      <c r="U143" s="51">
        <f t="shared" si="17"/>
        <v>3.7194520128307203E-3</v>
      </c>
      <c r="V143" s="51">
        <f>SUM($U$5:U143)</f>
        <v>0.35258214264065119</v>
      </c>
      <c r="AB143" s="37"/>
    </row>
    <row r="144" spans="9:28" x14ac:dyDescent="0.3">
      <c r="I144">
        <v>140</v>
      </c>
      <c r="J144" s="23">
        <f>$C$5*Data!C142/Data!C141</f>
        <v>11025.028004547001</v>
      </c>
      <c r="K144" s="23">
        <f>$C$6*Data!F142/Data!F141</f>
        <v>9621.8466494584027</v>
      </c>
      <c r="L144" s="23">
        <f>$C$7*Data!I142/Data!I141</f>
        <v>6211.619570766763</v>
      </c>
      <c r="M144" s="23">
        <f>$C$8*Data!L142/Data!L141</f>
        <v>114.06886734633203</v>
      </c>
      <c r="N144" s="23">
        <f t="shared" si="13"/>
        <v>10031.847258606325</v>
      </c>
      <c r="O144" s="23">
        <f t="shared" si="14"/>
        <v>31.84725860632534</v>
      </c>
      <c r="P144" s="23">
        <f t="shared" si="15"/>
        <v>-31.84725860632534</v>
      </c>
      <c r="Q144" s="48">
        <f t="shared" si="16"/>
        <v>8.9584709915722612E-4</v>
      </c>
      <c r="S144">
        <v>431</v>
      </c>
      <c r="T144" s="50">
        <v>42.706899719754801</v>
      </c>
      <c r="U144" s="51">
        <f t="shared" si="17"/>
        <v>3.8522759975371493E-3</v>
      </c>
      <c r="V144" s="51">
        <f>SUM($U$5:U144)</f>
        <v>0.35643441863818831</v>
      </c>
      <c r="AB144" s="37"/>
    </row>
    <row r="145" spans="9:28" x14ac:dyDescent="0.3">
      <c r="I145">
        <v>141</v>
      </c>
      <c r="J145" s="23">
        <f>$C$5*Data!C143/Data!C142</f>
        <v>11084.901547034122</v>
      </c>
      <c r="K145" s="23">
        <f>$C$6*Data!F143/Data!F142</f>
        <v>9514.6341777698253</v>
      </c>
      <c r="L145" s="23">
        <f>$C$7*Data!I143/Data!I142</f>
        <v>6213.0627534319274</v>
      </c>
      <c r="M145" s="23">
        <f>$C$8*Data!L143/Data!L142</f>
        <v>113.62623847113696</v>
      </c>
      <c r="N145" s="23">
        <f t="shared" si="13"/>
        <v>10012.457893633387</v>
      </c>
      <c r="O145" s="23">
        <f t="shared" si="14"/>
        <v>12.457893633387357</v>
      </c>
      <c r="P145" s="23">
        <f t="shared" si="15"/>
        <v>-12.457893633387357</v>
      </c>
      <c r="Q145" s="48">
        <f t="shared" si="16"/>
        <v>9.0034884337409672E-4</v>
      </c>
      <c r="S145">
        <v>419</v>
      </c>
      <c r="T145" s="50">
        <v>42.37526669874751</v>
      </c>
      <c r="U145" s="51">
        <f t="shared" si="17"/>
        <v>3.6273909378098075E-3</v>
      </c>
      <c r="V145" s="51">
        <f>SUM($U$5:U145)</f>
        <v>0.36006180957599809</v>
      </c>
      <c r="AB145" s="37"/>
    </row>
    <row r="146" spans="9:28" x14ac:dyDescent="0.3">
      <c r="I146">
        <v>142</v>
      </c>
      <c r="J146" s="23">
        <f>$C$5*Data!C144/Data!C143</f>
        <v>10973.228648290025</v>
      </c>
      <c r="K146" s="23">
        <f>$C$6*Data!F144/Data!F143</f>
        <v>9505.9924477005461</v>
      </c>
      <c r="L146" s="23">
        <f>$C$7*Data!I144/Data!I143</f>
        <v>6188.3998045059625</v>
      </c>
      <c r="M146" s="23">
        <f>$C$8*Data!L144/Data!L143</f>
        <v>114.40934571515669</v>
      </c>
      <c r="N146" s="23">
        <f t="shared" si="13"/>
        <v>9979.1347898052099</v>
      </c>
      <c r="O146" s="23">
        <f t="shared" si="14"/>
        <v>-20.865210194790052</v>
      </c>
      <c r="P146" s="23">
        <f t="shared" si="15"/>
        <v>20.865210194790052</v>
      </c>
      <c r="Q146" s="48">
        <f t="shared" si="16"/>
        <v>9.0487320942120287E-4</v>
      </c>
      <c r="S146">
        <v>12</v>
      </c>
      <c r="T146" s="50">
        <v>42.100045235552898</v>
      </c>
      <c r="U146" s="51">
        <f t="shared" si="17"/>
        <v>4.7161567062002646E-4</v>
      </c>
      <c r="V146" s="51">
        <f>SUM($U$5:U146)</f>
        <v>0.36053342524661813</v>
      </c>
      <c r="AB146" s="37"/>
    </row>
    <row r="147" spans="9:28" x14ac:dyDescent="0.3">
      <c r="I147">
        <v>143</v>
      </c>
      <c r="J147" s="23">
        <f>$C$5*Data!C145/Data!C144</f>
        <v>11023.542220236817</v>
      </c>
      <c r="K147" s="23">
        <f>$C$6*Data!F145/Data!F144</f>
        <v>9539.3110061523203</v>
      </c>
      <c r="L147" s="23">
        <f>$C$7*Data!I145/Data!I144</f>
        <v>6170.6250375170921</v>
      </c>
      <c r="M147" s="23">
        <f>$C$8*Data!L145/Data!L144</f>
        <v>112.89765398292663</v>
      </c>
      <c r="N147" s="23">
        <f t="shared" si="13"/>
        <v>9978.1416711495003</v>
      </c>
      <c r="O147" s="23">
        <f t="shared" si="14"/>
        <v>-21.858328850499674</v>
      </c>
      <c r="P147" s="23">
        <f t="shared" si="15"/>
        <v>21.858328850499674</v>
      </c>
      <c r="Q147" s="48">
        <f t="shared" si="16"/>
        <v>9.0942031097608319E-4</v>
      </c>
      <c r="S147">
        <v>382</v>
      </c>
      <c r="T147" s="50">
        <v>41.649376522495004</v>
      </c>
      <c r="U147" s="51">
        <f t="shared" si="17"/>
        <v>3.013341489625421E-3</v>
      </c>
      <c r="V147" s="51">
        <f>SUM($U$5:U147)</f>
        <v>0.36354676673624353</v>
      </c>
      <c r="AB147" s="37"/>
    </row>
    <row r="148" spans="9:28" x14ac:dyDescent="0.3">
      <c r="I148">
        <v>144</v>
      </c>
      <c r="J148" s="23">
        <f>$C$5*Data!C146/Data!C145</f>
        <v>11003.825961387047</v>
      </c>
      <c r="K148" s="23">
        <f>$C$6*Data!F146/Data!F145</f>
        <v>9690.2423773074916</v>
      </c>
      <c r="L148" s="23">
        <f>$C$7*Data!I146/Data!I145</f>
        <v>6159.2423513670765</v>
      </c>
      <c r="M148" s="23">
        <f>$C$8*Data!L146/Data!L145</f>
        <v>113.39332401526188</v>
      </c>
      <c r="N148" s="23">
        <f t="shared" si="13"/>
        <v>10025.103977404986</v>
      </c>
      <c r="O148" s="23">
        <f t="shared" si="14"/>
        <v>25.103977404985926</v>
      </c>
      <c r="P148" s="23">
        <f t="shared" si="15"/>
        <v>-25.103977404985926</v>
      </c>
      <c r="Q148" s="48">
        <f t="shared" si="16"/>
        <v>9.1399026228752075E-4</v>
      </c>
      <c r="S148">
        <v>369</v>
      </c>
      <c r="T148" s="50">
        <v>41.44472704799955</v>
      </c>
      <c r="U148" s="51">
        <f t="shared" si="17"/>
        <v>2.8232439162943724E-3</v>
      </c>
      <c r="V148" s="51">
        <f>SUM($U$5:U148)</f>
        <v>0.36637001065253788</v>
      </c>
      <c r="AB148" s="37"/>
    </row>
    <row r="149" spans="9:28" x14ac:dyDescent="0.3">
      <c r="I149">
        <v>145</v>
      </c>
      <c r="J149" s="23">
        <f>$C$5*Data!C147/Data!C146</f>
        <v>10991.16376967937</v>
      </c>
      <c r="K149" s="23">
        <f>$C$6*Data!F147/Data!F146</f>
        <v>9349.5517421162367</v>
      </c>
      <c r="L149" s="23">
        <f>$C$7*Data!I147/Data!I146</f>
        <v>6159.4110058172146</v>
      </c>
      <c r="M149" s="23">
        <f>$C$8*Data!L147/Data!L146</f>
        <v>112.19641383725494</v>
      </c>
      <c r="N149" s="23">
        <f t="shared" si="13"/>
        <v>9892.8513589589347</v>
      </c>
      <c r="O149" s="23">
        <f t="shared" si="14"/>
        <v>-107.14864104106528</v>
      </c>
      <c r="P149" s="23">
        <f t="shared" si="15"/>
        <v>107.14864104106528</v>
      </c>
      <c r="Q149" s="48">
        <f t="shared" si="16"/>
        <v>9.1858317817841294E-4</v>
      </c>
      <c r="S149">
        <v>475</v>
      </c>
      <c r="T149" s="50">
        <v>40.125074150193541</v>
      </c>
      <c r="U149" s="51">
        <f t="shared" si="17"/>
        <v>4.8028811722401052E-3</v>
      </c>
      <c r="V149" s="51">
        <f>SUM($U$5:U149)</f>
        <v>0.37117289182477797</v>
      </c>
      <c r="AB149" s="37"/>
    </row>
    <row r="150" spans="9:28" x14ac:dyDescent="0.3">
      <c r="I150">
        <v>146</v>
      </c>
      <c r="J150" s="23">
        <f>$C$5*Data!C148/Data!C147</f>
        <v>10981.804073552634</v>
      </c>
      <c r="K150" s="23">
        <f>$C$6*Data!F148/Data!F147</f>
        <v>9505.1007137225679</v>
      </c>
      <c r="L150" s="23">
        <f>$C$7*Data!I148/Data!I147</f>
        <v>6104.7761601332795</v>
      </c>
      <c r="M150" s="23">
        <f>$C$8*Data!L148/Data!L147</f>
        <v>113.17743834816559</v>
      </c>
      <c r="N150" s="23">
        <f t="shared" si="13"/>
        <v>9946.6433454754497</v>
      </c>
      <c r="O150" s="23">
        <f t="shared" si="14"/>
        <v>-53.356654524550322</v>
      </c>
      <c r="P150" s="23">
        <f t="shared" si="15"/>
        <v>53.356654524550322</v>
      </c>
      <c r="Q150" s="48">
        <f t="shared" si="16"/>
        <v>9.2319917404865589E-4</v>
      </c>
      <c r="S150">
        <v>165</v>
      </c>
      <c r="T150" s="50">
        <v>39.965420581183935</v>
      </c>
      <c r="U150" s="51">
        <f t="shared" si="17"/>
        <v>1.015446093327985E-3</v>
      </c>
      <c r="V150" s="51">
        <f>SUM($U$5:U150)</f>
        <v>0.37218833791810596</v>
      </c>
      <c r="AB150" s="37"/>
    </row>
    <row r="151" spans="9:28" x14ac:dyDescent="0.3">
      <c r="I151">
        <v>147</v>
      </c>
      <c r="J151" s="23">
        <f>$C$5*Data!C149/Data!C148</f>
        <v>10997.664381235338</v>
      </c>
      <c r="K151" s="23">
        <f>$C$6*Data!F149/Data!F148</f>
        <v>9599.4180958226498</v>
      </c>
      <c r="L151" s="23">
        <f>$C$7*Data!I149/Data!I148</f>
        <v>6160.7382725294028</v>
      </c>
      <c r="M151" s="23">
        <f>$C$8*Data!L149/Data!L148</f>
        <v>112.38877096908818</v>
      </c>
      <c r="N151" s="23">
        <f t="shared" si="13"/>
        <v>9976.9185288718709</v>
      </c>
      <c r="O151" s="23">
        <f t="shared" si="14"/>
        <v>-23.081471128129124</v>
      </c>
      <c r="P151" s="23">
        <f t="shared" si="15"/>
        <v>23.081471128129124</v>
      </c>
      <c r="Q151" s="48">
        <f t="shared" si="16"/>
        <v>9.2783836587804645E-4</v>
      </c>
      <c r="S151">
        <v>448</v>
      </c>
      <c r="T151" s="50">
        <v>39.412465563396836</v>
      </c>
      <c r="U151" s="51">
        <f t="shared" si="17"/>
        <v>4.1949329346564774E-3</v>
      </c>
      <c r="V151" s="51">
        <f>SUM($U$5:U151)</f>
        <v>0.37638327085276246</v>
      </c>
      <c r="AB151" s="37"/>
    </row>
    <row r="152" spans="9:28" x14ac:dyDescent="0.3">
      <c r="I152">
        <v>148</v>
      </c>
      <c r="J152" s="23">
        <f>$C$5*Data!C150/Data!C149</f>
        <v>11042.977960337323</v>
      </c>
      <c r="K152" s="23">
        <f>$C$6*Data!F150/Data!F149</f>
        <v>9471.7557907488954</v>
      </c>
      <c r="L152" s="23">
        <f>$C$7*Data!I150/Data!I149</f>
        <v>6256.3358692946576</v>
      </c>
      <c r="M152" s="23">
        <f>$C$8*Data!L150/Data!L149</f>
        <v>111.9770848375517</v>
      </c>
      <c r="N152" s="23">
        <f t="shared" si="13"/>
        <v>9961.5883362857712</v>
      </c>
      <c r="O152" s="23">
        <f t="shared" si="14"/>
        <v>-38.41166371422878</v>
      </c>
      <c r="P152" s="23">
        <f t="shared" si="15"/>
        <v>38.41166371422878</v>
      </c>
      <c r="Q152" s="48">
        <f t="shared" si="16"/>
        <v>9.3250087022919215E-4</v>
      </c>
      <c r="S152">
        <v>63</v>
      </c>
      <c r="T152" s="50">
        <v>38.06411497586123</v>
      </c>
      <c r="U152" s="51">
        <f t="shared" si="17"/>
        <v>6.0899132913679738E-4</v>
      </c>
      <c r="V152" s="51">
        <f>SUM($U$5:U152)</f>
        <v>0.37699226218189924</v>
      </c>
      <c r="AB152" s="37"/>
    </row>
    <row r="153" spans="9:28" x14ac:dyDescent="0.3">
      <c r="I153">
        <v>149</v>
      </c>
      <c r="J153" s="23">
        <f>$C$5*Data!C151/Data!C150</f>
        <v>11063.280758409745</v>
      </c>
      <c r="K153" s="23">
        <f>$C$6*Data!F151/Data!F150</f>
        <v>9531.0487607328359</v>
      </c>
      <c r="L153" s="23">
        <f>$C$7*Data!I151/Data!I150</f>
        <v>6201.5766324234237</v>
      </c>
      <c r="M153" s="23">
        <f>$C$8*Data!L151/Data!L150</f>
        <v>112.7317781712954</v>
      </c>
      <c r="N153" s="23">
        <f t="shared" si="13"/>
        <v>9992.0325380431004</v>
      </c>
      <c r="O153" s="23">
        <f t="shared" si="14"/>
        <v>-7.9674619568995695</v>
      </c>
      <c r="P153" s="23">
        <f t="shared" si="15"/>
        <v>7.9674619568995695</v>
      </c>
      <c r="Q153" s="48">
        <f t="shared" si="16"/>
        <v>9.3718680425044446E-4</v>
      </c>
      <c r="S153">
        <v>62</v>
      </c>
      <c r="T153" s="50">
        <v>37.966521516747889</v>
      </c>
      <c r="U153" s="51">
        <f t="shared" si="17"/>
        <v>6.0594637249111348E-4</v>
      </c>
      <c r="V153" s="51">
        <f>SUM($U$5:U153)</f>
        <v>0.37759820855439036</v>
      </c>
      <c r="AB153" s="37"/>
    </row>
    <row r="154" spans="9:28" x14ac:dyDescent="0.3">
      <c r="I154">
        <v>150</v>
      </c>
      <c r="J154" s="23">
        <f>$C$5*Data!C152/Data!C151</f>
        <v>11025.991258413715</v>
      </c>
      <c r="K154" s="23">
        <f>$C$6*Data!F152/Data!F151</f>
        <v>9571.7366746701155</v>
      </c>
      <c r="L154" s="23">
        <f>$C$7*Data!I152/Data!I151</f>
        <v>6195.771980688005</v>
      </c>
      <c r="M154" s="23">
        <f>$C$8*Data!L152/Data!L151</f>
        <v>112.18804802592929</v>
      </c>
      <c r="N154" s="23">
        <f t="shared" si="13"/>
        <v>9980.6400770854179</v>
      </c>
      <c r="O154" s="23">
        <f t="shared" si="14"/>
        <v>-19.359922914582057</v>
      </c>
      <c r="P154" s="23">
        <f t="shared" si="15"/>
        <v>19.359922914582057</v>
      </c>
      <c r="Q154" s="48">
        <f t="shared" si="16"/>
        <v>9.4189628567883867E-4</v>
      </c>
      <c r="S154">
        <v>428</v>
      </c>
      <c r="T154" s="50">
        <v>37.414250719673873</v>
      </c>
      <c r="U154" s="51">
        <f t="shared" si="17"/>
        <v>3.794780296739408E-3</v>
      </c>
      <c r="V154" s="51">
        <f>SUM($U$5:U154)</f>
        <v>0.38139298885112977</v>
      </c>
      <c r="AB154" s="37"/>
    </row>
    <row r="155" spans="9:28" x14ac:dyDescent="0.3">
      <c r="I155">
        <v>151</v>
      </c>
      <c r="J155" s="23">
        <f>$C$5*Data!C153/Data!C152</f>
        <v>11080.281325049451</v>
      </c>
      <c r="K155" s="23">
        <f>$C$6*Data!F153/Data!F152</f>
        <v>9843.8404647656916</v>
      </c>
      <c r="L155" s="23">
        <f>$C$7*Data!I153/Data!I152</f>
        <v>6238.3579277077952</v>
      </c>
      <c r="M155" s="23">
        <f>$C$8*Data!L153/Data!L152</f>
        <v>113.7762273598216</v>
      </c>
      <c r="N155" s="23">
        <f t="shared" si="13"/>
        <v>10120.397691239228</v>
      </c>
      <c r="O155" s="23">
        <f t="shared" si="14"/>
        <v>120.39769123922815</v>
      </c>
      <c r="P155" s="23">
        <f t="shared" si="15"/>
        <v>-120.39769123922815</v>
      </c>
      <c r="Q155" s="48">
        <f t="shared" si="16"/>
        <v>9.4662943284305398E-4</v>
      </c>
      <c r="S155">
        <v>47</v>
      </c>
      <c r="T155" s="50">
        <v>36.334046200441662</v>
      </c>
      <c r="U155" s="51">
        <f t="shared" si="17"/>
        <v>5.6205705189078868E-4</v>
      </c>
      <c r="V155" s="51">
        <f>SUM($U$5:U155)</f>
        <v>0.38195504590302054</v>
      </c>
      <c r="AB155" s="37"/>
    </row>
    <row r="156" spans="9:28" x14ac:dyDescent="0.3">
      <c r="I156">
        <v>152</v>
      </c>
      <c r="J156" s="23">
        <f>$C$5*Data!C154/Data!C153</f>
        <v>11025.096374214185</v>
      </c>
      <c r="K156" s="23">
        <f>$C$6*Data!F154/Data!F153</f>
        <v>9696.5281569017443</v>
      </c>
      <c r="L156" s="23">
        <f>$C$7*Data!I154/Data!I153</f>
        <v>6209.2096618856076</v>
      </c>
      <c r="M156" s="23">
        <f>$C$8*Data!L154/Data!L153</f>
        <v>110.54775292273176</v>
      </c>
      <c r="N156" s="23">
        <f t="shared" si="13"/>
        <v>9992.4027519046285</v>
      </c>
      <c r="O156" s="23">
        <f t="shared" si="14"/>
        <v>-7.5972480953714694</v>
      </c>
      <c r="P156" s="23">
        <f t="shared" si="15"/>
        <v>7.5972480953714694</v>
      </c>
      <c r="Q156" s="48">
        <f t="shared" si="16"/>
        <v>9.5138636466638588E-4</v>
      </c>
      <c r="S156">
        <v>367</v>
      </c>
      <c r="T156" s="50">
        <v>35.690833211936479</v>
      </c>
      <c r="U156" s="51">
        <f t="shared" si="17"/>
        <v>2.7950820582293367E-3</v>
      </c>
      <c r="V156" s="51">
        <f>SUM($U$5:U156)</f>
        <v>0.38475012796124985</v>
      </c>
      <c r="AB156" s="37"/>
    </row>
    <row r="157" spans="9:28" x14ac:dyDescent="0.3">
      <c r="I157">
        <v>153</v>
      </c>
      <c r="J157" s="23">
        <f>$C$5*Data!C155/Data!C154</f>
        <v>10960.670189569064</v>
      </c>
      <c r="K157" s="23">
        <f>$C$6*Data!F155/Data!F154</f>
        <v>9475.5088115549224</v>
      </c>
      <c r="L157" s="23">
        <f>$C$7*Data!I155/Data!I154</f>
        <v>6176.3928595871275</v>
      </c>
      <c r="M157" s="23">
        <f>$C$8*Data!L155/Data!L154</f>
        <v>113.00272139901163</v>
      </c>
      <c r="N157" s="23">
        <f t="shared" si="13"/>
        <v>9938.1792424347041</v>
      </c>
      <c r="O157" s="23">
        <f t="shared" si="14"/>
        <v>-61.820757565295935</v>
      </c>
      <c r="P157" s="23">
        <f t="shared" si="15"/>
        <v>61.820757565295935</v>
      </c>
      <c r="Q157" s="48">
        <f t="shared" si="16"/>
        <v>9.5616720066973447E-4</v>
      </c>
      <c r="S157">
        <v>151</v>
      </c>
      <c r="T157" s="50">
        <v>35.544016705925969</v>
      </c>
      <c r="U157" s="51">
        <f t="shared" si="17"/>
        <v>9.4662943284305398E-4</v>
      </c>
      <c r="V157" s="51">
        <f>SUM($U$5:U157)</f>
        <v>0.38569675739409293</v>
      </c>
      <c r="AB157" s="37"/>
    </row>
    <row r="158" spans="9:28" x14ac:dyDescent="0.3">
      <c r="I158">
        <v>154</v>
      </c>
      <c r="J158" s="23">
        <f>$C$5*Data!C156/Data!C155</f>
        <v>11081.237602437308</v>
      </c>
      <c r="K158" s="23">
        <f>$C$6*Data!F156/Data!F155</f>
        <v>9654.009489186843</v>
      </c>
      <c r="L158" s="23">
        <f>$C$7*Data!I156/Data!I155</f>
        <v>6167.0018886051857</v>
      </c>
      <c r="M158" s="23">
        <f>$C$8*Data!L156/Data!L155</f>
        <v>114.52540135152644</v>
      </c>
      <c r="N158" s="23">
        <f t="shared" si="13"/>
        <v>10063.194243897371</v>
      </c>
      <c r="O158" s="23">
        <f t="shared" si="14"/>
        <v>63.194243897371052</v>
      </c>
      <c r="P158" s="23">
        <f t="shared" si="15"/>
        <v>-63.194243897371052</v>
      </c>
      <c r="Q158" s="48">
        <f t="shared" si="16"/>
        <v>9.6097206097460746E-4</v>
      </c>
      <c r="S158">
        <v>93</v>
      </c>
      <c r="T158" s="50">
        <v>34.950311239832445</v>
      </c>
      <c r="U158" s="51">
        <f t="shared" si="17"/>
        <v>7.0781324768595525E-4</v>
      </c>
      <c r="V158" s="51">
        <f>SUM($U$5:U158)</f>
        <v>0.38640457064177886</v>
      </c>
      <c r="AB158" s="37"/>
    </row>
    <row r="159" spans="9:28" x14ac:dyDescent="0.3">
      <c r="I159">
        <v>155</v>
      </c>
      <c r="J159" s="23">
        <f>$C$5*Data!C157/Data!C156</f>
        <v>11035.873644963009</v>
      </c>
      <c r="K159" s="23">
        <f>$C$6*Data!F157/Data!F156</f>
        <v>9714.2795091194657</v>
      </c>
      <c r="L159" s="23">
        <f>$C$7*Data!I157/Data!I156</f>
        <v>6210.333641002775</v>
      </c>
      <c r="M159" s="23">
        <f>$C$8*Data!L157/Data!L156</f>
        <v>111.6136181804638</v>
      </c>
      <c r="N159" s="23">
        <f t="shared" si="13"/>
        <v>10020.937162408294</v>
      </c>
      <c r="O159" s="23">
        <f t="shared" si="14"/>
        <v>20.937162408294171</v>
      </c>
      <c r="P159" s="23">
        <f t="shared" si="15"/>
        <v>-20.937162408294171</v>
      </c>
      <c r="Q159" s="48">
        <f t="shared" si="16"/>
        <v>9.6580106630613828E-4</v>
      </c>
      <c r="S159">
        <v>476</v>
      </c>
      <c r="T159" s="50">
        <v>34.434843855615327</v>
      </c>
      <c r="U159" s="51">
        <f t="shared" si="17"/>
        <v>4.8270162535076436E-3</v>
      </c>
      <c r="V159" s="51">
        <f>SUM($U$5:U159)</f>
        <v>0.39123158689528648</v>
      </c>
      <c r="AB159" s="37"/>
    </row>
    <row r="160" spans="9:28" x14ac:dyDescent="0.3">
      <c r="I160">
        <v>156</v>
      </c>
      <c r="J160" s="23">
        <f>$C$5*Data!C158/Data!C157</f>
        <v>11108.4794749963</v>
      </c>
      <c r="K160" s="23">
        <f>$C$6*Data!F158/Data!F157</f>
        <v>9624.5224473344479</v>
      </c>
      <c r="L160" s="23">
        <f>$C$7*Data!I158/Data!I157</f>
        <v>6214.4548195691077</v>
      </c>
      <c r="M160" s="23">
        <f>$C$8*Data!L158/Data!L157</f>
        <v>114.05738680775001</v>
      </c>
      <c r="N160" s="23">
        <f t="shared" si="13"/>
        <v>10063.222461090365</v>
      </c>
      <c r="O160" s="23">
        <f t="shared" si="14"/>
        <v>63.222461090364959</v>
      </c>
      <c r="P160" s="23">
        <f t="shared" si="15"/>
        <v>-63.222461090364959</v>
      </c>
      <c r="Q160" s="48">
        <f t="shared" si="16"/>
        <v>9.7065433799611888E-4</v>
      </c>
      <c r="S160">
        <v>14</v>
      </c>
      <c r="T160" s="50">
        <v>34.097057896085971</v>
      </c>
      <c r="U160" s="51">
        <f t="shared" si="17"/>
        <v>4.7636743579205224E-4</v>
      </c>
      <c r="V160" s="51">
        <f>SUM($U$5:U160)</f>
        <v>0.39170795433107852</v>
      </c>
      <c r="AB160" s="37"/>
    </row>
    <row r="161" spans="9:28" x14ac:dyDescent="0.3">
      <c r="I161">
        <v>157</v>
      </c>
      <c r="J161" s="23">
        <f>$C$5*Data!C159/Data!C158</f>
        <v>11017.998007499555</v>
      </c>
      <c r="K161" s="23">
        <f>$C$6*Data!F159/Data!F158</f>
        <v>9766.1675617628825</v>
      </c>
      <c r="L161" s="23">
        <f>$C$7*Data!I159/Data!I158</f>
        <v>6240.8357310459214</v>
      </c>
      <c r="M161" s="23">
        <f>$C$8*Data!L159/Data!L158</f>
        <v>114.24089846625471</v>
      </c>
      <c r="N161" s="23">
        <f t="shared" si="13"/>
        <v>10082.15835690844</v>
      </c>
      <c r="O161" s="23">
        <f t="shared" si="14"/>
        <v>82.1583569084396</v>
      </c>
      <c r="P161" s="23">
        <f t="shared" si="15"/>
        <v>-82.1583569084396</v>
      </c>
      <c r="Q161" s="48">
        <f t="shared" si="16"/>
        <v>9.7553199798604913E-4</v>
      </c>
      <c r="S161">
        <v>330</v>
      </c>
      <c r="T161" s="50">
        <v>32.90564005457054</v>
      </c>
      <c r="U161" s="51">
        <f t="shared" si="17"/>
        <v>2.3219269379482817E-3</v>
      </c>
      <c r="V161" s="51">
        <f>SUM($U$5:U161)</f>
        <v>0.39402988126902683</v>
      </c>
      <c r="AB161" s="37"/>
    </row>
    <row r="162" spans="9:28" x14ac:dyDescent="0.3">
      <c r="I162">
        <v>158</v>
      </c>
      <c r="J162" s="23">
        <f>$C$5*Data!C160/Data!C159</f>
        <v>10983.309877385231</v>
      </c>
      <c r="K162" s="23">
        <f>$C$6*Data!F160/Data!F159</f>
        <v>9443.9193593552882</v>
      </c>
      <c r="L162" s="23">
        <f>$C$7*Data!I160/Data!I159</f>
        <v>6250.7385642551699</v>
      </c>
      <c r="M162" s="23">
        <f>$C$8*Data!L160/Data!L159</f>
        <v>113.11239795633387</v>
      </c>
      <c r="N162" s="23">
        <f t="shared" si="13"/>
        <v>9950.4582860692335</v>
      </c>
      <c r="O162" s="23">
        <f t="shared" si="14"/>
        <v>-49.541713930766491</v>
      </c>
      <c r="P162" s="23">
        <f t="shared" si="15"/>
        <v>49.541713930766491</v>
      </c>
      <c r="Q162" s="48">
        <f t="shared" si="16"/>
        <v>9.8043416883020012E-4</v>
      </c>
      <c r="S162">
        <v>438</v>
      </c>
      <c r="T162" s="50">
        <v>31.033680529879348</v>
      </c>
      <c r="U162" s="51">
        <f t="shared" si="17"/>
        <v>3.989843210776286E-3</v>
      </c>
      <c r="V162" s="51">
        <f>SUM($U$5:U162)</f>
        <v>0.39801972447980311</v>
      </c>
      <c r="AB162" s="37"/>
    </row>
    <row r="163" spans="9:28" x14ac:dyDescent="0.3">
      <c r="I163">
        <v>159</v>
      </c>
      <c r="J163" s="23">
        <f>$C$5*Data!C161/Data!C160</f>
        <v>11007.675154572235</v>
      </c>
      <c r="K163" s="23">
        <f>$C$6*Data!F161/Data!F160</f>
        <v>9710.7285467237616</v>
      </c>
      <c r="L163" s="23">
        <f>$C$7*Data!I161/Data!I160</f>
        <v>6166.8847804730804</v>
      </c>
      <c r="M163" s="23">
        <f>$C$8*Data!L161/Data!L160</f>
        <v>113.37449017692741</v>
      </c>
      <c r="N163" s="23">
        <f t="shared" si="13"/>
        <v>10033.801581568776</v>
      </c>
      <c r="O163" s="23">
        <f t="shared" si="14"/>
        <v>33.801581568775873</v>
      </c>
      <c r="P163" s="23">
        <f t="shared" si="15"/>
        <v>-33.801581568775873</v>
      </c>
      <c r="Q163" s="48">
        <f t="shared" si="16"/>
        <v>9.8536097369869352E-4</v>
      </c>
      <c r="S163">
        <v>65</v>
      </c>
      <c r="T163" s="50">
        <v>30.414433623716832</v>
      </c>
      <c r="U163" s="51">
        <f t="shared" si="17"/>
        <v>6.1512722318809868E-4</v>
      </c>
      <c r="V163" s="51">
        <f>SUM($U$5:U163)</f>
        <v>0.39863485170299118</v>
      </c>
      <c r="AB163" s="37"/>
    </row>
    <row r="164" spans="9:28" x14ac:dyDescent="0.3">
      <c r="I164">
        <v>160</v>
      </c>
      <c r="J164" s="23">
        <f>$C$5*Data!C162/Data!C161</f>
        <v>10985.805378862979</v>
      </c>
      <c r="K164" s="23">
        <f>$C$6*Data!F162/Data!F161</f>
        <v>9564.9734695329917</v>
      </c>
      <c r="L164" s="23">
        <f>$C$7*Data!I162/Data!I161</f>
        <v>6193.4963994159025</v>
      </c>
      <c r="M164" s="23">
        <f>$C$8*Data!L162/Data!L161</f>
        <v>114.40026927087709</v>
      </c>
      <c r="N164" s="23">
        <f t="shared" si="13"/>
        <v>10002.791838083333</v>
      </c>
      <c r="O164" s="23">
        <f t="shared" si="14"/>
        <v>2.79183808333255</v>
      </c>
      <c r="P164" s="23">
        <f t="shared" si="15"/>
        <v>-2.79183808333255</v>
      </c>
      <c r="Q164" s="48">
        <f t="shared" si="16"/>
        <v>9.9031253638059633E-4</v>
      </c>
      <c r="S164">
        <v>312</v>
      </c>
      <c r="T164" s="50">
        <v>30.033040300642824</v>
      </c>
      <c r="U164" s="51">
        <f t="shared" si="17"/>
        <v>2.1216024267063645E-3</v>
      </c>
      <c r="V164" s="51">
        <f>SUM($U$5:U164)</f>
        <v>0.40075645412969751</v>
      </c>
      <c r="AB164" s="37"/>
    </row>
    <row r="165" spans="9:28" x14ac:dyDescent="0.3">
      <c r="I165">
        <v>161</v>
      </c>
      <c r="J165" s="23">
        <f>$C$5*Data!C163/Data!C162</f>
        <v>11052.517114947159</v>
      </c>
      <c r="K165" s="23">
        <f>$C$6*Data!F163/Data!F162</f>
        <v>9625.1313763937851</v>
      </c>
      <c r="L165" s="23">
        <f>$C$7*Data!I163/Data!I162</f>
        <v>6209.803867311145</v>
      </c>
      <c r="M165" s="23">
        <f>$C$8*Data!L163/Data!L162</f>
        <v>112.50257757583833</v>
      </c>
      <c r="N165" s="23">
        <f t="shared" si="13"/>
        <v>10014.791293190472</v>
      </c>
      <c r="O165" s="23">
        <f t="shared" si="14"/>
        <v>14.791293190472061</v>
      </c>
      <c r="P165" s="23">
        <f t="shared" si="15"/>
        <v>-14.791293190472061</v>
      </c>
      <c r="Q165" s="48">
        <f t="shared" si="16"/>
        <v>9.9528898128703166E-4</v>
      </c>
      <c r="S165">
        <v>352</v>
      </c>
      <c r="T165" s="50">
        <v>29.714113086716679</v>
      </c>
      <c r="U165" s="51">
        <f t="shared" si="17"/>
        <v>2.5926313825143949E-3</v>
      </c>
      <c r="V165" s="51">
        <f>SUM($U$5:U165)</f>
        <v>0.40334908551221194</v>
      </c>
      <c r="AB165" s="37"/>
    </row>
    <row r="166" spans="9:28" x14ac:dyDescent="0.3">
      <c r="I166">
        <v>162</v>
      </c>
      <c r="J166" s="23">
        <f>$C$5*Data!C164/Data!C163</f>
        <v>11021.984275346191</v>
      </c>
      <c r="K166" s="23">
        <f>$C$6*Data!F164/Data!F163</f>
        <v>9371.1541529083242</v>
      </c>
      <c r="L166" s="23">
        <f>$C$7*Data!I164/Data!I163</f>
        <v>6240.4385336635605</v>
      </c>
      <c r="M166" s="23">
        <f>$C$8*Data!L164/Data!L163</f>
        <v>113.26717610574994</v>
      </c>
      <c r="N166" s="23">
        <f t="shared" si="13"/>
        <v>9942.836754986587</v>
      </c>
      <c r="O166" s="23">
        <f t="shared" si="14"/>
        <v>-57.163245013412961</v>
      </c>
      <c r="P166" s="23">
        <f t="shared" si="15"/>
        <v>57.163245013412961</v>
      </c>
      <c r="Q166" s="48">
        <f t="shared" si="16"/>
        <v>1.0002904334543031E-3</v>
      </c>
      <c r="S166">
        <v>203</v>
      </c>
      <c r="T166" s="50">
        <v>29.4999993688416</v>
      </c>
      <c r="U166" s="51">
        <f t="shared" si="17"/>
        <v>1.2285131365102804E-3</v>
      </c>
      <c r="V166" s="51">
        <f>SUM($U$5:U166)</f>
        <v>0.40457759864872223</v>
      </c>
      <c r="AB166" s="37"/>
    </row>
    <row r="167" spans="9:28" x14ac:dyDescent="0.3">
      <c r="I167">
        <v>163</v>
      </c>
      <c r="J167" s="23">
        <f>$C$5*Data!C165/Data!C164</f>
        <v>11062.192481274795</v>
      </c>
      <c r="K167" s="23">
        <f>$C$6*Data!F165/Data!F164</f>
        <v>9587.4692106345083</v>
      </c>
      <c r="L167" s="23">
        <f>$C$7*Data!I165/Data!I164</f>
        <v>6142.791699955138</v>
      </c>
      <c r="M167" s="23">
        <f>$C$8*Data!L165/Data!L164</f>
        <v>113.49988824717148</v>
      </c>
      <c r="N167" s="23">
        <f t="shared" si="13"/>
        <v>10013.40463791808</v>
      </c>
      <c r="O167" s="23">
        <f t="shared" si="14"/>
        <v>13.40463791807997</v>
      </c>
      <c r="P167" s="23">
        <f t="shared" si="15"/>
        <v>-13.40463791807997</v>
      </c>
      <c r="Q167" s="48">
        <f t="shared" si="16"/>
        <v>1.0053170185470384E-3</v>
      </c>
      <c r="S167">
        <v>192</v>
      </c>
      <c r="T167" s="50">
        <v>29.492662898668641</v>
      </c>
      <c r="U167" s="51">
        <f t="shared" si="17"/>
        <v>1.1626090330974816E-3</v>
      </c>
      <c r="V167" s="51">
        <f>SUM($U$5:U167)</f>
        <v>0.40574020768181973</v>
      </c>
      <c r="AB167" s="37"/>
    </row>
    <row r="168" spans="9:28" x14ac:dyDescent="0.3">
      <c r="I168">
        <v>164</v>
      </c>
      <c r="J168" s="23">
        <f>$C$5*Data!C166/Data!C165</f>
        <v>11017.687657669419</v>
      </c>
      <c r="K168" s="23">
        <f>$C$6*Data!F166/Data!F165</f>
        <v>9434.2766256023551</v>
      </c>
      <c r="L168" s="23">
        <f>$C$7*Data!I166/Data!I165</f>
        <v>6228.8049287152826</v>
      </c>
      <c r="M168" s="23">
        <f>$C$8*Data!L166/Data!L165</f>
        <v>113.96269608839481</v>
      </c>
      <c r="N168" s="23">
        <f t="shared" si="13"/>
        <v>9971.4566858620346</v>
      </c>
      <c r="O168" s="23">
        <f t="shared" si="14"/>
        <v>-28.543314137965353</v>
      </c>
      <c r="P168" s="23">
        <f t="shared" si="15"/>
        <v>28.543314137965353</v>
      </c>
      <c r="Q168" s="48">
        <f t="shared" si="16"/>
        <v>1.0103688628613449E-3</v>
      </c>
      <c r="S168">
        <v>107</v>
      </c>
      <c r="T168" s="50">
        <v>29.048133751541172</v>
      </c>
      <c r="U168" s="51">
        <f t="shared" si="17"/>
        <v>7.5926880385480348E-4</v>
      </c>
      <c r="V168" s="51">
        <f>SUM($U$5:U168)</f>
        <v>0.40649947648567453</v>
      </c>
      <c r="AB168" s="37"/>
    </row>
    <row r="169" spans="9:28" x14ac:dyDescent="0.3">
      <c r="I169">
        <v>165</v>
      </c>
      <c r="J169" s="23">
        <f>$C$5*Data!C167/Data!C166</f>
        <v>11029.902412869116</v>
      </c>
      <c r="K169" s="23">
        <f>$C$6*Data!F167/Data!F166</f>
        <v>9581.4013312895513</v>
      </c>
      <c r="L169" s="23">
        <f>$C$7*Data!I167/Data!I166</f>
        <v>6187.3624343617766</v>
      </c>
      <c r="M169" s="23">
        <f>$C$8*Data!L167/Data!L166</f>
        <v>113.24373768267218</v>
      </c>
      <c r="N169" s="23">
        <f t="shared" si="13"/>
        <v>10002.437645788783</v>
      </c>
      <c r="O169" s="23">
        <f t="shared" si="14"/>
        <v>2.4376457887829019</v>
      </c>
      <c r="P169" s="23">
        <f t="shared" si="15"/>
        <v>-2.4376457887829019</v>
      </c>
      <c r="Q169" s="48">
        <f t="shared" si="16"/>
        <v>1.015446093327985E-3</v>
      </c>
      <c r="S169">
        <v>460</v>
      </c>
      <c r="T169" s="50">
        <v>28.760453568007506</v>
      </c>
      <c r="U169" s="51">
        <f t="shared" si="17"/>
        <v>4.4550035362917167E-3</v>
      </c>
      <c r="V169" s="51">
        <f>SUM($U$5:U169)</f>
        <v>0.41095448002196622</v>
      </c>
      <c r="AB169" s="37"/>
    </row>
    <row r="170" spans="9:28" x14ac:dyDescent="0.3">
      <c r="I170">
        <v>166</v>
      </c>
      <c r="J170" s="23">
        <f>$C$5*Data!C168/Data!C167</f>
        <v>10932.015473076579</v>
      </c>
      <c r="K170" s="23">
        <f>$C$6*Data!F168/Data!F167</f>
        <v>9466.2281390443914</v>
      </c>
      <c r="L170" s="23">
        <f>$C$7*Data!I168/Data!I167</f>
        <v>6175.8086889806973</v>
      </c>
      <c r="M170" s="23">
        <f>$C$8*Data!L168/Data!L167</f>
        <v>111.12678505060838</v>
      </c>
      <c r="N170" s="23">
        <f t="shared" si="13"/>
        <v>9891.5309828671743</v>
      </c>
      <c r="O170" s="23">
        <f t="shared" si="14"/>
        <v>-108.46901713282568</v>
      </c>
      <c r="P170" s="23">
        <f t="shared" si="15"/>
        <v>108.46901713282568</v>
      </c>
      <c r="Q170" s="48">
        <f t="shared" si="16"/>
        <v>1.0205488375155628E-3</v>
      </c>
      <c r="S170">
        <v>390</v>
      </c>
      <c r="T170" s="50">
        <v>28.40791700977752</v>
      </c>
      <c r="U170" s="51">
        <f t="shared" si="17"/>
        <v>3.1366329857147584E-3</v>
      </c>
      <c r="V170" s="51">
        <f>SUM($U$5:U170)</f>
        <v>0.41409111300768098</v>
      </c>
      <c r="AB170" s="37"/>
    </row>
    <row r="171" spans="9:28" x14ac:dyDescent="0.3">
      <c r="I171">
        <v>167</v>
      </c>
      <c r="J171" s="23">
        <f>$C$5*Data!C169/Data!C168</f>
        <v>10961.130286585427</v>
      </c>
      <c r="K171" s="23">
        <f>$C$6*Data!F169/Data!F168</f>
        <v>9589.031737289939</v>
      </c>
      <c r="L171" s="23">
        <f>$C$7*Data!I169/Data!I168</f>
        <v>6095.8183423871906</v>
      </c>
      <c r="M171" s="23">
        <f>$C$8*Data!L169/Data!L168</f>
        <v>114.50900789850274</v>
      </c>
      <c r="N171" s="23">
        <f t="shared" si="13"/>
        <v>9987.5294168364617</v>
      </c>
      <c r="O171" s="23">
        <f t="shared" si="14"/>
        <v>-12.470583163538322</v>
      </c>
      <c r="P171" s="23">
        <f t="shared" si="15"/>
        <v>12.470583163538322</v>
      </c>
      <c r="Q171" s="48">
        <f t="shared" si="16"/>
        <v>1.0256772236337313E-3</v>
      </c>
      <c r="S171">
        <v>401</v>
      </c>
      <c r="T171" s="50">
        <v>28.132764101326757</v>
      </c>
      <c r="U171" s="51">
        <f t="shared" si="17"/>
        <v>3.314437371173381E-3</v>
      </c>
      <c r="V171" s="51">
        <f>SUM($U$5:U171)</f>
        <v>0.41740555037885435</v>
      </c>
      <c r="AB171" s="37"/>
    </row>
    <row r="172" spans="9:28" x14ac:dyDescent="0.3">
      <c r="I172">
        <v>168</v>
      </c>
      <c r="J172" s="23">
        <f>$C$5*Data!C170/Data!C169</f>
        <v>11017.705003550765</v>
      </c>
      <c r="K172" s="23">
        <f>$C$6*Data!F170/Data!F169</f>
        <v>9607.2928952156435</v>
      </c>
      <c r="L172" s="23">
        <f>$C$7*Data!I170/Data!I169</f>
        <v>6093.2064287758803</v>
      </c>
      <c r="M172" s="23">
        <f>$C$8*Data!L170/Data!L169</f>
        <v>113.71666993082746</v>
      </c>
      <c r="N172" s="23">
        <f t="shared" si="13"/>
        <v>9999.3004978989575</v>
      </c>
      <c r="O172" s="23">
        <f t="shared" si="14"/>
        <v>-0.69950210104252619</v>
      </c>
      <c r="P172" s="23">
        <f t="shared" si="15"/>
        <v>0.69950210104252619</v>
      </c>
      <c r="Q172" s="48">
        <f t="shared" si="16"/>
        <v>1.0308313805364134E-3</v>
      </c>
      <c r="S172">
        <v>159</v>
      </c>
      <c r="T172" s="50">
        <v>26.814799178344401</v>
      </c>
      <c r="U172" s="51">
        <f t="shared" si="17"/>
        <v>9.8536097369869352E-4</v>
      </c>
      <c r="V172" s="51">
        <f>SUM($U$5:U172)</f>
        <v>0.41839091135255302</v>
      </c>
      <c r="AB172" s="37"/>
    </row>
    <row r="173" spans="9:28" x14ac:dyDescent="0.3">
      <c r="I173">
        <v>169</v>
      </c>
      <c r="J173" s="23">
        <f>$C$5*Data!C171/Data!C170</f>
        <v>11006.43177985898</v>
      </c>
      <c r="K173" s="23">
        <f>$C$6*Data!F171/Data!F170</f>
        <v>9260.2575334634184</v>
      </c>
      <c r="L173" s="23">
        <f>$C$7*Data!I171/Data!I170</f>
        <v>6241.4808174415657</v>
      </c>
      <c r="M173" s="23">
        <f>$C$8*Data!L171/Data!L170</f>
        <v>112.87107176852106</v>
      </c>
      <c r="N173" s="23">
        <f t="shared" si="13"/>
        <v>9895.6834107438044</v>
      </c>
      <c r="O173" s="23">
        <f t="shared" si="14"/>
        <v>-104.31658925619558</v>
      </c>
      <c r="P173" s="23">
        <f t="shared" si="15"/>
        <v>104.31658925619558</v>
      </c>
      <c r="Q173" s="48">
        <f t="shared" si="16"/>
        <v>1.0360114377250386E-3</v>
      </c>
      <c r="S173">
        <v>380</v>
      </c>
      <c r="T173" s="50">
        <v>26.562813273298161</v>
      </c>
      <c r="U173" s="51">
        <f t="shared" si="17"/>
        <v>2.983283408266407E-3</v>
      </c>
      <c r="V173" s="51">
        <f>SUM($U$5:U173)</f>
        <v>0.42137419476081944</v>
      </c>
      <c r="AB173" s="37"/>
    </row>
    <row r="174" spans="9:28" x14ac:dyDescent="0.3">
      <c r="I174">
        <v>170</v>
      </c>
      <c r="J174" s="23">
        <f>$C$5*Data!C172/Data!C171</f>
        <v>10659.828497064587</v>
      </c>
      <c r="K174" s="23">
        <f>$C$6*Data!F172/Data!F171</f>
        <v>9803.2164191356005</v>
      </c>
      <c r="L174" s="23">
        <f>$C$7*Data!I172/Data!I171</f>
        <v>6040.705309111212</v>
      </c>
      <c r="M174" s="23">
        <f>$C$8*Data!L172/Data!L171</f>
        <v>111.2256655745683</v>
      </c>
      <c r="N174" s="23">
        <f t="shared" si="13"/>
        <v>9878.0253307873481</v>
      </c>
      <c r="O174" s="23">
        <f t="shared" si="14"/>
        <v>-121.97466921265186</v>
      </c>
      <c r="P174" s="23">
        <f t="shared" si="15"/>
        <v>121.97466921265186</v>
      </c>
      <c r="Q174" s="48">
        <f t="shared" si="16"/>
        <v>1.0412175253517975E-3</v>
      </c>
      <c r="S174">
        <v>92</v>
      </c>
      <c r="T174" s="50">
        <v>26.368146574946877</v>
      </c>
      <c r="U174" s="51">
        <f t="shared" si="17"/>
        <v>7.0427418144752547E-4</v>
      </c>
      <c r="V174" s="51">
        <f>SUM($U$5:U174)</f>
        <v>0.42207846894226697</v>
      </c>
      <c r="AB174" s="37"/>
    </row>
    <row r="175" spans="9:28" x14ac:dyDescent="0.3">
      <c r="I175">
        <v>171</v>
      </c>
      <c r="J175" s="23">
        <f>$C$5*Data!C173/Data!C172</f>
        <v>10795.303073526618</v>
      </c>
      <c r="K175" s="23">
        <f>$C$6*Data!F173/Data!F172</f>
        <v>9467.2824638307447</v>
      </c>
      <c r="L175" s="23">
        <f>$C$7*Data!I173/Data!I172</f>
        <v>6109.2659059174885</v>
      </c>
      <c r="M175" s="23">
        <f>$C$8*Data!L173/Data!L172</f>
        <v>112.12307741011612</v>
      </c>
      <c r="N175" s="23">
        <f t="shared" si="13"/>
        <v>9849.1756352709126</v>
      </c>
      <c r="O175" s="23">
        <f t="shared" si="14"/>
        <v>-150.82436472908739</v>
      </c>
      <c r="P175" s="23">
        <f t="shared" si="15"/>
        <v>150.82436472908739</v>
      </c>
      <c r="Q175" s="48">
        <f t="shared" si="16"/>
        <v>1.046449774222912E-3</v>
      </c>
      <c r="S175">
        <v>266</v>
      </c>
      <c r="T175" s="50">
        <v>25.301010824408877</v>
      </c>
      <c r="U175" s="51">
        <f t="shared" si="17"/>
        <v>1.6847121880487845E-3</v>
      </c>
      <c r="V175" s="51">
        <f>SUM($U$5:U175)</f>
        <v>0.42376318113031575</v>
      </c>
      <c r="AB175" s="37"/>
    </row>
    <row r="176" spans="9:28" x14ac:dyDescent="0.3">
      <c r="I176">
        <v>172</v>
      </c>
      <c r="J176" s="23">
        <f>$C$5*Data!C174/Data!C173</f>
        <v>11178.641566326383</v>
      </c>
      <c r="K176" s="23">
        <f>$C$6*Data!F174/Data!F173</f>
        <v>9606.3873118520423</v>
      </c>
      <c r="L176" s="23">
        <f>$C$7*Data!I174/Data!I173</f>
        <v>6147.7746767091321</v>
      </c>
      <c r="M176" s="23">
        <f>$C$8*Data!L174/Data!L173</f>
        <v>111.31342975685253</v>
      </c>
      <c r="N176" s="23">
        <f t="shared" si="13"/>
        <v>10023.621238437394</v>
      </c>
      <c r="O176" s="23">
        <f t="shared" si="14"/>
        <v>23.621238437393913</v>
      </c>
      <c r="P176" s="23">
        <f t="shared" si="15"/>
        <v>-23.621238437393913</v>
      </c>
      <c r="Q176" s="48">
        <f t="shared" si="16"/>
        <v>1.0517083158019217E-3</v>
      </c>
      <c r="S176">
        <v>447</v>
      </c>
      <c r="T176" s="50">
        <v>25.296383002289076</v>
      </c>
      <c r="U176" s="51">
        <f t="shared" si="17"/>
        <v>4.1739582699831948E-3</v>
      </c>
      <c r="V176" s="51">
        <f>SUM($U$5:U176)</f>
        <v>0.42793713940029893</v>
      </c>
      <c r="AB176" s="37"/>
    </row>
    <row r="177" spans="9:28" x14ac:dyDescent="0.3">
      <c r="I177">
        <v>173</v>
      </c>
      <c r="J177" s="23">
        <f>$C$5*Data!C175/Data!C174</f>
        <v>10956.974966563337</v>
      </c>
      <c r="K177" s="23">
        <f>$C$6*Data!F175/Data!F174</f>
        <v>9596.9919229847146</v>
      </c>
      <c r="L177" s="23">
        <f>$C$7*Data!I175/Data!I174</f>
        <v>6235.2896695388563</v>
      </c>
      <c r="M177" s="23">
        <f>$C$8*Data!L175/Data!L174</f>
        <v>112.30097709576354</v>
      </c>
      <c r="N177" s="23">
        <f t="shared" si="13"/>
        <v>9971.8611316752686</v>
      </c>
      <c r="O177" s="23">
        <f t="shared" si="14"/>
        <v>-28.138868324731448</v>
      </c>
      <c r="P177" s="23">
        <f t="shared" si="15"/>
        <v>28.138868324731448</v>
      </c>
      <c r="Q177" s="48">
        <f t="shared" si="16"/>
        <v>1.0569932822129867E-3</v>
      </c>
      <c r="S177">
        <v>4</v>
      </c>
      <c r="T177" s="50">
        <v>25.139366356226674</v>
      </c>
      <c r="U177" s="51">
        <f t="shared" si="17"/>
        <v>4.5307789400582409E-4</v>
      </c>
      <c r="V177" s="51">
        <f>SUM($U$5:U177)</f>
        <v>0.42839021729430476</v>
      </c>
      <c r="AB177" s="37"/>
    </row>
    <row r="178" spans="9:28" x14ac:dyDescent="0.3">
      <c r="I178">
        <v>174</v>
      </c>
      <c r="J178" s="23">
        <f>$C$5*Data!C176/Data!C175</f>
        <v>11258.985795491068</v>
      </c>
      <c r="K178" s="23">
        <f>$C$6*Data!F176/Data!F175</f>
        <v>9640.1955322850936</v>
      </c>
      <c r="L178" s="23">
        <f>$C$7*Data!I176/Data!I175</f>
        <v>6310.8840287896755</v>
      </c>
      <c r="M178" s="23">
        <f>$C$8*Data!L176/Data!L175</f>
        <v>112.22141229783566</v>
      </c>
      <c r="N178" s="23">
        <f t="shared" si="13"/>
        <v>10105.746132581899</v>
      </c>
      <c r="O178" s="23">
        <f t="shared" si="14"/>
        <v>105.74613258189856</v>
      </c>
      <c r="P178" s="23">
        <f t="shared" si="15"/>
        <v>-105.74613258189856</v>
      </c>
      <c r="Q178" s="48">
        <f t="shared" si="16"/>
        <v>1.0623048062442077E-3</v>
      </c>
      <c r="S178">
        <v>27</v>
      </c>
      <c r="T178" s="50">
        <v>24.954395007905987</v>
      </c>
      <c r="U178" s="51">
        <f t="shared" si="17"/>
        <v>5.0844269965266199E-4</v>
      </c>
      <c r="V178" s="51">
        <f>SUM($U$5:U178)</f>
        <v>0.42889865999395743</v>
      </c>
      <c r="AB178" s="37"/>
    </row>
    <row r="179" spans="9:28" x14ac:dyDescent="0.3">
      <c r="I179">
        <v>175</v>
      </c>
      <c r="J179" s="23">
        <f>$C$5*Data!C177/Data!C176</f>
        <v>11019.275140304037</v>
      </c>
      <c r="K179" s="23">
        <f>$C$6*Data!F177/Data!F176</f>
        <v>9822.1373928292087</v>
      </c>
      <c r="L179" s="23">
        <f>$C$7*Data!I177/Data!I176</f>
        <v>6160.9752052957492</v>
      </c>
      <c r="M179" s="23">
        <f>$C$8*Data!L177/Data!L176</f>
        <v>112.32272738600663</v>
      </c>
      <c r="N179" s="23">
        <f t="shared" si="13"/>
        <v>10053.229231986305</v>
      </c>
      <c r="O179" s="23">
        <f t="shared" si="14"/>
        <v>53.229231986304512</v>
      </c>
      <c r="P179" s="23">
        <f t="shared" si="15"/>
        <v>-53.229231986304512</v>
      </c>
      <c r="Q179" s="48">
        <f t="shared" si="16"/>
        <v>1.0676430213509627E-3</v>
      </c>
      <c r="S179">
        <v>286</v>
      </c>
      <c r="T179" s="50">
        <v>24.877059392490992</v>
      </c>
      <c r="U179" s="51">
        <f t="shared" si="17"/>
        <v>1.8623620052880072E-3</v>
      </c>
      <c r="V179" s="51">
        <f>SUM($U$5:U179)</f>
        <v>0.43076102199924543</v>
      </c>
      <c r="AB179" s="37"/>
    </row>
    <row r="180" spans="9:28" x14ac:dyDescent="0.3">
      <c r="I180">
        <v>176</v>
      </c>
      <c r="J180" s="23">
        <f>$C$5*Data!C178/Data!C177</f>
        <v>10863.431366865974</v>
      </c>
      <c r="K180" s="23">
        <f>$C$6*Data!F178/Data!F177</f>
        <v>9303.8241531228723</v>
      </c>
      <c r="L180" s="23">
        <f>$C$7*Data!I178/Data!I177</f>
        <v>6107.4202376946423</v>
      </c>
      <c r="M180" s="23">
        <f>$C$8*Data!L178/Data!L177</f>
        <v>108.727457697441</v>
      </c>
      <c r="N180" s="23">
        <f t="shared" si="13"/>
        <v>9762.3268251825557</v>
      </c>
      <c r="O180" s="23">
        <f t="shared" si="14"/>
        <v>-237.67317481744431</v>
      </c>
      <c r="P180" s="23">
        <f t="shared" si="15"/>
        <v>237.67317481744431</v>
      </c>
      <c r="Q180" s="48">
        <f t="shared" si="16"/>
        <v>1.0730080616592589E-3</v>
      </c>
      <c r="S180">
        <v>96</v>
      </c>
      <c r="T180" s="50">
        <v>24.711204333267233</v>
      </c>
      <c r="U180" s="51">
        <f t="shared" si="17"/>
        <v>7.1853750983746814E-4</v>
      </c>
      <c r="V180" s="51">
        <f>SUM($U$5:U180)</f>
        <v>0.4314795595090829</v>
      </c>
      <c r="AB180" s="37"/>
    </row>
    <row r="181" spans="9:28" x14ac:dyDescent="0.3">
      <c r="I181">
        <v>177</v>
      </c>
      <c r="J181" s="23">
        <f>$C$5*Data!C179/Data!C178</f>
        <v>11018.079163716669</v>
      </c>
      <c r="K181" s="23">
        <f>$C$6*Data!F179/Data!F178</f>
        <v>9563.2466116583055</v>
      </c>
      <c r="L181" s="23">
        <f>$C$7*Data!I179/Data!I178</f>
        <v>6165.6635118145814</v>
      </c>
      <c r="M181" s="23">
        <f>$C$8*Data!L179/Data!L178</f>
        <v>113.09567986955275</v>
      </c>
      <c r="N181" s="23">
        <f t="shared" si="13"/>
        <v>9986.3492509518037</v>
      </c>
      <c r="O181" s="23">
        <f t="shared" si="14"/>
        <v>-13.650749048196303</v>
      </c>
      <c r="P181" s="23">
        <f t="shared" si="15"/>
        <v>13.650749048196303</v>
      </c>
      <c r="Q181" s="48">
        <f t="shared" si="16"/>
        <v>1.0784000619691043E-3</v>
      </c>
      <c r="S181">
        <v>55</v>
      </c>
      <c r="T181" s="50">
        <v>23.889557894206519</v>
      </c>
      <c r="U181" s="51">
        <f t="shared" si="17"/>
        <v>5.8505373349948076E-4</v>
      </c>
      <c r="V181" s="51">
        <f>SUM($U$5:U181)</f>
        <v>0.43206461324258238</v>
      </c>
      <c r="AB181" s="37"/>
    </row>
    <row r="182" spans="9:28" x14ac:dyDescent="0.3">
      <c r="I182">
        <v>178</v>
      </c>
      <c r="J182" s="23">
        <f>$C$5*Data!C180/Data!C179</f>
        <v>10974.670351311715</v>
      </c>
      <c r="K182" s="23">
        <f>$C$6*Data!F180/Data!F179</f>
        <v>9502.8270443566689</v>
      </c>
      <c r="L182" s="23">
        <f>$C$7*Data!I180/Data!I179</f>
        <v>6235.406625394754</v>
      </c>
      <c r="M182" s="23">
        <f>$C$8*Data!L180/Data!L179</f>
        <v>110.80032222027567</v>
      </c>
      <c r="N182" s="23">
        <f t="shared" si="13"/>
        <v>9922.2728257235376</v>
      </c>
      <c r="O182" s="23">
        <f t="shared" si="14"/>
        <v>-77.727174276462392</v>
      </c>
      <c r="P182" s="23">
        <f t="shared" si="15"/>
        <v>77.727174276462392</v>
      </c>
      <c r="Q182" s="48">
        <f t="shared" si="16"/>
        <v>1.0838191577578937E-3</v>
      </c>
      <c r="S182">
        <v>167</v>
      </c>
      <c r="T182" s="50">
        <v>23.725278044579682</v>
      </c>
      <c r="U182" s="51">
        <f t="shared" si="17"/>
        <v>1.0256772236337313E-3</v>
      </c>
      <c r="V182" s="51">
        <f>SUM($U$5:U182)</f>
        <v>0.43309029046621611</v>
      </c>
      <c r="AB182" s="37"/>
    </row>
    <row r="183" spans="9:28" x14ac:dyDescent="0.3">
      <c r="I183">
        <v>179</v>
      </c>
      <c r="J183" s="23">
        <f>$C$5*Data!C181/Data!C180</f>
        <v>10961.308276692573</v>
      </c>
      <c r="K183" s="23">
        <f>$C$6*Data!F181/Data!F180</f>
        <v>9493.5732170302163</v>
      </c>
      <c r="L183" s="23">
        <f>$C$7*Data!I181/Data!I180</f>
        <v>6051.499794752217</v>
      </c>
      <c r="M183" s="23">
        <f>$C$8*Data!L181/Data!L180</f>
        <v>113.83258799622025</v>
      </c>
      <c r="N183" s="23">
        <f t="shared" si="13"/>
        <v>9938.624302162234</v>
      </c>
      <c r="O183" s="23">
        <f t="shared" si="14"/>
        <v>-61.375697837765983</v>
      </c>
      <c r="P183" s="23">
        <f t="shared" si="15"/>
        <v>61.375697837765983</v>
      </c>
      <c r="Q183" s="48">
        <f t="shared" si="16"/>
        <v>1.0892654851838127E-3</v>
      </c>
      <c r="S183">
        <v>180</v>
      </c>
      <c r="T183" s="50">
        <v>23.406372812920381</v>
      </c>
      <c r="U183" s="51">
        <f t="shared" si="17"/>
        <v>1.0947391810892592E-3</v>
      </c>
      <c r="V183" s="51">
        <f>SUM($U$5:U183)</f>
        <v>0.43418502964730538</v>
      </c>
      <c r="AB183" s="37"/>
    </row>
    <row r="184" spans="9:28" x14ac:dyDescent="0.3">
      <c r="I184">
        <v>180</v>
      </c>
      <c r="J184" s="23">
        <f>$C$5*Data!C182/Data!C181</f>
        <v>10681.870359797069</v>
      </c>
      <c r="K184" s="23">
        <f>$C$6*Data!F182/Data!F181</f>
        <v>9636.5649062560569</v>
      </c>
      <c r="L184" s="23">
        <f>$C$7*Data!I182/Data!I181</f>
        <v>6171.1673934317696</v>
      </c>
      <c r="M184" s="23">
        <f>$C$8*Data!L182/Data!L181</f>
        <v>113.73591637805666</v>
      </c>
      <c r="N184" s="23">
        <f t="shared" si="13"/>
        <v>9899.4855569205538</v>
      </c>
      <c r="O184" s="23">
        <f t="shared" si="14"/>
        <v>-100.51444307944621</v>
      </c>
      <c r="P184" s="23">
        <f t="shared" si="15"/>
        <v>100.51444307944621</v>
      </c>
      <c r="Q184" s="48">
        <f t="shared" si="16"/>
        <v>1.0947391810892592E-3</v>
      </c>
      <c r="S184">
        <v>89</v>
      </c>
      <c r="T184" s="50">
        <v>22.258024167100302</v>
      </c>
      <c r="U184" s="51">
        <f t="shared" si="17"/>
        <v>6.9376280125514839E-4</v>
      </c>
      <c r="V184" s="51">
        <f>SUM($U$5:U184)</f>
        <v>0.43487879244856054</v>
      </c>
      <c r="AB184" s="37"/>
    </row>
    <row r="185" spans="9:28" x14ac:dyDescent="0.3">
      <c r="I185">
        <v>181</v>
      </c>
      <c r="J185" s="23">
        <f>$C$5*Data!C183/Data!C182</f>
        <v>11227.346306020157</v>
      </c>
      <c r="K185" s="23">
        <f>$C$6*Data!F183/Data!F182</f>
        <v>9512.2606716098999</v>
      </c>
      <c r="L185" s="23">
        <f>$C$7*Data!I183/Data!I182</f>
        <v>6265.4781147088543</v>
      </c>
      <c r="M185" s="23">
        <f>$C$8*Data!L183/Data!L182</f>
        <v>111.97380729745261</v>
      </c>
      <c r="N185" s="23">
        <f t="shared" si="13"/>
        <v>10042.5714581506</v>
      </c>
      <c r="O185" s="23">
        <f t="shared" si="14"/>
        <v>42.571458150599938</v>
      </c>
      <c r="P185" s="23">
        <f t="shared" si="15"/>
        <v>-42.571458150599938</v>
      </c>
      <c r="Q185" s="48">
        <f t="shared" si="16"/>
        <v>1.1002403830042806E-3</v>
      </c>
      <c r="S185">
        <v>84</v>
      </c>
      <c r="T185" s="50">
        <v>22.230922941373137</v>
      </c>
      <c r="U185" s="51">
        <f t="shared" si="17"/>
        <v>6.7659130688642278E-4</v>
      </c>
      <c r="V185" s="51">
        <f>SUM($U$5:U185)</f>
        <v>0.43555538375544695</v>
      </c>
      <c r="AB185" s="37"/>
    </row>
    <row r="186" spans="9:28" x14ac:dyDescent="0.3">
      <c r="I186">
        <v>182</v>
      </c>
      <c r="J186" s="23">
        <f>$C$5*Data!C184/Data!C183</f>
        <v>10831.077855899188</v>
      </c>
      <c r="K186" s="23">
        <f>$C$6*Data!F184/Data!F183</f>
        <v>9753.805904093877</v>
      </c>
      <c r="L186" s="23">
        <f>$C$7*Data!I184/Data!I183</f>
        <v>6165.6765257773104</v>
      </c>
      <c r="M186" s="23">
        <f>$C$8*Data!L184/Data!L183</f>
        <v>111.83449368056704</v>
      </c>
      <c r="N186" s="23">
        <f t="shared" si="13"/>
        <v>9955.6803092598257</v>
      </c>
      <c r="O186" s="23">
        <f t="shared" si="14"/>
        <v>-44.319690740174337</v>
      </c>
      <c r="P186" s="23">
        <f t="shared" si="15"/>
        <v>44.319690740174337</v>
      </c>
      <c r="Q186" s="48">
        <f t="shared" si="16"/>
        <v>1.1057692291500309E-3</v>
      </c>
      <c r="S186">
        <v>149</v>
      </c>
      <c r="T186" s="50">
        <v>22.214133582243448</v>
      </c>
      <c r="U186" s="51">
        <f t="shared" si="17"/>
        <v>9.3718680425044446E-4</v>
      </c>
      <c r="V186" s="51">
        <f>SUM($U$5:U186)</f>
        <v>0.43649257055969737</v>
      </c>
      <c r="AB186" s="37"/>
    </row>
    <row r="187" spans="9:28" x14ac:dyDescent="0.3">
      <c r="I187">
        <v>183</v>
      </c>
      <c r="J187" s="23">
        <f>$C$5*Data!C185/Data!C184</f>
        <v>10949.759701595831</v>
      </c>
      <c r="K187" s="23">
        <f>$C$6*Data!F185/Data!F184</f>
        <v>9767.5761019157599</v>
      </c>
      <c r="L187" s="23">
        <f>$C$7*Data!I185/Data!I184</f>
        <v>6224.6583207939075</v>
      </c>
      <c r="M187" s="23">
        <f>$C$8*Data!L185/Data!L184</f>
        <v>113.40428311105057</v>
      </c>
      <c r="N187" s="23">
        <f t="shared" si="13"/>
        <v>10040.394474198385</v>
      </c>
      <c r="O187" s="23">
        <f t="shared" si="14"/>
        <v>40.394474198385069</v>
      </c>
      <c r="P187" s="23">
        <f t="shared" si="15"/>
        <v>-40.394474198385069</v>
      </c>
      <c r="Q187" s="48">
        <f t="shared" si="16"/>
        <v>1.111325858442242E-3</v>
      </c>
      <c r="S187">
        <v>69</v>
      </c>
      <c r="T187" s="50">
        <v>21.56316278894883</v>
      </c>
      <c r="U187" s="51">
        <f t="shared" si="17"/>
        <v>6.2758510084008417E-4</v>
      </c>
      <c r="V187" s="51">
        <f>SUM($U$5:U187)</f>
        <v>0.43712015566053747</v>
      </c>
      <c r="AB187" s="37"/>
    </row>
    <row r="188" spans="9:28" x14ac:dyDescent="0.3">
      <c r="I188">
        <v>184</v>
      </c>
      <c r="J188" s="23">
        <f>$C$5*Data!C186/Data!C185</f>
        <v>11194.74019052304</v>
      </c>
      <c r="K188" s="23">
        <f>$C$6*Data!F186/Data!F185</f>
        <v>10004.181036877548</v>
      </c>
      <c r="L188" s="23">
        <f>$C$7*Data!I186/Data!I185</f>
        <v>6155.6185749049546</v>
      </c>
      <c r="M188" s="23">
        <f>$C$8*Data!L186/Data!L185</f>
        <v>109.79056081544553</v>
      </c>
      <c r="N188" s="23">
        <f t="shared" si="13"/>
        <v>10128.044557328651</v>
      </c>
      <c r="O188" s="23">
        <f t="shared" si="14"/>
        <v>128.04455732865063</v>
      </c>
      <c r="P188" s="23">
        <f t="shared" si="15"/>
        <v>-128.04455732865063</v>
      </c>
      <c r="Q188" s="48">
        <f t="shared" si="16"/>
        <v>1.1169104104947153E-3</v>
      </c>
      <c r="S188">
        <v>59</v>
      </c>
      <c r="T188" s="50">
        <v>21.274368484217121</v>
      </c>
      <c r="U188" s="51">
        <f t="shared" si="17"/>
        <v>5.9690254713838696E-4</v>
      </c>
      <c r="V188" s="51">
        <f>SUM($U$5:U188)</f>
        <v>0.43771705820767587</v>
      </c>
      <c r="AB188" s="37"/>
    </row>
    <row r="189" spans="9:28" x14ac:dyDescent="0.3">
      <c r="I189">
        <v>185</v>
      </c>
      <c r="J189" s="23">
        <f>$C$5*Data!C187/Data!C186</f>
        <v>11141.664030356065</v>
      </c>
      <c r="K189" s="23">
        <f>$C$6*Data!F187/Data!F186</f>
        <v>9399.8425128887484</v>
      </c>
      <c r="L189" s="23">
        <f>$C$7*Data!I187/Data!I186</f>
        <v>6238.9567564322115</v>
      </c>
      <c r="M189" s="23">
        <f>$C$8*Data!L187/Data!L186</f>
        <v>113.24355861284124</v>
      </c>
      <c r="N189" s="23">
        <f t="shared" si="13"/>
        <v>9994.5771219167054</v>
      </c>
      <c r="O189" s="23">
        <f t="shared" si="14"/>
        <v>-5.4228780832945631</v>
      </c>
      <c r="P189" s="23">
        <f t="shared" si="15"/>
        <v>5.4228780832945631</v>
      </c>
      <c r="Q189" s="48">
        <f t="shared" si="16"/>
        <v>1.1225230256228294E-3</v>
      </c>
      <c r="S189">
        <v>410</v>
      </c>
      <c r="T189" s="50">
        <v>21.248802490286835</v>
      </c>
      <c r="U189" s="51">
        <f t="shared" si="17"/>
        <v>3.4673851940810506E-3</v>
      </c>
      <c r="V189" s="51">
        <f>SUM($U$5:U189)</f>
        <v>0.44118444340175694</v>
      </c>
      <c r="AB189" s="37"/>
    </row>
    <row r="190" spans="9:28" x14ac:dyDescent="0.3">
      <c r="I190">
        <v>186</v>
      </c>
      <c r="J190" s="23">
        <f>$C$5*Data!C188/Data!C187</f>
        <v>11138.429186856154</v>
      </c>
      <c r="K190" s="23">
        <f>$C$6*Data!F188/Data!F187</f>
        <v>9668.9594423492908</v>
      </c>
      <c r="L190" s="23">
        <f>$C$7*Data!I188/Data!I187</f>
        <v>6229.4700740371727</v>
      </c>
      <c r="M190" s="23">
        <f>$C$8*Data!L188/Data!L187</f>
        <v>108.43425469113984</v>
      </c>
      <c r="N190" s="23">
        <f t="shared" si="13"/>
        <v>9990.7184598570257</v>
      </c>
      <c r="O190" s="23">
        <f t="shared" si="14"/>
        <v>-9.281540142974336</v>
      </c>
      <c r="P190" s="23">
        <f t="shared" si="15"/>
        <v>9.281540142974336</v>
      </c>
      <c r="Q190" s="48">
        <f t="shared" si="16"/>
        <v>1.1281638448470651E-3</v>
      </c>
      <c r="S190">
        <v>36</v>
      </c>
      <c r="T190" s="50">
        <v>20.550595997012351</v>
      </c>
      <c r="U190" s="51">
        <f t="shared" si="17"/>
        <v>5.3190526517328974E-4</v>
      </c>
      <c r="V190" s="51">
        <f>SUM($U$5:U190)</f>
        <v>0.44171634866693021</v>
      </c>
      <c r="AB190" s="37"/>
    </row>
    <row r="191" spans="9:28" x14ac:dyDescent="0.3">
      <c r="I191">
        <v>187</v>
      </c>
      <c r="J191" s="23">
        <f>$C$5*Data!C189/Data!C188</f>
        <v>10952.437106108444</v>
      </c>
      <c r="K191" s="23">
        <f>$C$6*Data!F189/Data!F188</f>
        <v>9609.7215848740907</v>
      </c>
      <c r="L191" s="23">
        <f>$C$7*Data!I189/Data!I188</f>
        <v>6262.4754650294635</v>
      </c>
      <c r="M191" s="23">
        <f>$C$8*Data!L189/Data!L188</f>
        <v>112.28353122804549</v>
      </c>
      <c r="N191" s="23">
        <f t="shared" si="13"/>
        <v>9978.2676270640859</v>
      </c>
      <c r="O191" s="23">
        <f t="shared" si="14"/>
        <v>-21.7323729359141</v>
      </c>
      <c r="P191" s="23">
        <f t="shared" si="15"/>
        <v>21.7323729359141</v>
      </c>
      <c r="Q191" s="48">
        <f t="shared" si="16"/>
        <v>1.1338330098965477E-3</v>
      </c>
      <c r="S191">
        <v>117</v>
      </c>
      <c r="T191" s="50">
        <v>18.897972272448897</v>
      </c>
      <c r="U191" s="51">
        <f t="shared" si="17"/>
        <v>7.9829746265343521E-4</v>
      </c>
      <c r="V191" s="51">
        <f>SUM($U$5:U191)</f>
        <v>0.44251464612958363</v>
      </c>
      <c r="AB191" s="37"/>
    </row>
    <row r="192" spans="9:28" x14ac:dyDescent="0.3">
      <c r="I192">
        <v>188</v>
      </c>
      <c r="J192" s="23">
        <f>$C$5*Data!C190/Data!C189</f>
        <v>11083.787031853173</v>
      </c>
      <c r="K192" s="23">
        <f>$C$6*Data!F190/Data!F189</f>
        <v>9629.2811823757038</v>
      </c>
      <c r="L192" s="23">
        <f>$C$7*Data!I190/Data!I189</f>
        <v>6194.0110375545864</v>
      </c>
      <c r="M192" s="23">
        <f>$C$8*Data!L190/Data!L189</f>
        <v>112.84071076541829</v>
      </c>
      <c r="N192" s="23">
        <f t="shared" si="13"/>
        <v>10030.883268011616</v>
      </c>
      <c r="O192" s="23">
        <f t="shared" si="14"/>
        <v>30.883268011615655</v>
      </c>
      <c r="P192" s="23">
        <f t="shared" si="15"/>
        <v>-30.883268011615655</v>
      </c>
      <c r="Q192" s="48">
        <f t="shared" si="16"/>
        <v>1.1395306632126106E-3</v>
      </c>
      <c r="S192">
        <v>333</v>
      </c>
      <c r="T192" s="50">
        <v>17.866682106339795</v>
      </c>
      <c r="U192" s="51">
        <f t="shared" si="17"/>
        <v>2.3571070553883348E-3</v>
      </c>
      <c r="V192" s="51">
        <f>SUM($U$5:U192)</f>
        <v>0.44487175318497196</v>
      </c>
      <c r="AB192" s="37"/>
    </row>
    <row r="193" spans="9:28" x14ac:dyDescent="0.3">
      <c r="I193">
        <v>189</v>
      </c>
      <c r="J193" s="23">
        <f>$C$5*Data!C191/Data!C190</f>
        <v>11091.050331243392</v>
      </c>
      <c r="K193" s="23">
        <f>$C$6*Data!F191/Data!F190</f>
        <v>9370.842128421149</v>
      </c>
      <c r="L193" s="23">
        <f>$C$7*Data!I191/Data!I190</f>
        <v>6227.9663586174838</v>
      </c>
      <c r="M193" s="23">
        <f>$C$8*Data!L191/Data!L190</f>
        <v>114.18988730847822</v>
      </c>
      <c r="N193" s="23">
        <f t="shared" si="13"/>
        <v>9982.1493171811962</v>
      </c>
      <c r="O193" s="23">
        <f t="shared" si="14"/>
        <v>-17.850682818803762</v>
      </c>
      <c r="P193" s="23">
        <f t="shared" si="15"/>
        <v>17.850682818803762</v>
      </c>
      <c r="Q193" s="48">
        <f t="shared" si="16"/>
        <v>1.1452569479523725E-3</v>
      </c>
      <c r="S193">
        <v>213</v>
      </c>
      <c r="T193" s="50">
        <v>17.295357949138634</v>
      </c>
      <c r="U193" s="51">
        <f t="shared" si="17"/>
        <v>1.2916623397846265E-3</v>
      </c>
      <c r="V193" s="51">
        <f>SUM($U$5:U193)</f>
        <v>0.44616341552475658</v>
      </c>
      <c r="AB193" s="37"/>
    </row>
    <row r="194" spans="9:28" x14ac:dyDescent="0.3">
      <c r="I194">
        <v>190</v>
      </c>
      <c r="J194" s="23">
        <f>$C$5*Data!C192/Data!C191</f>
        <v>11255.825286459569</v>
      </c>
      <c r="K194" s="23">
        <f>$C$6*Data!F192/Data!F191</f>
        <v>9611.6198091178321</v>
      </c>
      <c r="L194" s="23">
        <f>$C$7*Data!I192/Data!I191</f>
        <v>6276.2146054746736</v>
      </c>
      <c r="M194" s="23">
        <f>$C$8*Data!L192/Data!L191</f>
        <v>115.04968077076198</v>
      </c>
      <c r="N194" s="23">
        <f t="shared" si="13"/>
        <v>10140.21443589242</v>
      </c>
      <c r="O194" s="23">
        <f t="shared" si="14"/>
        <v>140.21443589241971</v>
      </c>
      <c r="P194" s="23">
        <f t="shared" si="15"/>
        <v>-140.21443589241971</v>
      </c>
      <c r="Q194" s="48">
        <f t="shared" si="16"/>
        <v>1.1510120079923341E-3</v>
      </c>
      <c r="S194">
        <v>332</v>
      </c>
      <c r="T194" s="50">
        <v>17.073320050705661</v>
      </c>
      <c r="U194" s="51">
        <f t="shared" si="17"/>
        <v>2.3453215201113928E-3</v>
      </c>
      <c r="V194" s="51">
        <f>SUM($U$5:U194)</f>
        <v>0.44850873704486799</v>
      </c>
      <c r="AB194" s="37"/>
    </row>
    <row r="195" spans="9:28" x14ac:dyDescent="0.3">
      <c r="I195">
        <v>191</v>
      </c>
      <c r="J195" s="23">
        <f>$C$5*Data!C193/Data!C192</f>
        <v>10994.406570947045</v>
      </c>
      <c r="K195" s="23">
        <f>$C$6*Data!F193/Data!F192</f>
        <v>9659.7037984332364</v>
      </c>
      <c r="L195" s="23">
        <f>$C$7*Data!I193/Data!I192</f>
        <v>6124.1673492964401</v>
      </c>
      <c r="M195" s="23">
        <f>$C$8*Data!L193/Data!L192</f>
        <v>111.88058247084675</v>
      </c>
      <c r="N195" s="23">
        <f t="shared" si="13"/>
        <v>9979.6688960596111</v>
      </c>
      <c r="O195" s="23">
        <f t="shared" si="14"/>
        <v>-20.331103940388857</v>
      </c>
      <c r="P195" s="23">
        <f t="shared" si="15"/>
        <v>20.331103940388857</v>
      </c>
      <c r="Q195" s="48">
        <f t="shared" si="16"/>
        <v>1.156795987931994E-3</v>
      </c>
      <c r="S195">
        <v>204</v>
      </c>
      <c r="T195" s="50">
        <v>16.81363384008182</v>
      </c>
      <c r="U195" s="51">
        <f t="shared" si="17"/>
        <v>1.2346865693570656E-3</v>
      </c>
      <c r="V195" s="51">
        <f>SUM($U$5:U195)</f>
        <v>0.44974342361422504</v>
      </c>
      <c r="AB195" s="37"/>
    </row>
    <row r="196" spans="9:28" x14ac:dyDescent="0.3">
      <c r="I196">
        <v>192</v>
      </c>
      <c r="J196" s="23">
        <f>$C$5*Data!C194/Data!C193</f>
        <v>10920.667920397209</v>
      </c>
      <c r="K196" s="23">
        <f>$C$6*Data!F194/Data!F193</f>
        <v>9548.3723492886056</v>
      </c>
      <c r="L196" s="23">
        <f>$C$7*Data!I194/Data!I193</f>
        <v>6216.1197172617294</v>
      </c>
      <c r="M196" s="23">
        <f>$C$8*Data!L194/Data!L193</f>
        <v>115.80967953832605</v>
      </c>
      <c r="N196" s="23">
        <f t="shared" si="13"/>
        <v>10002.598324838931</v>
      </c>
      <c r="O196" s="23">
        <f t="shared" si="14"/>
        <v>2.5983248389311484</v>
      </c>
      <c r="P196" s="23">
        <f t="shared" si="15"/>
        <v>-2.5983248389311484</v>
      </c>
      <c r="Q196" s="48">
        <f t="shared" si="16"/>
        <v>1.1626090330974816E-3</v>
      </c>
      <c r="S196">
        <v>381</v>
      </c>
      <c r="T196" s="50">
        <v>16.254948003126628</v>
      </c>
      <c r="U196" s="51">
        <f t="shared" si="17"/>
        <v>2.9982747821772938E-3</v>
      </c>
      <c r="V196" s="51">
        <f>SUM($U$5:U196)</f>
        <v>0.45274169839640233</v>
      </c>
      <c r="AB196" s="37"/>
    </row>
    <row r="197" spans="9:28" x14ac:dyDescent="0.3">
      <c r="I197">
        <v>193</v>
      </c>
      <c r="J197" s="23">
        <f>$C$5*Data!C195/Data!C194</f>
        <v>10804.909002668515</v>
      </c>
      <c r="K197" s="23">
        <f>$C$6*Data!F195/Data!F194</f>
        <v>9767.8807695454798</v>
      </c>
      <c r="L197" s="23">
        <f>$C$7*Data!I195/Data!I194</f>
        <v>6098.8559463743504</v>
      </c>
      <c r="M197" s="23">
        <f>$C$8*Data!L195/Data!L194</f>
        <v>111.62447105885182</v>
      </c>
      <c r="N197" s="23">
        <f t="shared" ref="N197:N260" si="18">MMULT(J197:M197,$D$5:$D$8)</f>
        <v>9936.0819506158587</v>
      </c>
      <c r="O197" s="23">
        <f t="shared" si="14"/>
        <v>-63.918049384141341</v>
      </c>
      <c r="P197" s="23">
        <f t="shared" si="15"/>
        <v>63.918049384141341</v>
      </c>
      <c r="Q197" s="48">
        <f t="shared" si="16"/>
        <v>1.1684512895452075E-3</v>
      </c>
      <c r="S197">
        <v>383</v>
      </c>
      <c r="T197" s="50">
        <v>16.193789463059147</v>
      </c>
      <c r="U197" s="51">
        <f t="shared" si="17"/>
        <v>3.0284839091712767E-3</v>
      </c>
      <c r="V197" s="51">
        <f>SUM($U$5:U197)</f>
        <v>0.45577018230557359</v>
      </c>
      <c r="AB197" s="37"/>
    </row>
    <row r="198" spans="9:28" x14ac:dyDescent="0.3">
      <c r="I198">
        <v>194</v>
      </c>
      <c r="J198" s="23">
        <f>$C$5*Data!C196/Data!C195</f>
        <v>11005.726192481157</v>
      </c>
      <c r="K198" s="23">
        <f>$C$6*Data!F196/Data!F195</f>
        <v>9629.3892853101624</v>
      </c>
      <c r="L198" s="23">
        <f>$C$7*Data!I196/Data!I195</f>
        <v>6240.0057110281759</v>
      </c>
      <c r="M198" s="23">
        <f>$C$8*Data!L196/Data!L195</f>
        <v>113.7279086924276</v>
      </c>
      <c r="N198" s="23">
        <f t="shared" si="18"/>
        <v>10025.733500609113</v>
      </c>
      <c r="O198" s="23">
        <f t="shared" ref="O198:O261" si="19">N198-$B$9</f>
        <v>25.733500609112525</v>
      </c>
      <c r="P198" s="23">
        <f t="shared" ref="P198:P261" si="20">-O198</f>
        <v>-25.733500609112525</v>
      </c>
      <c r="Q198" s="48">
        <f t="shared" ref="Q198:Q261" si="21">$Q$2^(500-I198)*(1-$Q$2)/(1-$Q$2^500)</f>
        <v>1.1743229040655351E-3</v>
      </c>
      <c r="S198">
        <v>73</v>
      </c>
      <c r="T198" s="50">
        <v>14.87273368410024</v>
      </c>
      <c r="U198" s="51">
        <f t="shared" ref="U198:U261" si="22">$Q$2^(500-S198)*(1-$Q$2)/(1-$Q$2^500)</f>
        <v>6.4029528193392882E-4</v>
      </c>
      <c r="V198" s="51">
        <f>SUM($U$5:U198)</f>
        <v>0.45641047758750752</v>
      </c>
      <c r="AB198" s="37"/>
    </row>
    <row r="199" spans="9:28" x14ac:dyDescent="0.3">
      <c r="I199">
        <v>195</v>
      </c>
      <c r="J199" s="23">
        <f>$C$5*Data!C197/Data!C196</f>
        <v>10938.651543376625</v>
      </c>
      <c r="K199" s="23">
        <f>$C$6*Data!F197/Data!F196</f>
        <v>9668.9990769810775</v>
      </c>
      <c r="L199" s="23">
        <f>$C$7*Data!I197/Data!I196</f>
        <v>6166.5027470660061</v>
      </c>
      <c r="M199" s="23">
        <f>$C$8*Data!L197/Data!L196</f>
        <v>112.4047389337176</v>
      </c>
      <c r="N199" s="23">
        <f t="shared" si="18"/>
        <v>9978.4593101874216</v>
      </c>
      <c r="O199" s="23">
        <f t="shared" si="19"/>
        <v>-21.540689812578421</v>
      </c>
      <c r="P199" s="23">
        <f t="shared" si="20"/>
        <v>21.540689812578421</v>
      </c>
      <c r="Q199" s="48">
        <f t="shared" si="21"/>
        <v>1.1802240241864674E-3</v>
      </c>
      <c r="S199">
        <v>125</v>
      </c>
      <c r="T199" s="50">
        <v>14.348166850888447</v>
      </c>
      <c r="U199" s="51">
        <f t="shared" si="22"/>
        <v>8.3095996998415868E-4</v>
      </c>
      <c r="V199" s="51">
        <f>SUM($U$5:U199)</f>
        <v>0.45724143755749169</v>
      </c>
      <c r="AB199" s="37"/>
    </row>
    <row r="200" spans="9:28" x14ac:dyDescent="0.3">
      <c r="I200">
        <v>196</v>
      </c>
      <c r="J200" s="23">
        <f>$C$5*Data!C198/Data!C197</f>
        <v>11138.824985042349</v>
      </c>
      <c r="K200" s="23">
        <f>$C$6*Data!F198/Data!F197</f>
        <v>9406.3642167401722</v>
      </c>
      <c r="L200" s="23">
        <f>$C$7*Data!I198/Data!I197</f>
        <v>6147.7271513960613</v>
      </c>
      <c r="M200" s="23">
        <f>$C$8*Data!L198/Data!L197</f>
        <v>114.71075760818115</v>
      </c>
      <c r="N200" s="23">
        <f t="shared" si="18"/>
        <v>10006.880415824377</v>
      </c>
      <c r="O200" s="23">
        <f t="shared" si="19"/>
        <v>6.8804158243765414</v>
      </c>
      <c r="P200" s="23">
        <f t="shared" si="20"/>
        <v>-6.8804158243765414</v>
      </c>
      <c r="Q200" s="48">
        <f t="shared" si="21"/>
        <v>1.1861547981773543E-3</v>
      </c>
      <c r="S200">
        <v>492</v>
      </c>
      <c r="T200" s="50">
        <v>13.723913195870409</v>
      </c>
      <c r="U200" s="51">
        <f t="shared" si="22"/>
        <v>5.2300936961818074E-3</v>
      </c>
      <c r="V200" s="51">
        <f>SUM($U$5:U200)</f>
        <v>0.46247153125367352</v>
      </c>
      <c r="AB200" s="37"/>
    </row>
    <row r="201" spans="9:28" x14ac:dyDescent="0.3">
      <c r="I201">
        <v>197</v>
      </c>
      <c r="J201" s="23">
        <f>$C$5*Data!C199/Data!C198</f>
        <v>11046.56540836675</v>
      </c>
      <c r="K201" s="23">
        <f>$C$6*Data!F199/Data!F198</f>
        <v>9648.6145906965812</v>
      </c>
      <c r="L201" s="23">
        <f>$C$7*Data!I199/Data!I198</f>
        <v>6236.8108913841734</v>
      </c>
      <c r="M201" s="23">
        <f>$C$8*Data!L199/Data!L198</f>
        <v>111.6071864633996</v>
      </c>
      <c r="N201" s="23">
        <f t="shared" si="18"/>
        <v>10008.45302704566</v>
      </c>
      <c r="O201" s="23">
        <f t="shared" si="19"/>
        <v>8.4530270456598373</v>
      </c>
      <c r="P201" s="23">
        <f t="shared" si="20"/>
        <v>-8.4530270456598373</v>
      </c>
      <c r="Q201" s="48">
        <f t="shared" si="21"/>
        <v>1.1921153750526175E-3</v>
      </c>
      <c r="S201">
        <v>261</v>
      </c>
      <c r="T201" s="50">
        <v>13.678304442424633</v>
      </c>
      <c r="U201" s="51">
        <f t="shared" si="22"/>
        <v>1.643013460763803E-3</v>
      </c>
      <c r="V201" s="51">
        <f>SUM($U$5:U201)</f>
        <v>0.4641145447144373</v>
      </c>
      <c r="AB201" s="37"/>
    </row>
    <row r="202" spans="9:28" x14ac:dyDescent="0.3">
      <c r="I202">
        <v>198</v>
      </c>
      <c r="J202" s="23">
        <f>$C$5*Data!C200/Data!C199</f>
        <v>10838.618654806152</v>
      </c>
      <c r="K202" s="23">
        <f>$C$6*Data!F200/Data!F199</f>
        <v>9617.6183775636291</v>
      </c>
      <c r="L202" s="23">
        <f>$C$7*Data!I200/Data!I199</f>
        <v>6154.688085647228</v>
      </c>
      <c r="M202" s="23">
        <f>$C$8*Data!L200/Data!L199</f>
        <v>112.39549855629447</v>
      </c>
      <c r="N202" s="23">
        <f t="shared" si="18"/>
        <v>9924.0306062590862</v>
      </c>
      <c r="O202" s="23">
        <f t="shared" si="19"/>
        <v>-75.969393740913802</v>
      </c>
      <c r="P202" s="23">
        <f t="shared" si="20"/>
        <v>75.969393740913802</v>
      </c>
      <c r="Q202" s="48">
        <f t="shared" si="21"/>
        <v>1.1981059045754949E-3</v>
      </c>
      <c r="S202">
        <v>195</v>
      </c>
      <c r="T202" s="50">
        <v>13.303098598718861</v>
      </c>
      <c r="U202" s="51">
        <f t="shared" si="22"/>
        <v>1.1802240241864674E-3</v>
      </c>
      <c r="V202" s="51">
        <f>SUM($U$5:U202)</f>
        <v>0.4652947687386238</v>
      </c>
      <c r="AB202" s="37"/>
    </row>
    <row r="203" spans="9:28" x14ac:dyDescent="0.3">
      <c r="I203">
        <v>199</v>
      </c>
      <c r="J203" s="23">
        <f>$C$5*Data!C201/Data!C200</f>
        <v>10821.99593808353</v>
      </c>
      <c r="K203" s="23">
        <f>$C$6*Data!F201/Data!F200</f>
        <v>9566.0543133083811</v>
      </c>
      <c r="L203" s="23">
        <f>$C$7*Data!I201/Data!I200</f>
        <v>6063.5751725899609</v>
      </c>
      <c r="M203" s="23">
        <f>$C$8*Data!L201/Data!L200</f>
        <v>109.96457421683486</v>
      </c>
      <c r="N203" s="23">
        <f t="shared" si="18"/>
        <v>9844.0964020210322</v>
      </c>
      <c r="O203" s="23">
        <f t="shared" si="19"/>
        <v>-155.90359797896781</v>
      </c>
      <c r="P203" s="23">
        <f t="shared" si="20"/>
        <v>155.90359797896781</v>
      </c>
      <c r="Q203" s="48">
        <f t="shared" si="21"/>
        <v>1.2041265372618041E-3</v>
      </c>
      <c r="S203">
        <v>207</v>
      </c>
      <c r="T203" s="50">
        <v>12.763839065690263</v>
      </c>
      <c r="U203" s="51">
        <f t="shared" si="22"/>
        <v>1.2533936258977937E-3</v>
      </c>
      <c r="V203" s="51">
        <f>SUM($U$5:U203)</f>
        <v>0.46654816236452157</v>
      </c>
      <c r="AB203" s="37"/>
    </row>
    <row r="204" spans="9:28" x14ac:dyDescent="0.3">
      <c r="I204">
        <v>200</v>
      </c>
      <c r="J204" s="23">
        <f>$C$5*Data!C202/Data!C201</f>
        <v>11055.603332935692</v>
      </c>
      <c r="K204" s="23">
        <f>$C$6*Data!F202/Data!F201</f>
        <v>9765.9585520926958</v>
      </c>
      <c r="L204" s="23">
        <f>$C$7*Data!I202/Data!I201</f>
        <v>6316.1454418803005</v>
      </c>
      <c r="M204" s="23">
        <f>$C$8*Data!L202/Data!L201</f>
        <v>112.45920123532181</v>
      </c>
      <c r="N204" s="23">
        <f t="shared" si="18"/>
        <v>10076.302104280147</v>
      </c>
      <c r="O204" s="23">
        <f t="shared" si="19"/>
        <v>76.302104280146523</v>
      </c>
      <c r="P204" s="23">
        <f t="shared" si="20"/>
        <v>-76.302104280146523</v>
      </c>
      <c r="Q204" s="48">
        <f t="shared" si="21"/>
        <v>1.2101774243837226E-3</v>
      </c>
      <c r="S204">
        <v>13</v>
      </c>
      <c r="T204" s="50">
        <v>12.222645628822647</v>
      </c>
      <c r="U204" s="51">
        <f t="shared" si="22"/>
        <v>4.7398559861309205E-4</v>
      </c>
      <c r="V204" s="51">
        <f>SUM($U$5:U204)</f>
        <v>0.46702214796313468</v>
      </c>
      <c r="AB204" s="37"/>
    </row>
    <row r="205" spans="9:28" x14ac:dyDescent="0.3">
      <c r="I205">
        <v>201</v>
      </c>
      <c r="J205" s="23">
        <f>$C$5*Data!C203/Data!C202</f>
        <v>10949.812134089869</v>
      </c>
      <c r="K205" s="23">
        <f>$C$6*Data!F203/Data!F202</f>
        <v>9583.8045034465085</v>
      </c>
      <c r="L205" s="23">
        <f>$C$7*Data!I203/Data!I202</f>
        <v>6143.204164386204</v>
      </c>
      <c r="M205" s="23">
        <f>$C$8*Data!L203/Data!L202</f>
        <v>112.47329103486614</v>
      </c>
      <c r="N205" s="23">
        <f t="shared" si="18"/>
        <v>9953.3436267837224</v>
      </c>
      <c r="O205" s="23">
        <f t="shared" si="19"/>
        <v>-46.656373216277643</v>
      </c>
      <c r="P205" s="23">
        <f t="shared" si="20"/>
        <v>46.656373216277643</v>
      </c>
      <c r="Q205" s="48">
        <f t="shared" si="21"/>
        <v>1.2162587179735901E-3</v>
      </c>
      <c r="S205">
        <v>43</v>
      </c>
      <c r="T205" s="50">
        <v>10.295646975262571</v>
      </c>
      <c r="U205" s="51">
        <f t="shared" si="22"/>
        <v>5.5089993873351604E-4</v>
      </c>
      <c r="V205" s="51">
        <f>SUM($U$5:U205)</f>
        <v>0.46757304790186821</v>
      </c>
      <c r="AB205" s="37"/>
    </row>
    <row r="206" spans="9:28" x14ac:dyDescent="0.3">
      <c r="I206">
        <v>202</v>
      </c>
      <c r="J206" s="23">
        <f>$C$5*Data!C204/Data!C203</f>
        <v>11193.258693635395</v>
      </c>
      <c r="K206" s="23">
        <f>$C$6*Data!F204/Data!F203</f>
        <v>9727.7172370932385</v>
      </c>
      <c r="L206" s="23">
        <f>$C$7*Data!I204/Data!I203</f>
        <v>6233.3140436424201</v>
      </c>
      <c r="M206" s="23">
        <f>$C$8*Data!L204/Data!L203</f>
        <v>112.43880733566482</v>
      </c>
      <c r="N206" s="23">
        <f t="shared" si="18"/>
        <v>10100.587303948147</v>
      </c>
      <c r="O206" s="23">
        <f t="shared" si="19"/>
        <v>100.58730394814665</v>
      </c>
      <c r="P206" s="23">
        <f t="shared" si="20"/>
        <v>-100.58730394814665</v>
      </c>
      <c r="Q206" s="48">
        <f t="shared" si="21"/>
        <v>1.222370570827729E-3</v>
      </c>
      <c r="S206">
        <v>144</v>
      </c>
      <c r="T206" s="50">
        <v>10.060692955692502</v>
      </c>
      <c r="U206" s="51">
        <f t="shared" si="22"/>
        <v>9.1399026228752075E-4</v>
      </c>
      <c r="V206" s="51">
        <f>SUM($U$5:U206)</f>
        <v>0.46848703816415571</v>
      </c>
      <c r="AB206" s="37"/>
    </row>
    <row r="207" spans="9:28" x14ac:dyDescent="0.3">
      <c r="I207">
        <v>203</v>
      </c>
      <c r="J207" s="23">
        <f>$C$5*Data!C205/Data!C204</f>
        <v>11058.010567739004</v>
      </c>
      <c r="K207" s="23">
        <f>$C$6*Data!F205/Data!F204</f>
        <v>9516.5976810712509</v>
      </c>
      <c r="L207" s="23">
        <f>$C$7*Data!I205/Data!I204</f>
        <v>6308.4485604786014</v>
      </c>
      <c r="M207" s="23">
        <f>$C$8*Data!L205/Data!L204</f>
        <v>113.30697683352399</v>
      </c>
      <c r="N207" s="23">
        <f t="shared" si="18"/>
        <v>10013.03679548258</v>
      </c>
      <c r="O207" s="23">
        <f t="shared" si="19"/>
        <v>13.036795482579691</v>
      </c>
      <c r="P207" s="23">
        <f t="shared" si="20"/>
        <v>-13.036795482579691</v>
      </c>
      <c r="Q207" s="48">
        <f t="shared" si="21"/>
        <v>1.2285131365102804E-3</v>
      </c>
      <c r="S207">
        <v>170</v>
      </c>
      <c r="T207" s="50">
        <v>9.8616032395384536</v>
      </c>
      <c r="U207" s="51">
        <f t="shared" si="22"/>
        <v>1.0412175253517975E-3</v>
      </c>
      <c r="V207" s="51">
        <f>SUM($U$5:U207)</f>
        <v>0.46952825568950751</v>
      </c>
      <c r="AB207" s="37"/>
    </row>
    <row r="208" spans="9:28" x14ac:dyDescent="0.3">
      <c r="I208">
        <v>204</v>
      </c>
      <c r="J208" s="23">
        <f>$C$5*Data!C206/Data!C205</f>
        <v>11275.280581295079</v>
      </c>
      <c r="K208" s="23">
        <f>$C$6*Data!F206/Data!F205</f>
        <v>9620.1211702207875</v>
      </c>
      <c r="L208" s="23">
        <f>$C$7*Data!I206/Data!I205</f>
        <v>6192.8556367339097</v>
      </c>
      <c r="M208" s="23">
        <f>$C$8*Data!L206/Data!L205</f>
        <v>111.58235047966392</v>
      </c>
      <c r="N208" s="23">
        <f t="shared" si="18"/>
        <v>10075.022062247848</v>
      </c>
      <c r="O208" s="23">
        <f t="shared" si="19"/>
        <v>75.022062247848226</v>
      </c>
      <c r="P208" s="23">
        <f t="shared" si="20"/>
        <v>-75.022062247848226</v>
      </c>
      <c r="Q208" s="48">
        <f t="shared" si="21"/>
        <v>1.2346865693570656E-3</v>
      </c>
      <c r="S208">
        <v>439</v>
      </c>
      <c r="T208" s="50">
        <v>9.8143750303661363</v>
      </c>
      <c r="U208" s="51">
        <f t="shared" si="22"/>
        <v>4.0098926741470222E-3</v>
      </c>
      <c r="V208" s="51">
        <f>SUM($U$5:U208)</f>
        <v>0.47353814836365454</v>
      </c>
      <c r="AB208" s="37"/>
    </row>
    <row r="209" spans="9:28" x14ac:dyDescent="0.3">
      <c r="I209">
        <v>205</v>
      </c>
      <c r="J209" s="23">
        <f>$C$5*Data!C207/Data!C206</f>
        <v>10997.997652575099</v>
      </c>
      <c r="K209" s="23">
        <f>$C$6*Data!F207/Data!F206</f>
        <v>9844.4665343594079</v>
      </c>
      <c r="L209" s="23">
        <f>$C$7*Data!I207/Data!I206</f>
        <v>6162.2171961905551</v>
      </c>
      <c r="M209" s="23">
        <f>$C$8*Data!L207/Data!L206</f>
        <v>112.03745258492043</v>
      </c>
      <c r="N209" s="23">
        <f t="shared" si="18"/>
        <v>10047.628616133963</v>
      </c>
      <c r="O209" s="23">
        <f t="shared" si="19"/>
        <v>47.628616133963078</v>
      </c>
      <c r="P209" s="23">
        <f t="shared" si="20"/>
        <v>-47.628616133963078</v>
      </c>
      <c r="Q209" s="48">
        <f t="shared" si="21"/>
        <v>1.2408910244794632E-3</v>
      </c>
      <c r="S209">
        <v>208</v>
      </c>
      <c r="T209" s="50">
        <v>9.7739061018637585</v>
      </c>
      <c r="U209" s="51">
        <f t="shared" si="22"/>
        <v>1.259692086329441E-3</v>
      </c>
      <c r="V209" s="51">
        <f>SUM($U$5:U209)</f>
        <v>0.47479784044998397</v>
      </c>
      <c r="AB209" s="37"/>
    </row>
    <row r="210" spans="9:28" x14ac:dyDescent="0.3">
      <c r="I210">
        <v>206</v>
      </c>
      <c r="J210" s="23">
        <f>$C$5*Data!C208/Data!C207</f>
        <v>11112.118469568821</v>
      </c>
      <c r="K210" s="23">
        <f>$C$6*Data!F208/Data!F207</f>
        <v>9627.5871166844245</v>
      </c>
      <c r="L210" s="23">
        <f>$C$7*Data!I208/Data!I207</f>
        <v>6185.8394630586281</v>
      </c>
      <c r="M210" s="23">
        <f>$C$8*Data!L208/Data!L207</f>
        <v>113.87251505672695</v>
      </c>
      <c r="N210" s="23">
        <f t="shared" si="18"/>
        <v>10057.608492175232</v>
      </c>
      <c r="O210" s="23">
        <f t="shared" si="19"/>
        <v>57.608492175231731</v>
      </c>
      <c r="P210" s="23">
        <f t="shared" si="20"/>
        <v>-57.608492175231731</v>
      </c>
      <c r="Q210" s="48">
        <f t="shared" si="21"/>
        <v>1.2471266577683045E-3</v>
      </c>
      <c r="S210">
        <v>153</v>
      </c>
      <c r="T210" s="50">
        <v>9.560846326947285</v>
      </c>
      <c r="U210" s="51">
        <f t="shared" si="22"/>
        <v>9.5616720066973447E-4</v>
      </c>
      <c r="V210" s="51">
        <f>SUM($U$5:U210)</f>
        <v>0.47575400765065368</v>
      </c>
      <c r="AB210" s="37"/>
    </row>
    <row r="211" spans="9:28" x14ac:dyDescent="0.3">
      <c r="I211">
        <v>207</v>
      </c>
      <c r="J211" s="23">
        <f>$C$5*Data!C209/Data!C208</f>
        <v>11142.657054061259</v>
      </c>
      <c r="K211" s="23">
        <f>$C$6*Data!F209/Data!F208</f>
        <v>9444.6826717244894</v>
      </c>
      <c r="L211" s="23">
        <f>$C$7*Data!I209/Data!I208</f>
        <v>6199.7193657750986</v>
      </c>
      <c r="M211" s="23">
        <f>$C$8*Data!L209/Data!L208</f>
        <v>113.85133705350313</v>
      </c>
      <c r="N211" s="23">
        <f t="shared" si="18"/>
        <v>10013.396090228996</v>
      </c>
      <c r="O211" s="23">
        <f t="shared" si="19"/>
        <v>13.3960902289964</v>
      </c>
      <c r="P211" s="23">
        <f t="shared" si="20"/>
        <v>-13.3960902289964</v>
      </c>
      <c r="Q211" s="48">
        <f t="shared" si="21"/>
        <v>1.2533936258977937E-3</v>
      </c>
      <c r="S211">
        <v>28</v>
      </c>
      <c r="T211" s="50">
        <v>9.5143992215089384</v>
      </c>
      <c r="U211" s="51">
        <f t="shared" si="22"/>
        <v>5.1099768809312774E-4</v>
      </c>
      <c r="V211" s="51">
        <f>SUM($U$5:U211)</f>
        <v>0.47626500533874683</v>
      </c>
      <c r="AB211" s="37"/>
    </row>
    <row r="212" spans="9:28" x14ac:dyDescent="0.3">
      <c r="I212">
        <v>208</v>
      </c>
      <c r="J212" s="23">
        <f>$C$5*Data!C210/Data!C209</f>
        <v>10665.332097914499</v>
      </c>
      <c r="K212" s="23">
        <f>$C$6*Data!F210/Data!F209</f>
        <v>9362.475677532213</v>
      </c>
      <c r="L212" s="23">
        <f>$C$7*Data!I210/Data!I209</f>
        <v>6315.081795337137</v>
      </c>
      <c r="M212" s="23">
        <f>$C$8*Data!L210/Data!L209</f>
        <v>113.81567927621796</v>
      </c>
      <c r="N212" s="23">
        <f t="shared" si="18"/>
        <v>9832.4543656013011</v>
      </c>
      <c r="O212" s="23">
        <f t="shared" si="19"/>
        <v>-167.54563439869889</v>
      </c>
      <c r="P212" s="23">
        <f t="shared" si="20"/>
        <v>167.54563439869889</v>
      </c>
      <c r="Q212" s="48">
        <f t="shared" si="21"/>
        <v>1.259692086329441E-3</v>
      </c>
      <c r="S212">
        <v>11</v>
      </c>
      <c r="T212" s="50">
        <v>8.9818697747614351</v>
      </c>
      <c r="U212" s="51">
        <f t="shared" si="22"/>
        <v>4.6925759226692642E-4</v>
      </c>
      <c r="V212" s="51">
        <f>SUM($U$5:U212)</f>
        <v>0.47673426293101373</v>
      </c>
      <c r="AB212" s="37"/>
    </row>
    <row r="213" spans="9:28" x14ac:dyDescent="0.3">
      <c r="I213">
        <v>209</v>
      </c>
      <c r="J213" s="23">
        <f>$C$5*Data!C211/Data!C210</f>
        <v>11005.281907664063</v>
      </c>
      <c r="K213" s="23">
        <f>$C$6*Data!F211/Data!F210</f>
        <v>9565.9046648846524</v>
      </c>
      <c r="L213" s="23">
        <f>$C$7*Data!I211/Data!I210</f>
        <v>6097.6581981749096</v>
      </c>
      <c r="M213" s="23">
        <f>$C$8*Data!L211/Data!L210</f>
        <v>113.09588063438139</v>
      </c>
      <c r="N213" s="23">
        <f t="shared" si="18"/>
        <v>9971.5713281602511</v>
      </c>
      <c r="O213" s="23">
        <f t="shared" si="19"/>
        <v>-28.428671839748858</v>
      </c>
      <c r="P213" s="23">
        <f t="shared" si="20"/>
        <v>28.428671839748858</v>
      </c>
      <c r="Q213" s="48">
        <f t="shared" si="21"/>
        <v>1.2660221973160208E-3</v>
      </c>
      <c r="S213">
        <v>272</v>
      </c>
      <c r="T213" s="50">
        <v>8.0865113946601923</v>
      </c>
      <c r="U213" s="51">
        <f t="shared" si="22"/>
        <v>1.7361499545843521E-3</v>
      </c>
      <c r="V213" s="51">
        <f>SUM($U$5:U213)</f>
        <v>0.47847041288559811</v>
      </c>
      <c r="AB213" s="37"/>
    </row>
    <row r="214" spans="9:28" x14ac:dyDescent="0.3">
      <c r="I214">
        <v>210</v>
      </c>
      <c r="J214" s="23">
        <f>$C$5*Data!C212/Data!C211</f>
        <v>10765.024251936002</v>
      </c>
      <c r="K214" s="23">
        <f>$C$6*Data!F212/Data!F211</f>
        <v>9485.2101931587749</v>
      </c>
      <c r="L214" s="23">
        <f>$C$7*Data!I212/Data!I211</f>
        <v>6149.2665587323008</v>
      </c>
      <c r="M214" s="23">
        <f>$C$8*Data!L212/Data!L211</f>
        <v>113.47820847894118</v>
      </c>
      <c r="N214" s="23">
        <f t="shared" si="18"/>
        <v>9874.2634081467422</v>
      </c>
      <c r="O214" s="23">
        <f t="shared" si="19"/>
        <v>-125.73659185325778</v>
      </c>
      <c r="P214" s="23">
        <f t="shared" si="20"/>
        <v>125.73659185325778</v>
      </c>
      <c r="Q214" s="48">
        <f t="shared" si="21"/>
        <v>1.2723841179055487E-3</v>
      </c>
      <c r="S214">
        <v>90</v>
      </c>
      <c r="T214" s="50">
        <v>7.7259798975410376</v>
      </c>
      <c r="U214" s="51">
        <f t="shared" si="22"/>
        <v>6.972490464875865E-4</v>
      </c>
      <c r="V214" s="51">
        <f>SUM($U$5:U214)</f>
        <v>0.47916766193208571</v>
      </c>
      <c r="AB214" s="37"/>
    </row>
    <row r="215" spans="9:28" x14ac:dyDescent="0.3">
      <c r="I215">
        <v>211</v>
      </c>
      <c r="J215" s="23">
        <f>$C$5*Data!C213/Data!C212</f>
        <v>11041.482568826097</v>
      </c>
      <c r="K215" s="23">
        <f>$C$6*Data!F213/Data!F212</f>
        <v>9607.0889213752871</v>
      </c>
      <c r="L215" s="23">
        <f>$C$7*Data!I213/Data!I212</f>
        <v>5987.5408273322619</v>
      </c>
      <c r="M215" s="23">
        <f>$C$8*Data!L213/Data!L212</f>
        <v>114.36867981749961</v>
      </c>
      <c r="N215" s="23">
        <f t="shared" si="18"/>
        <v>10002.38227969957</v>
      </c>
      <c r="O215" s="23">
        <f t="shared" si="19"/>
        <v>2.3822796995700628</v>
      </c>
      <c r="P215" s="23">
        <f t="shared" si="20"/>
        <v>-2.3822796995700628</v>
      </c>
      <c r="Q215" s="48">
        <f t="shared" si="21"/>
        <v>1.2787780079452748E-3</v>
      </c>
      <c r="S215">
        <v>434</v>
      </c>
      <c r="T215" s="50">
        <v>6.9248626601038268</v>
      </c>
      <c r="U215" s="51">
        <f t="shared" si="22"/>
        <v>3.9106428306144234E-3</v>
      </c>
      <c r="V215" s="51">
        <f>SUM($U$5:U215)</f>
        <v>0.48307830476270014</v>
      </c>
      <c r="AB215" s="37"/>
    </row>
    <row r="216" spans="9:28" x14ac:dyDescent="0.3">
      <c r="I216">
        <v>212</v>
      </c>
      <c r="J216" s="23">
        <f>$C$5*Data!C214/Data!C213</f>
        <v>11018.132328664746</v>
      </c>
      <c r="K216" s="23">
        <f>$C$6*Data!F214/Data!F213</f>
        <v>9754.5003950391929</v>
      </c>
      <c r="L216" s="23">
        <f>$C$7*Data!I214/Data!I213</f>
        <v>6201.437393895083</v>
      </c>
      <c r="M216" s="23">
        <f>$C$8*Data!L214/Data!L213</f>
        <v>113.25190229218343</v>
      </c>
      <c r="N216" s="23">
        <f t="shared" si="18"/>
        <v>10054.674955262026</v>
      </c>
      <c r="O216" s="23">
        <f t="shared" si="19"/>
        <v>54.674955262025833</v>
      </c>
      <c r="P216" s="23">
        <f t="shared" si="20"/>
        <v>-54.674955262025833</v>
      </c>
      <c r="Q216" s="48">
        <f t="shared" si="21"/>
        <v>1.2852040280857035E-3</v>
      </c>
      <c r="S216">
        <v>171</v>
      </c>
      <c r="T216" s="50">
        <v>6.6603117091799504</v>
      </c>
      <c r="U216" s="51">
        <f t="shared" si="22"/>
        <v>1.046449774222912E-3</v>
      </c>
      <c r="V216" s="51">
        <f>SUM($U$5:U216)</f>
        <v>0.48412475453692305</v>
      </c>
      <c r="AB216" s="37"/>
    </row>
    <row r="217" spans="9:28" x14ac:dyDescent="0.3">
      <c r="I217">
        <v>213</v>
      </c>
      <c r="J217" s="23">
        <f>$C$5*Data!C215/Data!C214</f>
        <v>11081.794094436415</v>
      </c>
      <c r="K217" s="23">
        <f>$C$6*Data!F215/Data!F214</f>
        <v>9723.674804955368</v>
      </c>
      <c r="L217" s="23">
        <f>$C$7*Data!I215/Data!I214</f>
        <v>6153.2633814592846</v>
      </c>
      <c r="M217" s="23">
        <f>$C$8*Data!L215/Data!L214</f>
        <v>113.49667557130005</v>
      </c>
      <c r="N217" s="23">
        <f t="shared" si="18"/>
        <v>10064.714851792136</v>
      </c>
      <c r="O217" s="23">
        <f t="shared" si="19"/>
        <v>64.71485179213596</v>
      </c>
      <c r="P217" s="23">
        <f t="shared" si="20"/>
        <v>-64.71485179213596</v>
      </c>
      <c r="Q217" s="48">
        <f t="shared" si="21"/>
        <v>1.2916623397846265E-3</v>
      </c>
      <c r="S217">
        <v>328</v>
      </c>
      <c r="T217" s="50">
        <v>6.5873081759600609</v>
      </c>
      <c r="U217" s="51">
        <f t="shared" si="22"/>
        <v>2.2987657167422484E-3</v>
      </c>
      <c r="V217" s="51">
        <f>SUM($U$5:U217)</f>
        <v>0.48642352025366531</v>
      </c>
      <c r="AB217" s="37"/>
    </row>
    <row r="218" spans="9:28" x14ac:dyDescent="0.3">
      <c r="I218">
        <v>214</v>
      </c>
      <c r="J218" s="23">
        <f>$C$5*Data!C216/Data!C215</f>
        <v>11019.856357210525</v>
      </c>
      <c r="K218" s="23">
        <f>$C$6*Data!F216/Data!F215</f>
        <v>9444.4285144406076</v>
      </c>
      <c r="L218" s="23">
        <f>$C$7*Data!I216/Data!I215</f>
        <v>6239.1103135474777</v>
      </c>
      <c r="M218" s="23">
        <f>$C$8*Data!L216/Data!L215</f>
        <v>109.79012211193135</v>
      </c>
      <c r="N218" s="23">
        <f t="shared" si="18"/>
        <v>9903.1109737892039</v>
      </c>
      <c r="O218" s="23">
        <f t="shared" si="19"/>
        <v>-96.889026210796146</v>
      </c>
      <c r="P218" s="23">
        <f t="shared" si="20"/>
        <v>96.889026210796146</v>
      </c>
      <c r="Q218" s="48">
        <f t="shared" si="21"/>
        <v>1.2981531053111825E-3</v>
      </c>
      <c r="S218">
        <v>182</v>
      </c>
      <c r="T218" s="50">
        <v>6.3928647945995181</v>
      </c>
      <c r="U218" s="51">
        <f t="shared" si="22"/>
        <v>1.1057692291500309E-3</v>
      </c>
      <c r="V218" s="51">
        <f>SUM($U$5:U218)</f>
        <v>0.48752928948281532</v>
      </c>
      <c r="AB218" s="37"/>
    </row>
    <row r="219" spans="9:28" x14ac:dyDescent="0.3">
      <c r="I219">
        <v>215</v>
      </c>
      <c r="J219" s="23">
        <f>$C$5*Data!C217/Data!C216</f>
        <v>10811.685141617685</v>
      </c>
      <c r="K219" s="23">
        <f>$C$6*Data!F217/Data!F216</f>
        <v>9597.3936159801306</v>
      </c>
      <c r="L219" s="23">
        <f>$C$7*Data!I217/Data!I216</f>
        <v>6310.3709794928636</v>
      </c>
      <c r="M219" s="23">
        <f>$C$8*Data!L217/Data!L216</f>
        <v>112.12441185155919</v>
      </c>
      <c r="N219" s="23">
        <f t="shared" si="18"/>
        <v>9928.2388793883201</v>
      </c>
      <c r="O219" s="23">
        <f t="shared" si="19"/>
        <v>-71.761120611679871</v>
      </c>
      <c r="P219" s="23">
        <f t="shared" si="20"/>
        <v>71.761120611679871</v>
      </c>
      <c r="Q219" s="48">
        <f t="shared" si="21"/>
        <v>1.3046764877499321E-3</v>
      </c>
      <c r="S219">
        <v>8</v>
      </c>
      <c r="T219" s="50">
        <v>6.0627711778543016</v>
      </c>
      <c r="U219" s="51">
        <f t="shared" si="22"/>
        <v>4.6225386404514363E-4</v>
      </c>
      <c r="V219" s="51">
        <f>SUM($U$5:U219)</f>
        <v>0.48799154334686046</v>
      </c>
      <c r="AB219" s="37"/>
    </row>
    <row r="220" spans="9:28" x14ac:dyDescent="0.3">
      <c r="I220">
        <v>216</v>
      </c>
      <c r="J220" s="23">
        <f>$C$5*Data!C218/Data!C217</f>
        <v>10793.093449858665</v>
      </c>
      <c r="K220" s="23">
        <f>$C$6*Data!F218/Data!F217</f>
        <v>9499.1706071949229</v>
      </c>
      <c r="L220" s="23">
        <f>$C$7*Data!I218/Data!I217</f>
        <v>6188.4829120168224</v>
      </c>
      <c r="M220" s="23">
        <f>$C$8*Data!L218/Data!L217</f>
        <v>111.78715956751658</v>
      </c>
      <c r="N220" s="23">
        <f t="shared" si="18"/>
        <v>9865.1601920950488</v>
      </c>
      <c r="O220" s="23">
        <f t="shared" si="19"/>
        <v>-134.83980790495116</v>
      </c>
      <c r="P220" s="23">
        <f t="shared" si="20"/>
        <v>134.83980790495116</v>
      </c>
      <c r="Q220" s="48">
        <f t="shared" si="21"/>
        <v>1.311232651004957E-3</v>
      </c>
      <c r="S220">
        <v>95</v>
      </c>
      <c r="T220" s="50">
        <v>5.138619933710288</v>
      </c>
      <c r="U220" s="51">
        <f t="shared" si="22"/>
        <v>7.14944822288281E-4</v>
      </c>
      <c r="V220" s="51">
        <f>SUM($U$5:U220)</f>
        <v>0.48870648816914875</v>
      </c>
      <c r="AB220" s="37"/>
    </row>
    <row r="221" spans="9:28" x14ac:dyDescent="0.3">
      <c r="I221">
        <v>217</v>
      </c>
      <c r="J221" s="23">
        <f>$C$5*Data!C219/Data!C218</f>
        <v>11023.012313729485</v>
      </c>
      <c r="K221" s="23">
        <f>$C$6*Data!F219/Data!F218</f>
        <v>9618.9167640474734</v>
      </c>
      <c r="L221" s="23">
        <f>$C$7*Data!I219/Data!I218</f>
        <v>6143.684142930535</v>
      </c>
      <c r="M221" s="23">
        <f>$C$8*Data!L219/Data!L218</f>
        <v>113.97524899558762</v>
      </c>
      <c r="N221" s="23">
        <f t="shared" si="18"/>
        <v>10017.583946724591</v>
      </c>
      <c r="O221" s="23">
        <f t="shared" si="19"/>
        <v>17.583946724591442</v>
      </c>
      <c r="P221" s="23">
        <f t="shared" si="20"/>
        <v>-17.583946724591442</v>
      </c>
      <c r="Q221" s="48">
        <f t="shared" si="21"/>
        <v>1.3178217598039765E-3</v>
      </c>
      <c r="S221">
        <v>168</v>
      </c>
      <c r="T221" s="50">
        <v>5.058918026403262</v>
      </c>
      <c r="U221" s="51">
        <f t="shared" si="22"/>
        <v>1.0308313805364134E-3</v>
      </c>
      <c r="V221" s="51">
        <f>SUM($U$5:U221)</f>
        <v>0.48973731954968514</v>
      </c>
      <c r="AB221" s="37"/>
    </row>
    <row r="222" spans="9:28" x14ac:dyDescent="0.3">
      <c r="I222">
        <v>218</v>
      </c>
      <c r="J222" s="23">
        <f>$C$5*Data!C220/Data!C219</f>
        <v>10852.367511369277</v>
      </c>
      <c r="K222" s="23">
        <f>$C$6*Data!F220/Data!F219</f>
        <v>9510.1319545845217</v>
      </c>
      <c r="L222" s="23">
        <f>$C$7*Data!I220/Data!I219</f>
        <v>6195.723349061499</v>
      </c>
      <c r="M222" s="23">
        <f>$C$8*Data!L220/Data!L219</f>
        <v>109.8733101695443</v>
      </c>
      <c r="N222" s="23">
        <f t="shared" si="18"/>
        <v>9857.3376049964791</v>
      </c>
      <c r="O222" s="23">
        <f t="shared" si="19"/>
        <v>-142.66239500352094</v>
      </c>
      <c r="P222" s="23">
        <f t="shared" si="20"/>
        <v>142.66239500352094</v>
      </c>
      <c r="Q222" s="48">
        <f t="shared" si="21"/>
        <v>1.3244439797024893E-3</v>
      </c>
      <c r="S222">
        <v>116</v>
      </c>
      <c r="T222" s="50">
        <v>4.2944215029656334</v>
      </c>
      <c r="U222" s="51">
        <f t="shared" si="22"/>
        <v>7.9430597534016815E-4</v>
      </c>
      <c r="V222" s="51">
        <f>SUM($U$5:U222)</f>
        <v>0.49053162552502533</v>
      </c>
      <c r="AB222" s="37"/>
    </row>
    <row r="223" spans="9:28" x14ac:dyDescent="0.3">
      <c r="I223">
        <v>219</v>
      </c>
      <c r="J223" s="23">
        <f>$C$5*Data!C221/Data!C220</f>
        <v>10848.218898011877</v>
      </c>
      <c r="K223" s="23">
        <f>$C$6*Data!F221/Data!F220</f>
        <v>9648.5621413862609</v>
      </c>
      <c r="L223" s="23">
        <f>$C$7*Data!I221/Data!I220</f>
        <v>6180.2132323541891</v>
      </c>
      <c r="M223" s="23">
        <f>$C$8*Data!L221/Data!L220</f>
        <v>112.64443113812793</v>
      </c>
      <c r="N223" s="23">
        <f t="shared" si="18"/>
        <v>9945.7141743726552</v>
      </c>
      <c r="O223" s="23">
        <f t="shared" si="19"/>
        <v>-54.285825627344821</v>
      </c>
      <c r="P223" s="23">
        <f t="shared" si="20"/>
        <v>54.285825627344821</v>
      </c>
      <c r="Q223" s="48">
        <f t="shared" si="21"/>
        <v>1.3310994770879289E-3</v>
      </c>
      <c r="S223">
        <v>186</v>
      </c>
      <c r="T223" s="50">
        <v>3.8366845419459423</v>
      </c>
      <c r="U223" s="51">
        <f t="shared" si="22"/>
        <v>1.1281638448470651E-3</v>
      </c>
      <c r="V223" s="51">
        <f>SUM($U$5:U223)</f>
        <v>0.49165978936987237</v>
      </c>
      <c r="AB223" s="37"/>
    </row>
    <row r="224" spans="9:28" x14ac:dyDescent="0.3">
      <c r="I224">
        <v>220</v>
      </c>
      <c r="J224" s="23">
        <f>$C$5*Data!C222/Data!C221</f>
        <v>10795.135310892176</v>
      </c>
      <c r="K224" s="23">
        <f>$C$6*Data!F222/Data!F221</f>
        <v>9561.8621065446841</v>
      </c>
      <c r="L224" s="23">
        <f>$C$7*Data!I222/Data!I221</f>
        <v>6217.1856235427813</v>
      </c>
      <c r="M224" s="23">
        <f>$C$8*Data!L222/Data!L221</f>
        <v>115.26691093121556</v>
      </c>
      <c r="N224" s="23">
        <f t="shared" si="18"/>
        <v>9951.8072984857808</v>
      </c>
      <c r="O224" s="23">
        <f t="shared" si="19"/>
        <v>-48.192701514219152</v>
      </c>
      <c r="P224" s="23">
        <f t="shared" si="20"/>
        <v>48.192701514219152</v>
      </c>
      <c r="Q224" s="48">
        <f t="shared" si="21"/>
        <v>1.3377884191838479E-3</v>
      </c>
      <c r="S224">
        <v>360</v>
      </c>
      <c r="T224" s="50">
        <v>3.0148842390626669</v>
      </c>
      <c r="U224" s="51">
        <f t="shared" si="22"/>
        <v>2.6987094367471732E-3</v>
      </c>
      <c r="V224" s="51">
        <f>SUM($U$5:U224)</f>
        <v>0.49435849880661953</v>
      </c>
      <c r="AB224" s="37"/>
    </row>
    <row r="225" spans="9:28" x14ac:dyDescent="0.3">
      <c r="I225">
        <v>221</v>
      </c>
      <c r="J225" s="23">
        <f>$C$5*Data!C223/Data!C222</f>
        <v>10723.227107093504</v>
      </c>
      <c r="K225" s="23">
        <f>$C$6*Data!F223/Data!F222</f>
        <v>9535.3411551833342</v>
      </c>
      <c r="L225" s="23">
        <f>$C$7*Data!I223/Data!I222</f>
        <v>6099.8530958849005</v>
      </c>
      <c r="M225" s="23">
        <f>$C$8*Data!L223/Data!L222</f>
        <v>114.30155732509844</v>
      </c>
      <c r="N225" s="23">
        <f t="shared" si="18"/>
        <v>9881.3870750169954</v>
      </c>
      <c r="O225" s="23">
        <f t="shared" si="19"/>
        <v>-118.61292498300463</v>
      </c>
      <c r="P225" s="23">
        <f t="shared" si="20"/>
        <v>118.61292498300463</v>
      </c>
      <c r="Q225" s="48">
        <f t="shared" si="21"/>
        <v>1.3445109740541185E-3</v>
      </c>
      <c r="S225">
        <v>202</v>
      </c>
      <c r="T225" s="50">
        <v>3.0051257913419249</v>
      </c>
      <c r="U225" s="51">
        <f t="shared" si="22"/>
        <v>1.222370570827729E-3</v>
      </c>
      <c r="V225" s="51">
        <f>SUM($U$5:U225)</f>
        <v>0.49558086937744728</v>
      </c>
      <c r="AB225" s="37"/>
    </row>
    <row r="226" spans="9:28" x14ac:dyDescent="0.3">
      <c r="I226">
        <v>222</v>
      </c>
      <c r="J226" s="23">
        <f>$C$5*Data!C224/Data!C223</f>
        <v>11568.685206153677</v>
      </c>
      <c r="K226" s="23">
        <f>$C$6*Data!F224/Data!F223</f>
        <v>9609.4378175670299</v>
      </c>
      <c r="L226" s="23">
        <f>$C$7*Data!I224/Data!I223</f>
        <v>6168.527629460722</v>
      </c>
      <c r="M226" s="23">
        <f>$C$8*Data!L224/Data!L223</f>
        <v>110.37655814242493</v>
      </c>
      <c r="N226" s="23">
        <f t="shared" si="18"/>
        <v>10152.863804542132</v>
      </c>
      <c r="O226" s="23">
        <f t="shared" si="19"/>
        <v>152.86380454213213</v>
      </c>
      <c r="P226" s="23">
        <f t="shared" si="20"/>
        <v>-152.86380454213213</v>
      </c>
      <c r="Q226" s="48">
        <f t="shared" si="21"/>
        <v>1.3512673106071543E-3</v>
      </c>
      <c r="S226">
        <v>420</v>
      </c>
      <c r="T226" s="50">
        <v>2.3861099601872411</v>
      </c>
      <c r="U226" s="51">
        <f t="shared" si="22"/>
        <v>3.6456190329746808E-3</v>
      </c>
      <c r="V226" s="51">
        <f>SUM($U$5:U226)</f>
        <v>0.49922648841042194</v>
      </c>
      <c r="AB226" s="37"/>
    </row>
    <row r="227" spans="9:28" x14ac:dyDescent="0.3">
      <c r="I227">
        <v>223</v>
      </c>
      <c r="J227" s="23">
        <f>$C$5*Data!C225/Data!C224</f>
        <v>11116.438381580483</v>
      </c>
      <c r="K227" s="23">
        <f>$C$6*Data!F225/Data!F224</f>
        <v>9728.4405775233663</v>
      </c>
      <c r="L227" s="23">
        <f>$C$7*Data!I225/Data!I224</f>
        <v>6082.6345118550798</v>
      </c>
      <c r="M227" s="23">
        <f>$C$8*Data!L225/Data!L224</f>
        <v>114.27778693372473</v>
      </c>
      <c r="N227" s="23">
        <f t="shared" si="18"/>
        <v>10081.232631514253</v>
      </c>
      <c r="O227" s="23">
        <f t="shared" si="19"/>
        <v>81.232631514252716</v>
      </c>
      <c r="P227" s="23">
        <f t="shared" si="20"/>
        <v>-81.232631514252716</v>
      </c>
      <c r="Q227" s="48">
        <f t="shared" si="21"/>
        <v>1.3580575986001553E-3</v>
      </c>
      <c r="S227">
        <v>396</v>
      </c>
      <c r="T227" s="50">
        <v>1.8529892140850279</v>
      </c>
      <c r="U227" s="51">
        <f t="shared" si="22"/>
        <v>3.2324009135373845E-3</v>
      </c>
      <c r="V227" s="51">
        <f>SUM($U$5:U227)</f>
        <v>0.50245888932395932</v>
      </c>
      <c r="AB227" s="37"/>
    </row>
    <row r="228" spans="9:28" x14ac:dyDescent="0.3">
      <c r="I228">
        <v>224</v>
      </c>
      <c r="J228" s="23">
        <f>$C$5*Data!C226/Data!C225</f>
        <v>11008.37520261574</v>
      </c>
      <c r="K228" s="23">
        <f>$C$6*Data!F226/Data!F225</f>
        <v>9334.1952546414395</v>
      </c>
      <c r="L228" s="23">
        <f>$C$7*Data!I226/Data!I225</f>
        <v>6306.3788704080516</v>
      </c>
      <c r="M228" s="23">
        <f>$C$8*Data!L226/Data!L225</f>
        <v>110.63180315419245</v>
      </c>
      <c r="N228" s="23">
        <f t="shared" si="18"/>
        <v>9890.2656771868333</v>
      </c>
      <c r="O228" s="23">
        <f t="shared" si="19"/>
        <v>-109.73432281316673</v>
      </c>
      <c r="P228" s="23">
        <f t="shared" si="20"/>
        <v>109.73432281316673</v>
      </c>
      <c r="Q228" s="48">
        <f t="shared" si="21"/>
        <v>1.3648820086433718E-3</v>
      </c>
      <c r="S228">
        <v>58</v>
      </c>
      <c r="T228" s="50">
        <v>1.7819744260414154</v>
      </c>
      <c r="U228" s="51">
        <f t="shared" si="22"/>
        <v>5.9391803440269513E-4</v>
      </c>
      <c r="V228" s="51">
        <f>SUM($U$5:U228)</f>
        <v>0.503052807358362</v>
      </c>
      <c r="AB228" s="37"/>
    </row>
    <row r="229" spans="9:28" x14ac:dyDescent="0.3">
      <c r="I229">
        <v>225</v>
      </c>
      <c r="J229" s="23">
        <f>$C$5*Data!C227/Data!C226</f>
        <v>11115.664672217739</v>
      </c>
      <c r="K229" s="23">
        <f>$C$6*Data!F227/Data!F226</f>
        <v>9574.6898552861876</v>
      </c>
      <c r="L229" s="23">
        <f>$C$7*Data!I227/Data!I226</f>
        <v>6256.4772930044664</v>
      </c>
      <c r="M229" s="23">
        <f>$C$8*Data!L227/Data!L226</f>
        <v>112.78199920202719</v>
      </c>
      <c r="N229" s="23">
        <f t="shared" si="18"/>
        <v>10034.425744366425</v>
      </c>
      <c r="O229" s="23">
        <f t="shared" si="19"/>
        <v>34.425744366424624</v>
      </c>
      <c r="P229" s="23">
        <f t="shared" si="20"/>
        <v>-34.425744366424624</v>
      </c>
      <c r="Q229" s="48">
        <f t="shared" si="21"/>
        <v>1.371740712204394E-3</v>
      </c>
      <c r="S229">
        <v>9</v>
      </c>
      <c r="T229" s="50">
        <v>1.4634609149652533</v>
      </c>
      <c r="U229" s="51">
        <f t="shared" si="22"/>
        <v>4.6457674778406386E-4</v>
      </c>
      <c r="V229" s="51">
        <f>SUM($U$5:U229)</f>
        <v>0.5035173841061461</v>
      </c>
      <c r="AB229" s="37"/>
    </row>
    <row r="230" spans="9:28" x14ac:dyDescent="0.3">
      <c r="I230">
        <v>226</v>
      </c>
      <c r="J230" s="23">
        <f>$C$5*Data!C228/Data!C227</f>
        <v>11036.041446399935</v>
      </c>
      <c r="K230" s="23">
        <f>$C$6*Data!F228/Data!F227</f>
        <v>9815.0235546015592</v>
      </c>
      <c r="L230" s="23">
        <f>$C$7*Data!I228/Data!I227</f>
        <v>6084.8792395256496</v>
      </c>
      <c r="M230" s="23">
        <f>$C$8*Data!L228/Data!L227</f>
        <v>109.99558899162147</v>
      </c>
      <c r="N230" s="23">
        <f t="shared" si="18"/>
        <v>10003.564781918172</v>
      </c>
      <c r="O230" s="23">
        <f t="shared" si="19"/>
        <v>3.5647819181722298</v>
      </c>
      <c r="P230" s="23">
        <f t="shared" si="20"/>
        <v>-3.5647819181722298</v>
      </c>
      <c r="Q230" s="48">
        <f t="shared" si="21"/>
        <v>1.3786338816124562E-3</v>
      </c>
      <c r="S230">
        <v>278</v>
      </c>
      <c r="T230" s="50">
        <v>0.70909178558940766</v>
      </c>
      <c r="U230" s="51">
        <f t="shared" si="22"/>
        <v>1.7891582230993896E-3</v>
      </c>
      <c r="V230" s="51">
        <f>SUM($U$5:U230)</f>
        <v>0.50530654232924554</v>
      </c>
      <c r="AB230" s="37"/>
    </row>
    <row r="231" spans="9:28" x14ac:dyDescent="0.3">
      <c r="I231">
        <v>227</v>
      </c>
      <c r="J231" s="23">
        <f>$C$5*Data!C229/Data!C228</f>
        <v>10749.189835305981</v>
      </c>
      <c r="K231" s="23">
        <f>$C$6*Data!F229/Data!F228</f>
        <v>9678.4439259341143</v>
      </c>
      <c r="L231" s="23">
        <f>$C$7*Data!I229/Data!I228</f>
        <v>6465.933692881822</v>
      </c>
      <c r="M231" s="23">
        <f>$C$8*Data!L229/Data!L228</f>
        <v>112.44862817872986</v>
      </c>
      <c r="N231" s="23">
        <f t="shared" si="18"/>
        <v>9961.7238341135599</v>
      </c>
      <c r="O231" s="23">
        <f t="shared" si="19"/>
        <v>-38.27616588644014</v>
      </c>
      <c r="P231" s="23">
        <f t="shared" si="20"/>
        <v>38.27616588644014</v>
      </c>
      <c r="Q231" s="48">
        <f t="shared" si="21"/>
        <v>1.3855616900627699E-3</v>
      </c>
      <c r="S231">
        <v>449</v>
      </c>
      <c r="T231" s="50">
        <v>0.44905984225624707</v>
      </c>
      <c r="U231" s="51">
        <f t="shared" si="22"/>
        <v>4.2160129996547512E-3</v>
      </c>
      <c r="V231" s="51">
        <f>SUM($U$5:U231)</f>
        <v>0.50952255532890034</v>
      </c>
      <c r="AB231" s="37"/>
    </row>
    <row r="232" spans="9:28" x14ac:dyDescent="0.3">
      <c r="I232">
        <v>228</v>
      </c>
      <c r="J232" s="23">
        <f>$C$5*Data!C230/Data!C229</f>
        <v>11400.510303139872</v>
      </c>
      <c r="K232" s="23">
        <f>$C$6*Data!F230/Data!F229</f>
        <v>9614.668503884759</v>
      </c>
      <c r="L232" s="23">
        <f>$C$7*Data!I230/Data!I229</f>
        <v>6165.8869335073459</v>
      </c>
      <c r="M232" s="23">
        <f>$C$8*Data!L230/Data!L229</f>
        <v>110.46778462671533</v>
      </c>
      <c r="N232" s="23">
        <f t="shared" si="18"/>
        <v>10094.657580493375</v>
      </c>
      <c r="O232" s="23">
        <f t="shared" si="19"/>
        <v>94.657580493374553</v>
      </c>
      <c r="P232" s="23">
        <f t="shared" si="20"/>
        <v>-94.657580493374553</v>
      </c>
      <c r="Q232" s="48">
        <f t="shared" si="21"/>
        <v>1.3925243116208743E-3</v>
      </c>
      <c r="S232">
        <v>105</v>
      </c>
      <c r="T232" s="50">
        <v>0.23649982986171381</v>
      </c>
      <c r="U232" s="51">
        <f t="shared" si="22"/>
        <v>7.5169509753635197E-4</v>
      </c>
      <c r="V232" s="51">
        <f>SUM($U$5:U232)</f>
        <v>0.5102742504264367</v>
      </c>
      <c r="AB232" s="37"/>
    </row>
    <row r="233" spans="9:28" x14ac:dyDescent="0.3">
      <c r="I233">
        <v>229</v>
      </c>
      <c r="J233" s="23">
        <f>$C$5*Data!C231/Data!C230</f>
        <v>11099.329433540643</v>
      </c>
      <c r="K233" s="23">
        <f>$C$6*Data!F231/Data!F230</f>
        <v>9817.6299967971663</v>
      </c>
      <c r="L233" s="23">
        <f>$C$7*Data!I231/Data!I230</f>
        <v>6213.8266363507346</v>
      </c>
      <c r="M233" s="23">
        <f>$C$8*Data!L231/Data!L230</f>
        <v>110.2384455080177</v>
      </c>
      <c r="N233" s="23">
        <f t="shared" si="18"/>
        <v>10052.448817519462</v>
      </c>
      <c r="O233" s="23">
        <f t="shared" si="19"/>
        <v>52.448817519461954</v>
      </c>
      <c r="P233" s="23">
        <f t="shared" si="20"/>
        <v>-52.448817519461954</v>
      </c>
      <c r="Q233" s="48">
        <f t="shared" si="21"/>
        <v>1.3995219212270095E-3</v>
      </c>
      <c r="S233">
        <v>114</v>
      </c>
      <c r="T233" s="50">
        <v>-0.33601569506026863</v>
      </c>
      <c r="U233" s="51">
        <f t="shared" si="22"/>
        <v>7.8638277323614977E-4</v>
      </c>
      <c r="V233" s="51">
        <f>SUM($U$5:U233)</f>
        <v>0.51106063319967288</v>
      </c>
      <c r="AB233" s="37"/>
    </row>
    <row r="234" spans="9:28" x14ac:dyDescent="0.3">
      <c r="I234">
        <v>230</v>
      </c>
      <c r="J234" s="23">
        <f>$C$5*Data!C232/Data!C231</f>
        <v>11128.922014544951</v>
      </c>
      <c r="K234" s="23">
        <f>$C$6*Data!F232/Data!F231</f>
        <v>9621.3418708587778</v>
      </c>
      <c r="L234" s="23">
        <f>$C$7*Data!I232/Data!I231</f>
        <v>6252.7589874874957</v>
      </c>
      <c r="M234" s="23">
        <f>$C$8*Data!L232/Data!L231</f>
        <v>113.247988949187</v>
      </c>
      <c r="N234" s="23">
        <f t="shared" si="18"/>
        <v>10061.476777912589</v>
      </c>
      <c r="O234" s="23">
        <f t="shared" si="19"/>
        <v>61.476777912588659</v>
      </c>
      <c r="P234" s="23">
        <f t="shared" si="20"/>
        <v>-61.476777912588659</v>
      </c>
      <c r="Q234" s="48">
        <f t="shared" si="21"/>
        <v>1.4065546947005121E-3</v>
      </c>
      <c r="S234">
        <v>32</v>
      </c>
      <c r="T234" s="50">
        <v>-0.33886560805149202</v>
      </c>
      <c r="U234" s="51">
        <f t="shared" si="22"/>
        <v>5.2134668003940815E-4</v>
      </c>
      <c r="V234" s="51">
        <f>SUM($U$5:U234)</f>
        <v>0.51158197987971232</v>
      </c>
      <c r="AB234" s="37"/>
    </row>
    <row r="235" spans="9:28" x14ac:dyDescent="0.3">
      <c r="I235">
        <v>231</v>
      </c>
      <c r="J235" s="23">
        <f>$C$5*Data!C233/Data!C232</f>
        <v>11067.228903576277</v>
      </c>
      <c r="K235" s="23">
        <f>$C$6*Data!F233/Data!F232</f>
        <v>9652.6876987648957</v>
      </c>
      <c r="L235" s="23">
        <f>$C$7*Data!I233/Data!I232</f>
        <v>6185.5779626195617</v>
      </c>
      <c r="M235" s="23">
        <f>$C$8*Data!L233/Data!L232</f>
        <v>117.71761527621442</v>
      </c>
      <c r="N235" s="23">
        <f t="shared" si="18"/>
        <v>10117.281693540097</v>
      </c>
      <c r="O235" s="23">
        <f t="shared" si="19"/>
        <v>117.28169354009697</v>
      </c>
      <c r="P235" s="23">
        <f t="shared" si="20"/>
        <v>-117.28169354009697</v>
      </c>
      <c r="Q235" s="48">
        <f t="shared" si="21"/>
        <v>1.4136228087442333E-3</v>
      </c>
      <c r="S235">
        <v>271</v>
      </c>
      <c r="T235" s="50">
        <v>-0.43135555269691395</v>
      </c>
      <c r="U235" s="51">
        <f t="shared" si="22"/>
        <v>1.7274692048114303E-3</v>
      </c>
      <c r="V235" s="51">
        <f>SUM($U$5:U235)</f>
        <v>0.51330944908452381</v>
      </c>
      <c r="AB235" s="37"/>
    </row>
    <row r="236" spans="9:28" x14ac:dyDescent="0.3">
      <c r="I236">
        <v>232</v>
      </c>
      <c r="J236" s="23">
        <f>$C$5*Data!C234/Data!C233</f>
        <v>11071.862284461735</v>
      </c>
      <c r="K236" s="23">
        <f>$C$6*Data!F234/Data!F233</f>
        <v>9467.0846051555618</v>
      </c>
      <c r="L236" s="23">
        <f>$C$7*Data!I234/Data!I233</f>
        <v>6176.6849833107199</v>
      </c>
      <c r="M236" s="23">
        <f>$C$8*Data!L234/Data!L233</f>
        <v>112.05306270528504</v>
      </c>
      <c r="N236" s="23">
        <f t="shared" si="18"/>
        <v>9959.1117087532402</v>
      </c>
      <c r="O236" s="23">
        <f t="shared" si="19"/>
        <v>-40.888291246759763</v>
      </c>
      <c r="P236" s="23">
        <f t="shared" si="20"/>
        <v>40.888291246759763</v>
      </c>
      <c r="Q236" s="48">
        <f t="shared" si="21"/>
        <v>1.420726440948978E-3</v>
      </c>
      <c r="S236">
        <v>276</v>
      </c>
      <c r="T236" s="50">
        <v>-0.59982680961002188</v>
      </c>
      <c r="U236" s="51">
        <f t="shared" si="22"/>
        <v>1.7713113698239731E-3</v>
      </c>
      <c r="V236" s="51">
        <f>SUM($U$5:U236)</f>
        <v>0.51508076045434781</v>
      </c>
      <c r="AB236" s="37"/>
    </row>
    <row r="237" spans="9:28" x14ac:dyDescent="0.3">
      <c r="I237">
        <v>233</v>
      </c>
      <c r="J237" s="23">
        <f>$C$5*Data!C235/Data!C234</f>
        <v>11020.447495612978</v>
      </c>
      <c r="K237" s="23">
        <f>$C$6*Data!F235/Data!F234</f>
        <v>9794.0838176223606</v>
      </c>
      <c r="L237" s="23">
        <f>$C$7*Data!I235/Data!I234</f>
        <v>6177.5471977954048</v>
      </c>
      <c r="M237" s="23">
        <f>$C$8*Data!L235/Data!L234</f>
        <v>112.13014832521272</v>
      </c>
      <c r="N237" s="23">
        <f t="shared" si="18"/>
        <v>10044.146733110229</v>
      </c>
      <c r="O237" s="23">
        <f t="shared" si="19"/>
        <v>44.146733110228524</v>
      </c>
      <c r="P237" s="23">
        <f t="shared" si="20"/>
        <v>-44.146733110228524</v>
      </c>
      <c r="Q237" s="48">
        <f t="shared" si="21"/>
        <v>1.4278657697979677E-3</v>
      </c>
      <c r="S237">
        <v>206</v>
      </c>
      <c r="T237" s="50">
        <v>-1.3346395127846336</v>
      </c>
      <c r="U237" s="51">
        <f t="shared" si="22"/>
        <v>1.2471266577683045E-3</v>
      </c>
      <c r="V237" s="51">
        <f>SUM($U$5:U237)</f>
        <v>0.51632788711211608</v>
      </c>
      <c r="AB237" s="37"/>
    </row>
    <row r="238" spans="9:28" x14ac:dyDescent="0.3">
      <c r="I238">
        <v>234</v>
      </c>
      <c r="J238" s="23">
        <f>$C$5*Data!C236/Data!C235</f>
        <v>10964.11123936713</v>
      </c>
      <c r="K238" s="23">
        <f>$C$6*Data!F236/Data!F235</f>
        <v>9625.5922694931614</v>
      </c>
      <c r="L238" s="23">
        <f>$C$7*Data!I236/Data!I235</f>
        <v>6206.1423857713753</v>
      </c>
      <c r="M238" s="23">
        <f>$C$8*Data!L236/Data!L235</f>
        <v>112.07095757672542</v>
      </c>
      <c r="N238" s="23">
        <f t="shared" si="18"/>
        <v>9974.6102139236391</v>
      </c>
      <c r="O238" s="23">
        <f t="shared" si="19"/>
        <v>-25.389786076360906</v>
      </c>
      <c r="P238" s="23">
        <f t="shared" si="20"/>
        <v>25.389786076360906</v>
      </c>
      <c r="Q238" s="48">
        <f t="shared" si="21"/>
        <v>1.4350409746713244E-3</v>
      </c>
      <c r="S238">
        <v>121</v>
      </c>
      <c r="T238" s="50">
        <v>-1.5204650754149043</v>
      </c>
      <c r="U238" s="51">
        <f t="shared" si="22"/>
        <v>8.1446499961933814E-4</v>
      </c>
      <c r="V238" s="51">
        <f>SUM($U$5:U238)</f>
        <v>0.51714235211173543</v>
      </c>
      <c r="AB238" s="37"/>
    </row>
    <row r="239" spans="9:28" x14ac:dyDescent="0.3">
      <c r="I239">
        <v>235</v>
      </c>
      <c r="J239" s="23">
        <f>$C$5*Data!C237/Data!C236</f>
        <v>11140.235097856736</v>
      </c>
      <c r="K239" s="23">
        <f>$C$6*Data!F237/Data!F236</f>
        <v>9547.631657284328</v>
      </c>
      <c r="L239" s="23">
        <f>$C$7*Data!I237/Data!I236</f>
        <v>6225.5921871498394</v>
      </c>
      <c r="M239" s="23">
        <f>$C$8*Data!L237/Data!L236</f>
        <v>114.98756220411649</v>
      </c>
      <c r="N239" s="23">
        <f t="shared" si="18"/>
        <v>10069.003695399077</v>
      </c>
      <c r="O239" s="23">
        <f t="shared" si="19"/>
        <v>69.003695399076605</v>
      </c>
      <c r="P239" s="23">
        <f t="shared" si="20"/>
        <v>-69.003695399076605</v>
      </c>
      <c r="Q239" s="48">
        <f t="shared" si="21"/>
        <v>1.4422522358505771E-3</v>
      </c>
      <c r="S239">
        <v>201</v>
      </c>
      <c r="T239" s="50">
        <v>-2.0701306224036671</v>
      </c>
      <c r="U239" s="51">
        <f t="shared" si="22"/>
        <v>1.2162587179735901E-3</v>
      </c>
      <c r="V239" s="51">
        <f>SUM($U$5:U239)</f>
        <v>0.51835861082970902</v>
      </c>
      <c r="AB239" s="37"/>
    </row>
    <row r="240" spans="9:28" x14ac:dyDescent="0.3">
      <c r="I240">
        <v>236</v>
      </c>
      <c r="J240" s="23">
        <f>$C$5*Data!C238/Data!C237</f>
        <v>11046.550858093278</v>
      </c>
      <c r="K240" s="23">
        <f>$C$6*Data!F238/Data!F237</f>
        <v>9720.160597049311</v>
      </c>
      <c r="L240" s="23">
        <f>$C$7*Data!I238/Data!I237</f>
        <v>6189.4241412863694</v>
      </c>
      <c r="M240" s="23">
        <f>$C$8*Data!L238/Data!L237</f>
        <v>112.57250829536694</v>
      </c>
      <c r="N240" s="23">
        <f t="shared" si="18"/>
        <v>10040.275853876974</v>
      </c>
      <c r="O240" s="23">
        <f t="shared" si="19"/>
        <v>40.275853876973997</v>
      </c>
      <c r="P240" s="23">
        <f t="shared" si="20"/>
        <v>-40.275853876973997</v>
      </c>
      <c r="Q240" s="48">
        <f t="shared" si="21"/>
        <v>1.4494997345231933E-3</v>
      </c>
      <c r="S240">
        <v>137</v>
      </c>
      <c r="T240" s="50">
        <v>-3.2038330249015416</v>
      </c>
      <c r="U240" s="51">
        <f t="shared" si="22"/>
        <v>8.8247646922141713E-4</v>
      </c>
      <c r="V240" s="51">
        <f>SUM($U$5:U240)</f>
        <v>0.51924108729893048</v>
      </c>
      <c r="AB240" s="37"/>
    </row>
    <row r="241" spans="9:28" x14ac:dyDescent="0.3">
      <c r="I241">
        <v>237</v>
      </c>
      <c r="J241" s="23">
        <f>$C$5*Data!C239/Data!C238</f>
        <v>11105.732869300806</v>
      </c>
      <c r="K241" s="23">
        <f>$C$6*Data!F239/Data!F238</f>
        <v>9637.3643521472004</v>
      </c>
      <c r="L241" s="23">
        <f>$C$7*Data!I239/Data!I238</f>
        <v>6374.5323767427362</v>
      </c>
      <c r="M241" s="23">
        <f>$C$8*Data!L239/Data!L238</f>
        <v>115.00957346195059</v>
      </c>
      <c r="N241" s="23">
        <f t="shared" si="18"/>
        <v>10108.935575717287</v>
      </c>
      <c r="O241" s="23">
        <f t="shared" si="19"/>
        <v>108.93557571728707</v>
      </c>
      <c r="P241" s="23">
        <f t="shared" si="20"/>
        <v>-108.93557571728707</v>
      </c>
      <c r="Q241" s="48">
        <f t="shared" si="21"/>
        <v>1.4567836527871292E-3</v>
      </c>
      <c r="S241">
        <v>10</v>
      </c>
      <c r="T241" s="50">
        <v>-3.4936483632282034</v>
      </c>
      <c r="U241" s="51">
        <f t="shared" si="22"/>
        <v>4.6691130430559182E-4</v>
      </c>
      <c r="V241" s="51">
        <f>SUM($U$5:U241)</f>
        <v>0.51970799860323602</v>
      </c>
      <c r="AB241" s="37"/>
    </row>
    <row r="242" spans="9:28" x14ac:dyDescent="0.3">
      <c r="I242">
        <v>238</v>
      </c>
      <c r="J242" s="23">
        <f>$C$5*Data!C240/Data!C239</f>
        <v>11167.364401685485</v>
      </c>
      <c r="K242" s="23">
        <f>$C$6*Data!F240/Data!F239</f>
        <v>9532.4470568926117</v>
      </c>
      <c r="L242" s="23">
        <f>$C$7*Data!I240/Data!I239</f>
        <v>6118.1721146658947</v>
      </c>
      <c r="M242" s="23">
        <f>$C$8*Data!L240/Data!L239</f>
        <v>112.20018462462309</v>
      </c>
      <c r="N242" s="23">
        <f t="shared" si="18"/>
        <v>10007.367304234396</v>
      </c>
      <c r="O242" s="23">
        <f t="shared" si="19"/>
        <v>7.3673042343962152</v>
      </c>
      <c r="P242" s="23">
        <f t="shared" si="20"/>
        <v>-7.3673042343962152</v>
      </c>
      <c r="Q242" s="48">
        <f t="shared" si="21"/>
        <v>1.464104173655406E-3</v>
      </c>
      <c r="S242">
        <v>103</v>
      </c>
      <c r="T242" s="50">
        <v>-3.9244140645532752</v>
      </c>
      <c r="U242" s="51">
        <f t="shared" si="22"/>
        <v>7.4419693893842682E-4</v>
      </c>
      <c r="V242" s="51">
        <f>SUM($U$5:U242)</f>
        <v>0.52045219554217448</v>
      </c>
      <c r="AB242" s="37"/>
    </row>
    <row r="243" spans="9:28" x14ac:dyDescent="0.3">
      <c r="I243">
        <v>239</v>
      </c>
      <c r="J243" s="23">
        <f>$C$5*Data!C241/Data!C240</f>
        <v>10866.017320342828</v>
      </c>
      <c r="K243" s="23">
        <f>$C$6*Data!F241/Data!F240</f>
        <v>9600.8759701335657</v>
      </c>
      <c r="L243" s="23">
        <f>$C$7*Data!I241/Data!I240</f>
        <v>6232.6565239688753</v>
      </c>
      <c r="M243" s="23">
        <f>$C$8*Data!L241/Data!L240</f>
        <v>113.35041588908091</v>
      </c>
      <c r="N243" s="23">
        <f t="shared" si="18"/>
        <v>9958.2443491396825</v>
      </c>
      <c r="O243" s="23">
        <f t="shared" si="19"/>
        <v>-41.755650860317473</v>
      </c>
      <c r="P243" s="23">
        <f t="shared" si="20"/>
        <v>41.755650860317473</v>
      </c>
      <c r="Q243" s="48">
        <f t="shared" si="21"/>
        <v>1.4714614810607096E-3</v>
      </c>
      <c r="S243">
        <v>75</v>
      </c>
      <c r="T243" s="50">
        <v>-4.1849374259491015</v>
      </c>
      <c r="U243" s="51">
        <f t="shared" si="22"/>
        <v>6.4674657906005286E-4</v>
      </c>
      <c r="V243" s="51">
        <f>SUM($U$5:U243)</f>
        <v>0.52109894212123453</v>
      </c>
      <c r="AB243" s="37"/>
    </row>
    <row r="244" spans="9:28" x14ac:dyDescent="0.3">
      <c r="I244">
        <v>240</v>
      </c>
      <c r="J244" s="23">
        <f>$C$5*Data!C242/Data!C241</f>
        <v>11046.340637494946</v>
      </c>
      <c r="K244" s="23">
        <f>$C$6*Data!F242/Data!F241</f>
        <v>9639.9858020754164</v>
      </c>
      <c r="L244" s="23">
        <f>$C$7*Data!I242/Data!I241</f>
        <v>6200.8675086457224</v>
      </c>
      <c r="M244" s="23">
        <f>$C$8*Data!L242/Data!L241</f>
        <v>114.33095617887501</v>
      </c>
      <c r="N244" s="23">
        <f t="shared" si="18"/>
        <v>10048.162302115015</v>
      </c>
      <c r="O244" s="23">
        <f t="shared" si="19"/>
        <v>48.162302115015336</v>
      </c>
      <c r="P244" s="23">
        <f t="shared" si="20"/>
        <v>-48.162302115015336</v>
      </c>
      <c r="Q244" s="48">
        <f t="shared" si="21"/>
        <v>1.4788557598600096E-3</v>
      </c>
      <c r="S244">
        <v>78</v>
      </c>
      <c r="T244" s="50">
        <v>-4.4583025622141577</v>
      </c>
      <c r="U244" s="51">
        <f t="shared" si="22"/>
        <v>6.565456042720132E-4</v>
      </c>
      <c r="V244" s="51">
        <f>SUM($U$5:U244)</f>
        <v>0.52175548772550651</v>
      </c>
      <c r="AB244" s="37"/>
    </row>
    <row r="245" spans="9:28" x14ac:dyDescent="0.3">
      <c r="I245">
        <v>241</v>
      </c>
      <c r="J245" s="23">
        <f>$C$5*Data!C243/Data!C242</f>
        <v>11037.223329800516</v>
      </c>
      <c r="K245" s="23">
        <f>$C$6*Data!F243/Data!F242</f>
        <v>9679.2237163042064</v>
      </c>
      <c r="L245" s="23">
        <f>$C$7*Data!I243/Data!I242</f>
        <v>6237.054755514444</v>
      </c>
      <c r="M245" s="23">
        <f>$C$8*Data!L243/Data!L242</f>
        <v>112.85516289538667</v>
      </c>
      <c r="N245" s="23">
        <f t="shared" si="18"/>
        <v>10036.790393534257</v>
      </c>
      <c r="O245" s="23">
        <f t="shared" si="19"/>
        <v>36.790393534256509</v>
      </c>
      <c r="P245" s="23">
        <f t="shared" si="20"/>
        <v>-36.790393534256509</v>
      </c>
      <c r="Q245" s="48">
        <f t="shared" si="21"/>
        <v>1.4862871958392055E-3</v>
      </c>
      <c r="S245">
        <v>17</v>
      </c>
      <c r="T245" s="50">
        <v>-4.6400185919192154</v>
      </c>
      <c r="U245" s="51">
        <f t="shared" si="22"/>
        <v>4.8358500240101274E-4</v>
      </c>
      <c r="V245" s="51">
        <f>SUM($U$5:U245)</f>
        <v>0.52223907272790748</v>
      </c>
      <c r="AB245" s="37"/>
    </row>
    <row r="246" spans="9:28" x14ac:dyDescent="0.3">
      <c r="I246">
        <v>242</v>
      </c>
      <c r="J246" s="23">
        <f>$C$5*Data!C244/Data!C243</f>
        <v>11115.622896762332</v>
      </c>
      <c r="K246" s="23">
        <f>$C$6*Data!F244/Data!F243</f>
        <v>9678.5736119165813</v>
      </c>
      <c r="L246" s="23">
        <f>$C$7*Data!I244/Data!I243</f>
        <v>6310.6915576002857</v>
      </c>
      <c r="M246" s="23">
        <f>$C$8*Data!L244/Data!L243</f>
        <v>115.57558316384387</v>
      </c>
      <c r="N246" s="23">
        <f t="shared" si="18"/>
        <v>10125.140198239747</v>
      </c>
      <c r="O246" s="23">
        <f t="shared" si="19"/>
        <v>125.14019823974741</v>
      </c>
      <c r="P246" s="23">
        <f t="shared" si="20"/>
        <v>-125.14019823974741</v>
      </c>
      <c r="Q246" s="48">
        <f t="shared" si="21"/>
        <v>1.4937559757177944E-3</v>
      </c>
      <c r="S246">
        <v>259</v>
      </c>
      <c r="T246" s="50">
        <v>-5.1374011805855844</v>
      </c>
      <c r="U246" s="51">
        <f t="shared" si="22"/>
        <v>1.6266244014926838E-3</v>
      </c>
      <c r="V246" s="51">
        <f>SUM($U$5:U246)</f>
        <v>0.52386569712940012</v>
      </c>
      <c r="AB246" s="37"/>
    </row>
    <row r="247" spans="9:28" x14ac:dyDescent="0.3">
      <c r="I247">
        <v>243</v>
      </c>
      <c r="J247" s="23">
        <f>$C$5*Data!C245/Data!C244</f>
        <v>10935.571797012173</v>
      </c>
      <c r="K247" s="23">
        <f>$C$6*Data!F245/Data!F244</f>
        <v>9602.6045175136969</v>
      </c>
      <c r="L247" s="23">
        <f>$C$7*Data!I245/Data!I244</f>
        <v>6141.2536438435372</v>
      </c>
      <c r="M247" s="23">
        <f>$C$8*Data!L245/Data!L244</f>
        <v>114.73288788592001</v>
      </c>
      <c r="N247" s="23">
        <f t="shared" si="18"/>
        <v>9993.7920920957549</v>
      </c>
      <c r="O247" s="23">
        <f t="shared" si="19"/>
        <v>-6.2079079042450758</v>
      </c>
      <c r="P247" s="23">
        <f t="shared" si="20"/>
        <v>6.2079079042450758</v>
      </c>
      <c r="Q247" s="48">
        <f t="shared" si="21"/>
        <v>1.5012622871535622E-3</v>
      </c>
      <c r="S247">
        <v>273</v>
      </c>
      <c r="T247" s="50">
        <v>-5.2723923290577659</v>
      </c>
      <c r="U247" s="51">
        <f t="shared" si="22"/>
        <v>1.7448743262154292E-3</v>
      </c>
      <c r="V247" s="51">
        <f>SUM($U$5:U247)</f>
        <v>0.52561057145561552</v>
      </c>
      <c r="AB247" s="37"/>
    </row>
    <row r="248" spans="9:28" x14ac:dyDescent="0.3">
      <c r="I248">
        <v>244</v>
      </c>
      <c r="J248" s="23">
        <f>$C$5*Data!C246/Data!C245</f>
        <v>11006.009161416534</v>
      </c>
      <c r="K248" s="23">
        <f>$C$6*Data!F246/Data!F245</f>
        <v>9584.1354085520907</v>
      </c>
      <c r="L248" s="23">
        <f>$C$7*Data!I246/Data!I245</f>
        <v>6213.7849402854927</v>
      </c>
      <c r="M248" s="23">
        <f>$C$8*Data!L246/Data!L245</f>
        <v>112.0785817886551</v>
      </c>
      <c r="N248" s="23">
        <f t="shared" si="18"/>
        <v>9978.2276685209035</v>
      </c>
      <c r="O248" s="23">
        <f t="shared" si="19"/>
        <v>-21.772331479096465</v>
      </c>
      <c r="P248" s="23">
        <f t="shared" si="20"/>
        <v>21.772331479096465</v>
      </c>
      <c r="Q248" s="48">
        <f t="shared" si="21"/>
        <v>1.5088063187472989E-3</v>
      </c>
      <c r="S248">
        <v>52</v>
      </c>
      <c r="T248" s="50">
        <v>-5.4413889364077477</v>
      </c>
      <c r="U248" s="51">
        <f t="shared" si="22"/>
        <v>5.7632173339528404E-4</v>
      </c>
      <c r="V248" s="51">
        <f>SUM($U$5:U248)</f>
        <v>0.5261868931890108</v>
      </c>
      <c r="AB248" s="37"/>
    </row>
    <row r="249" spans="9:28" x14ac:dyDescent="0.3">
      <c r="I249">
        <v>245</v>
      </c>
      <c r="J249" s="23">
        <f>$C$5*Data!C247/Data!C246</f>
        <v>11193.444887530659</v>
      </c>
      <c r="K249" s="23">
        <f>$C$6*Data!F247/Data!F246</f>
        <v>9638.6617431316281</v>
      </c>
      <c r="L249" s="23">
        <f>$C$7*Data!I247/Data!I246</f>
        <v>6165.8312527741145</v>
      </c>
      <c r="M249" s="23">
        <f>$C$8*Data!L247/Data!L246</f>
        <v>112.77833362333934</v>
      </c>
      <c r="N249" s="23">
        <f t="shared" si="18"/>
        <v>10067.959902434193</v>
      </c>
      <c r="O249" s="23">
        <f t="shared" si="19"/>
        <v>67.959902434193282</v>
      </c>
      <c r="P249" s="23">
        <f t="shared" si="20"/>
        <v>-67.959902434193282</v>
      </c>
      <c r="Q249" s="48">
        <f t="shared" si="21"/>
        <v>1.5163882600475365E-3</v>
      </c>
      <c r="S249">
        <v>177</v>
      </c>
      <c r="T249" s="50">
        <v>-5.5035173167889297</v>
      </c>
      <c r="U249" s="51">
        <f t="shared" si="22"/>
        <v>1.0784000619691043E-3</v>
      </c>
      <c r="V249" s="51">
        <f>SUM($U$5:U249)</f>
        <v>0.52726529325097993</v>
      </c>
      <c r="AB249" s="37"/>
    </row>
    <row r="250" spans="9:28" x14ac:dyDescent="0.3">
      <c r="I250">
        <v>246</v>
      </c>
      <c r="J250" s="23">
        <f>$C$5*Data!C248/Data!C247</f>
        <v>11116.821014691128</v>
      </c>
      <c r="K250" s="23">
        <f>$C$6*Data!F248/Data!F247</f>
        <v>9703.951784567138</v>
      </c>
      <c r="L250" s="23">
        <f>$C$7*Data!I248/Data!I247</f>
        <v>6183.1852045417254</v>
      </c>
      <c r="M250" s="23">
        <f>$C$8*Data!L248/Data!L247</f>
        <v>111.98663434402906</v>
      </c>
      <c r="N250" s="23">
        <f t="shared" si="18"/>
        <v>10049.320172983609</v>
      </c>
      <c r="O250" s="23">
        <f t="shared" si="19"/>
        <v>49.320172983609154</v>
      </c>
      <c r="P250" s="23">
        <f t="shared" si="20"/>
        <v>-49.320172983609154</v>
      </c>
      <c r="Q250" s="48">
        <f t="shared" si="21"/>
        <v>1.5240083015553129E-3</v>
      </c>
      <c r="S250">
        <v>403</v>
      </c>
      <c r="T250" s="50">
        <v>-6.007165386374254</v>
      </c>
      <c r="U250" s="51">
        <f t="shared" si="22"/>
        <v>3.3478319953267658E-3</v>
      </c>
      <c r="V250" s="51">
        <f>SUM($U$5:U250)</f>
        <v>0.53061312524630666</v>
      </c>
      <c r="AB250" s="37"/>
    </row>
    <row r="251" spans="9:28" x14ac:dyDescent="0.3">
      <c r="I251">
        <v>247</v>
      </c>
      <c r="J251" s="23">
        <f>$C$5*Data!C249/Data!C248</f>
        <v>11031.964531750755</v>
      </c>
      <c r="K251" s="23">
        <f>$C$6*Data!F249/Data!F248</f>
        <v>9595.8682871377096</v>
      </c>
      <c r="L251" s="23">
        <f>$C$7*Data!I249/Data!I248</f>
        <v>6179.0338009694724</v>
      </c>
      <c r="M251" s="23">
        <f>$C$8*Data!L249/Data!L248</f>
        <v>111.53460860122092</v>
      </c>
      <c r="N251" s="23">
        <f t="shared" si="18"/>
        <v>9976.0659700153556</v>
      </c>
      <c r="O251" s="23">
        <f t="shared" si="19"/>
        <v>-23.93402998464444</v>
      </c>
      <c r="P251" s="23">
        <f t="shared" si="20"/>
        <v>23.93402998464444</v>
      </c>
      <c r="Q251" s="48">
        <f t="shared" si="21"/>
        <v>1.5316666347289579E-3</v>
      </c>
      <c r="S251">
        <v>220</v>
      </c>
      <c r="T251" s="50">
        <v>-6.0358591263957351</v>
      </c>
      <c r="U251" s="51">
        <f t="shared" si="22"/>
        <v>1.3377884191838479E-3</v>
      </c>
      <c r="V251" s="51">
        <f>SUM($U$5:U251)</f>
        <v>0.53195091366549052</v>
      </c>
      <c r="AB251" s="37"/>
    </row>
    <row r="252" spans="9:28" x14ac:dyDescent="0.3">
      <c r="I252">
        <v>248</v>
      </c>
      <c r="J252" s="23">
        <f>$C$5*Data!C250/Data!C249</f>
        <v>11096.748087024835</v>
      </c>
      <c r="K252" s="23">
        <f>$C$6*Data!F250/Data!F249</f>
        <v>9620.3387002352774</v>
      </c>
      <c r="L252" s="23">
        <f>$C$7*Data!I250/Data!I249</f>
        <v>6191.5878072254945</v>
      </c>
      <c r="M252" s="23">
        <f>$C$8*Data!L250/Data!L249</f>
        <v>114.2471038545708</v>
      </c>
      <c r="N252" s="23">
        <f t="shared" si="18"/>
        <v>10057.332730810082</v>
      </c>
      <c r="O252" s="23">
        <f t="shared" si="19"/>
        <v>57.332730810081557</v>
      </c>
      <c r="P252" s="23">
        <f t="shared" si="20"/>
        <v>-57.332730810081557</v>
      </c>
      <c r="Q252" s="48">
        <f t="shared" si="21"/>
        <v>1.5393634519889022E-3</v>
      </c>
      <c r="S252">
        <v>119</v>
      </c>
      <c r="T252" s="50">
        <v>-6.4197302430784475</v>
      </c>
      <c r="U252" s="51">
        <f t="shared" si="22"/>
        <v>8.0634071124813548E-4</v>
      </c>
      <c r="V252" s="51">
        <f>SUM($U$5:U252)</f>
        <v>0.53275725437673871</v>
      </c>
      <c r="AB252" s="37"/>
    </row>
    <row r="253" spans="9:28" x14ac:dyDescent="0.3">
      <c r="I253">
        <v>249</v>
      </c>
      <c r="J253" s="23">
        <f>$C$5*Data!C251/Data!C250</f>
        <v>11073.95649196701</v>
      </c>
      <c r="K253" s="23">
        <f>$C$6*Data!F251/Data!F250</f>
        <v>9593.0027585162006</v>
      </c>
      <c r="L253" s="23">
        <f>$C$7*Data!I251/Data!I250</f>
        <v>6291.5775475818054</v>
      </c>
      <c r="M253" s="23">
        <f>$C$8*Data!L251/Data!L250</f>
        <v>113.08220549116183</v>
      </c>
      <c r="N253" s="23">
        <f t="shared" si="18"/>
        <v>10035.995063970293</v>
      </c>
      <c r="O253" s="23">
        <f t="shared" si="19"/>
        <v>35.995063970292904</v>
      </c>
      <c r="P253" s="23">
        <f t="shared" si="20"/>
        <v>-35.995063970292904</v>
      </c>
      <c r="Q253" s="48">
        <f t="shared" si="21"/>
        <v>1.5470989467225146E-3</v>
      </c>
      <c r="S253">
        <v>38</v>
      </c>
      <c r="T253" s="50">
        <v>-6.6937643040382682</v>
      </c>
      <c r="U253" s="51">
        <f t="shared" si="22"/>
        <v>5.3726447834477901E-4</v>
      </c>
      <c r="V253" s="51">
        <f>SUM($U$5:U253)</f>
        <v>0.5332945188550835</v>
      </c>
      <c r="AB253" s="37"/>
    </row>
    <row r="254" spans="9:28" x14ac:dyDescent="0.3">
      <c r="I254">
        <v>250</v>
      </c>
      <c r="J254" s="23">
        <f>$C$5*Data!C252/Data!C251</f>
        <v>10997.542110107017</v>
      </c>
      <c r="K254" s="23">
        <f>$C$6*Data!F252/Data!F251</f>
        <v>9592.9978017917365</v>
      </c>
      <c r="L254" s="23">
        <f>$C$7*Data!I252/Data!I251</f>
        <v>6150.6183914794565</v>
      </c>
      <c r="M254" s="23">
        <f>$C$8*Data!L252/Data!L251</f>
        <v>112.77023202011154</v>
      </c>
      <c r="N254" s="23">
        <f t="shared" si="18"/>
        <v>9979.9978256603317</v>
      </c>
      <c r="O254" s="23">
        <f t="shared" si="19"/>
        <v>-20.002174339668272</v>
      </c>
      <c r="P254" s="23">
        <f t="shared" si="20"/>
        <v>20.002174339668272</v>
      </c>
      <c r="Q254" s="48">
        <f t="shared" si="21"/>
        <v>1.5548733132889597E-3</v>
      </c>
      <c r="S254">
        <v>452</v>
      </c>
      <c r="T254" s="50">
        <v>-8.1462033985335438</v>
      </c>
      <c r="U254" s="51">
        <f t="shared" si="22"/>
        <v>4.2798909064194245E-3</v>
      </c>
      <c r="V254" s="51">
        <f>SUM($U$5:U254)</f>
        <v>0.53757440976150295</v>
      </c>
      <c r="AB254" s="37"/>
    </row>
    <row r="255" spans="9:28" x14ac:dyDescent="0.3">
      <c r="I255">
        <v>251</v>
      </c>
      <c r="J255" s="23">
        <f>$C$5*Data!C253/Data!C252</f>
        <v>10918.925042284938</v>
      </c>
      <c r="K255" s="23">
        <f>$C$6*Data!F253/Data!F252</f>
        <v>9598.6345495046935</v>
      </c>
      <c r="L255" s="23">
        <f>$C$7*Data!I253/Data!I252</f>
        <v>6064.6346732193597</v>
      </c>
      <c r="M255" s="23">
        <f>$C$8*Data!L253/Data!L252</f>
        <v>111.54379786247499</v>
      </c>
      <c r="N255" s="23">
        <f t="shared" si="18"/>
        <v>9917.6200416620341</v>
      </c>
      <c r="O255" s="23">
        <f t="shared" si="19"/>
        <v>-82.379958337965945</v>
      </c>
      <c r="P255" s="23">
        <f t="shared" si="20"/>
        <v>82.379958337965945</v>
      </c>
      <c r="Q255" s="48">
        <f t="shared" si="21"/>
        <v>1.5626867470240799E-3</v>
      </c>
      <c r="S255">
        <v>35</v>
      </c>
      <c r="T255" s="50">
        <v>-8.616613316722578</v>
      </c>
      <c r="U255" s="51">
        <f t="shared" si="22"/>
        <v>5.2924573884742337E-4</v>
      </c>
      <c r="V255" s="51">
        <f>SUM($U$5:U255)</f>
        <v>0.53810365550035033</v>
      </c>
      <c r="AB255" s="37"/>
    </row>
    <row r="256" spans="9:28" x14ac:dyDescent="0.3">
      <c r="I256">
        <v>252</v>
      </c>
      <c r="J256" s="23">
        <f>$C$5*Data!C254/Data!C253</f>
        <v>11029.513129015662</v>
      </c>
      <c r="K256" s="23">
        <f>$C$6*Data!F254/Data!F253</f>
        <v>9667.7487433861224</v>
      </c>
      <c r="L256" s="23">
        <f>$C$7*Data!I254/Data!I253</f>
        <v>6099.8337843171794</v>
      </c>
      <c r="M256" s="23">
        <f>$C$8*Data!L254/Data!L253</f>
        <v>113.89480489821338</v>
      </c>
      <c r="N256" s="23">
        <f t="shared" si="18"/>
        <v>10026.705082490582</v>
      </c>
      <c r="O256" s="23">
        <f t="shared" si="19"/>
        <v>26.705082490581844</v>
      </c>
      <c r="P256" s="23">
        <f t="shared" si="20"/>
        <v>-26.705082490581844</v>
      </c>
      <c r="Q256" s="48">
        <f t="shared" si="21"/>
        <v>1.5705394442453065E-3</v>
      </c>
      <c r="S256">
        <v>188</v>
      </c>
      <c r="T256" s="50">
        <v>-8.7478310943079123</v>
      </c>
      <c r="U256" s="51">
        <f t="shared" si="22"/>
        <v>1.1395306632126106E-3</v>
      </c>
      <c r="V256" s="51">
        <f>SUM($U$5:U256)</f>
        <v>0.53924318616356293</v>
      </c>
      <c r="AB256" s="37"/>
    </row>
    <row r="257" spans="9:28" x14ac:dyDescent="0.3">
      <c r="I257">
        <v>253</v>
      </c>
      <c r="J257" s="23">
        <f>$C$5*Data!C255/Data!C254</f>
        <v>11029.875776835164</v>
      </c>
      <c r="K257" s="23">
        <f>$C$6*Data!F255/Data!F254</f>
        <v>9609.2753526423912</v>
      </c>
      <c r="L257" s="23">
        <f>$C$7*Data!I255/Data!I254</f>
        <v>6280.0262599594771</v>
      </c>
      <c r="M257" s="23">
        <f>$C$8*Data!L255/Data!L254</f>
        <v>112.63098932450148</v>
      </c>
      <c r="N257" s="23">
        <f t="shared" si="18"/>
        <v>10015.221324290631</v>
      </c>
      <c r="O257" s="23">
        <f t="shared" si="19"/>
        <v>15.221324290630946</v>
      </c>
      <c r="P257" s="23">
        <f t="shared" si="20"/>
        <v>-15.221324290630946</v>
      </c>
      <c r="Q257" s="48">
        <f t="shared" si="21"/>
        <v>1.5784316022565896E-3</v>
      </c>
      <c r="S257">
        <v>81</v>
      </c>
      <c r="T257" s="50">
        <v>-8.8821702295517753</v>
      </c>
      <c r="U257" s="51">
        <f t="shared" si="22"/>
        <v>6.6649309705722954E-4</v>
      </c>
      <c r="V257" s="51">
        <f>SUM($U$5:U257)</f>
        <v>0.53990967926062017</v>
      </c>
      <c r="AB257" s="37"/>
    </row>
    <row r="258" spans="9:28" x14ac:dyDescent="0.3">
      <c r="I258">
        <v>254</v>
      </c>
      <c r="J258" s="23">
        <f>$C$5*Data!C256/Data!C255</f>
        <v>11164.136827926819</v>
      </c>
      <c r="K258" s="23">
        <f>$C$6*Data!F256/Data!F255</f>
        <v>9711.0774106088629</v>
      </c>
      <c r="L258" s="23">
        <f>$C$7*Data!I256/Data!I255</f>
        <v>6262.602479702874</v>
      </c>
      <c r="M258" s="23">
        <f>$C$8*Data!L256/Data!L255</f>
        <v>114.17494416228723</v>
      </c>
      <c r="N258" s="23">
        <f t="shared" si="18"/>
        <v>10120.31890074844</v>
      </c>
      <c r="O258" s="23">
        <f t="shared" si="19"/>
        <v>120.31890074843977</v>
      </c>
      <c r="P258" s="23">
        <f t="shared" si="20"/>
        <v>-120.31890074843977</v>
      </c>
      <c r="Q258" s="48">
        <f t="shared" si="21"/>
        <v>1.5863634193533564E-3</v>
      </c>
      <c r="S258">
        <v>126</v>
      </c>
      <c r="T258" s="50">
        <v>-9.5966861060205702</v>
      </c>
      <c r="U258" s="51">
        <f t="shared" si="22"/>
        <v>8.3513564822528506E-4</v>
      </c>
      <c r="V258" s="51">
        <f>SUM($U$5:U258)</f>
        <v>0.54074481490884541</v>
      </c>
      <c r="AB258" s="37"/>
    </row>
    <row r="259" spans="9:28" x14ac:dyDescent="0.3">
      <c r="I259">
        <v>255</v>
      </c>
      <c r="J259" s="23">
        <f>$C$5*Data!C257/Data!C256</f>
        <v>11055.390651374653</v>
      </c>
      <c r="K259" s="23">
        <f>$C$6*Data!F257/Data!F256</f>
        <v>9577.8204506198817</v>
      </c>
      <c r="L259" s="23">
        <f>$C$7*Data!I257/Data!I256</f>
        <v>6228.8309125540891</v>
      </c>
      <c r="M259" s="23">
        <f>$C$8*Data!L257/Data!L256</f>
        <v>112.70740558438598</v>
      </c>
      <c r="N259" s="23">
        <f t="shared" si="18"/>
        <v>10007.748975879624</v>
      </c>
      <c r="O259" s="23">
        <f t="shared" si="19"/>
        <v>7.7489758796236856</v>
      </c>
      <c r="P259" s="23">
        <f t="shared" si="20"/>
        <v>-7.7489758796236856</v>
      </c>
      <c r="Q259" s="48">
        <f t="shared" si="21"/>
        <v>1.5943350948274936E-3</v>
      </c>
      <c r="S259">
        <v>319</v>
      </c>
      <c r="T259" s="50">
        <v>-9.6947138114010158</v>
      </c>
      <c r="U259" s="51">
        <f t="shared" si="22"/>
        <v>2.1973661917195609E-3</v>
      </c>
      <c r="V259" s="51">
        <f>SUM($U$5:U259)</f>
        <v>0.54294218110056491</v>
      </c>
      <c r="AB259" s="37"/>
    </row>
    <row r="260" spans="9:28" x14ac:dyDescent="0.3">
      <c r="I260">
        <v>256</v>
      </c>
      <c r="J260" s="23">
        <f>$C$5*Data!C258/Data!C257</f>
        <v>10992.833446989909</v>
      </c>
      <c r="K260" s="23">
        <f>$C$6*Data!F258/Data!F257</f>
        <v>9420.5384564120886</v>
      </c>
      <c r="L260" s="23">
        <f>$C$7*Data!I258/Data!I257</f>
        <v>6172.1066140269822</v>
      </c>
      <c r="M260" s="23">
        <f>$C$8*Data!L258/Data!L257</f>
        <v>114.77497434486635</v>
      </c>
      <c r="N260" s="23">
        <f t="shared" si="18"/>
        <v>9963.398624334035</v>
      </c>
      <c r="O260" s="23">
        <f t="shared" si="19"/>
        <v>-36.601375665964952</v>
      </c>
      <c r="P260" s="23">
        <f t="shared" si="20"/>
        <v>36.601375665964952</v>
      </c>
      <c r="Q260" s="48">
        <f t="shared" si="21"/>
        <v>1.6023468289723558E-3</v>
      </c>
      <c r="S260">
        <v>128</v>
      </c>
      <c r="T260" s="50">
        <v>-10.060958693735301</v>
      </c>
      <c r="U260" s="51">
        <f t="shared" si="22"/>
        <v>8.4355006007452867E-4</v>
      </c>
      <c r="V260" s="51">
        <f>SUM($U$5:U260)</f>
        <v>0.54378573116063944</v>
      </c>
      <c r="AB260" s="37"/>
    </row>
    <row r="261" spans="9:28" x14ac:dyDescent="0.3">
      <c r="I261">
        <v>257</v>
      </c>
      <c r="J261" s="23">
        <f>$C$5*Data!C259/Data!C258</f>
        <v>11141.966267259055</v>
      </c>
      <c r="K261" s="23">
        <f>$C$6*Data!F259/Data!F258</f>
        <v>9753.4129875279814</v>
      </c>
      <c r="L261" s="23">
        <f>$C$7*Data!I259/Data!I258</f>
        <v>6324.5027844471488</v>
      </c>
      <c r="M261" s="23">
        <f>$C$8*Data!L259/Data!L258</f>
        <v>112.31690203052624</v>
      </c>
      <c r="N261" s="23">
        <f t="shared" ref="N261:N324" si="23">MMULT(J261:M261,$D$5:$D$8)</f>
        <v>10102.54875409265</v>
      </c>
      <c r="O261" s="23">
        <f t="shared" si="19"/>
        <v>102.54875409264969</v>
      </c>
      <c r="P261" s="23">
        <f t="shared" si="20"/>
        <v>-102.54875409264969</v>
      </c>
      <c r="Q261" s="48">
        <f t="shared" si="21"/>
        <v>1.6103988230877942E-3</v>
      </c>
      <c r="S261">
        <v>183</v>
      </c>
      <c r="T261" s="50">
        <v>-10.928159052871706</v>
      </c>
      <c r="U261" s="51">
        <f t="shared" si="22"/>
        <v>1.111325858442242E-3</v>
      </c>
      <c r="V261" s="51">
        <f>SUM($U$5:U261)</f>
        <v>0.54489705701908164</v>
      </c>
      <c r="AB261" s="37"/>
    </row>
    <row r="262" spans="9:28" x14ac:dyDescent="0.3">
      <c r="I262">
        <v>258</v>
      </c>
      <c r="J262" s="23">
        <f>$C$5*Data!C260/Data!C259</f>
        <v>11038.579238377228</v>
      </c>
      <c r="K262" s="23">
        <f>$C$6*Data!F260/Data!F259</f>
        <v>9559.6392884209054</v>
      </c>
      <c r="L262" s="23">
        <f>$C$7*Data!I260/Data!I259</f>
        <v>6189.6853413127055</v>
      </c>
      <c r="M262" s="23">
        <f>$C$8*Data!L260/Data!L259</f>
        <v>109.76412063344308</v>
      </c>
      <c r="N262" s="23">
        <f t="shared" si="23"/>
        <v>9937.4772264424191</v>
      </c>
      <c r="O262" s="23">
        <f t="shared" ref="O262:O325" si="24">N262-$B$9</f>
        <v>-62.522773557580877</v>
      </c>
      <c r="P262" s="23">
        <f t="shared" ref="P262:P325" si="25">-O262</f>
        <v>62.522773557580877</v>
      </c>
      <c r="Q262" s="48">
        <f t="shared" ref="Q262:Q325" si="26">$Q$2^(500-I262)*(1-$Q$2)/(1-$Q$2^500)</f>
        <v>1.6184912794852205E-3</v>
      </c>
      <c r="S262">
        <v>71</v>
      </c>
      <c r="T262" s="50">
        <v>-11.13527216859984</v>
      </c>
      <c r="U262" s="51">
        <f t="shared" ref="U262:U325" si="27">$Q$2^(500-S262)*(1-$Q$2)/(1-$Q$2^500)</f>
        <v>6.3390833649663804E-4</v>
      </c>
      <c r="V262" s="51">
        <f>SUM($U$5:U262)</f>
        <v>0.54553096535557832</v>
      </c>
      <c r="AB262" s="37"/>
    </row>
    <row r="263" spans="9:28" x14ac:dyDescent="0.3">
      <c r="I263">
        <v>259</v>
      </c>
      <c r="J263" s="23">
        <f>$C$5*Data!C261/Data!C260</f>
        <v>11041.647419742203</v>
      </c>
      <c r="K263" s="23">
        <f>$C$6*Data!F261/Data!F260</f>
        <v>9697.1348134007421</v>
      </c>
      <c r="L263" s="23">
        <f>$C$7*Data!I261/Data!I260</f>
        <v>6208.6280734599113</v>
      </c>
      <c r="M263" s="23">
        <f>$C$8*Data!L261/Data!L260</f>
        <v>115.66731944676062</v>
      </c>
      <c r="N263" s="23">
        <f t="shared" si="23"/>
        <v>10089.25971094329</v>
      </c>
      <c r="O263" s="23">
        <f t="shared" si="24"/>
        <v>89.259710943289974</v>
      </c>
      <c r="P263" s="23">
        <f t="shared" si="25"/>
        <v>-89.259710943289974</v>
      </c>
      <c r="Q263" s="48">
        <f t="shared" si="26"/>
        <v>1.6266244014926838E-3</v>
      </c>
      <c r="S263">
        <v>50</v>
      </c>
      <c r="T263" s="50">
        <v>-11.623861471038254</v>
      </c>
      <c r="U263" s="51">
        <f t="shared" si="27"/>
        <v>5.7057292410466615E-4</v>
      </c>
      <c r="V263" s="51">
        <f>SUM($U$5:U263)</f>
        <v>0.546101538279683</v>
      </c>
      <c r="AB263" s="37"/>
    </row>
    <row r="264" spans="9:28" x14ac:dyDescent="0.3">
      <c r="I264">
        <v>260</v>
      </c>
      <c r="J264" s="23">
        <f>$C$5*Data!C262/Data!C261</f>
        <v>10983.191403524746</v>
      </c>
      <c r="K264" s="23">
        <f>$C$6*Data!F262/Data!F261</f>
        <v>9638.9083600312297</v>
      </c>
      <c r="L264" s="23">
        <f>$C$7*Data!I262/Data!I261</f>
        <v>6267.2489313674141</v>
      </c>
      <c r="M264" s="23">
        <f>$C$8*Data!L262/Data!L261</f>
        <v>113.13890537622632</v>
      </c>
      <c r="N264" s="23">
        <f t="shared" si="23"/>
        <v>10014.482688394935</v>
      </c>
      <c r="O264" s="23">
        <f t="shared" si="24"/>
        <v>14.482688394935394</v>
      </c>
      <c r="P264" s="23">
        <f t="shared" si="25"/>
        <v>-14.482688394935394</v>
      </c>
      <c r="Q264" s="48">
        <f t="shared" si="26"/>
        <v>1.634798393459984E-3</v>
      </c>
      <c r="S264">
        <v>112</v>
      </c>
      <c r="T264" s="50">
        <v>-12.034638440785784</v>
      </c>
      <c r="U264" s="51">
        <f t="shared" si="27"/>
        <v>7.7853860507311949E-4</v>
      </c>
      <c r="V264" s="51">
        <f>SUM($U$5:U264)</f>
        <v>0.54688007688475615</v>
      </c>
      <c r="AB264" s="37"/>
    </row>
    <row r="265" spans="9:28" x14ac:dyDescent="0.3">
      <c r="I265">
        <v>261</v>
      </c>
      <c r="J265" s="23">
        <f>$C$5*Data!C263/Data!C262</f>
        <v>11092.723555010658</v>
      </c>
      <c r="K265" s="23">
        <f>$C$6*Data!F263/Data!F262</f>
        <v>9662.3937655120008</v>
      </c>
      <c r="L265" s="23">
        <f>$C$7*Data!I263/Data!I262</f>
        <v>6229.4802211943461</v>
      </c>
      <c r="M265" s="23">
        <f>$C$8*Data!L263/Data!L262</f>
        <v>113.1299537152434</v>
      </c>
      <c r="N265" s="23">
        <f t="shared" si="23"/>
        <v>10055.322086822549</v>
      </c>
      <c r="O265" s="23">
        <f t="shared" si="24"/>
        <v>55.322086822548954</v>
      </c>
      <c r="P265" s="23">
        <f t="shared" si="25"/>
        <v>-55.322086822548954</v>
      </c>
      <c r="Q265" s="48">
        <f t="shared" si="26"/>
        <v>1.643013460763803E-3</v>
      </c>
      <c r="S265">
        <v>262</v>
      </c>
      <c r="T265" s="50">
        <v>-12.257379044964182</v>
      </c>
      <c r="U265" s="51">
        <f t="shared" si="27"/>
        <v>1.6512698098128673E-3</v>
      </c>
      <c r="V265" s="51">
        <f>SUM($U$5:U265)</f>
        <v>0.54853134669456904</v>
      </c>
      <c r="AB265" s="37"/>
    </row>
    <row r="266" spans="9:28" x14ac:dyDescent="0.3">
      <c r="I266">
        <v>262</v>
      </c>
      <c r="J266" s="23">
        <f>$C$5*Data!C264/Data!C263</f>
        <v>11035.637660998313</v>
      </c>
      <c r="K266" s="23">
        <f>$C$6*Data!F264/Data!F263</f>
        <v>9647.5375984395578</v>
      </c>
      <c r="L266" s="23">
        <f>$C$7*Data!I264/Data!I263</f>
        <v>6205.9790269372625</v>
      </c>
      <c r="M266" s="23">
        <f>$C$8*Data!L264/Data!L263</f>
        <v>110.83340038550109</v>
      </c>
      <c r="N266" s="23">
        <f t="shared" si="23"/>
        <v>9985.4612051168824</v>
      </c>
      <c r="O266" s="23">
        <f t="shared" si="24"/>
        <v>-14.538794883117589</v>
      </c>
      <c r="P266" s="23">
        <f t="shared" si="25"/>
        <v>14.538794883117589</v>
      </c>
      <c r="Q266" s="48">
        <f t="shared" si="26"/>
        <v>1.6512698098128673E-3</v>
      </c>
      <c r="S266">
        <v>391</v>
      </c>
      <c r="T266" s="50">
        <v>-12.620304011297776</v>
      </c>
      <c r="U266" s="51">
        <f t="shared" si="27"/>
        <v>3.1523949605173451E-3</v>
      </c>
      <c r="V266" s="51">
        <f>SUM($U$5:U266)</f>
        <v>0.55168374165508638</v>
      </c>
      <c r="AB266" s="37"/>
    </row>
    <row r="267" spans="9:28" x14ac:dyDescent="0.3">
      <c r="I267">
        <v>263</v>
      </c>
      <c r="J267" s="23">
        <f>$C$5*Data!C265/Data!C264</f>
        <v>11013.347534757193</v>
      </c>
      <c r="K267" s="23">
        <f>$C$6*Data!F265/Data!F264</f>
        <v>9537.8289724131464</v>
      </c>
      <c r="L267" s="23">
        <f>$C$7*Data!I265/Data!I264</f>
        <v>6228.3938695693705</v>
      </c>
      <c r="M267" s="23">
        <f>$C$8*Data!L265/Data!L264</f>
        <v>114.42544757377897</v>
      </c>
      <c r="N267" s="23">
        <f t="shared" si="23"/>
        <v>10010.378978243094</v>
      </c>
      <c r="O267" s="23">
        <f t="shared" si="24"/>
        <v>10.378978243094025</v>
      </c>
      <c r="P267" s="23">
        <f t="shared" si="25"/>
        <v>-10.378978243094025</v>
      </c>
      <c r="Q267" s="48">
        <f t="shared" si="26"/>
        <v>1.6595676480531331E-3</v>
      </c>
      <c r="S267">
        <v>82</v>
      </c>
      <c r="T267" s="50">
        <v>-13.028391473817464</v>
      </c>
      <c r="U267" s="51">
        <f t="shared" si="27"/>
        <v>6.6984230860023058E-4</v>
      </c>
      <c r="V267" s="51">
        <f>SUM($U$5:U267)</f>
        <v>0.55235358396368661</v>
      </c>
      <c r="AB267" s="37"/>
    </row>
    <row r="268" spans="9:28" x14ac:dyDescent="0.3">
      <c r="I268">
        <v>264</v>
      </c>
      <c r="J268" s="23">
        <f>$C$5*Data!C266/Data!C265</f>
        <v>11016.063457100539</v>
      </c>
      <c r="K268" s="23">
        <f>$C$6*Data!F266/Data!F265</f>
        <v>9595.0200209674113</v>
      </c>
      <c r="L268" s="23">
        <f>$C$7*Data!I266/Data!I265</f>
        <v>6209.6311050606073</v>
      </c>
      <c r="M268" s="23">
        <f>$C$8*Data!L266/Data!L265</f>
        <v>114.628102887132</v>
      </c>
      <c r="N268" s="23">
        <f t="shared" si="23"/>
        <v>10029.803417358311</v>
      </c>
      <c r="O268" s="23">
        <f t="shared" si="24"/>
        <v>29.80341735831098</v>
      </c>
      <c r="P268" s="23">
        <f t="shared" si="25"/>
        <v>-29.80341735831098</v>
      </c>
      <c r="Q268" s="48">
        <f t="shared" si="26"/>
        <v>1.667907183972998E-3</v>
      </c>
      <c r="S268">
        <v>83</v>
      </c>
      <c r="T268" s="50">
        <v>-13.035131610502503</v>
      </c>
      <c r="U268" s="51">
        <f t="shared" si="27"/>
        <v>6.7320835035199059E-4</v>
      </c>
      <c r="V268" s="51">
        <f>SUM($U$5:U268)</f>
        <v>0.55302679231403862</v>
      </c>
      <c r="AB268" s="37"/>
    </row>
    <row r="269" spans="9:28" x14ac:dyDescent="0.3">
      <c r="I269">
        <v>265</v>
      </c>
      <c r="J269" s="23">
        <f>$C$5*Data!C267/Data!C266</f>
        <v>10990.917076156073</v>
      </c>
      <c r="K269" s="23">
        <f>$C$6*Data!F267/Data!F266</f>
        <v>9558.4176165263016</v>
      </c>
      <c r="L269" s="23">
        <f>$C$7*Data!I267/Data!I266</f>
        <v>6156.4569794773897</v>
      </c>
      <c r="M269" s="23">
        <f>$C$8*Data!L267/Data!L266</f>
        <v>112.65867495410662</v>
      </c>
      <c r="N269" s="23">
        <f t="shared" si="23"/>
        <v>9965.7511950426851</v>
      </c>
      <c r="O269" s="23">
        <f t="shared" si="24"/>
        <v>-34.24880495731486</v>
      </c>
      <c r="P269" s="23">
        <f t="shared" si="25"/>
        <v>34.24880495731486</v>
      </c>
      <c r="Q269" s="48">
        <f t="shared" si="26"/>
        <v>1.6762886271085406E-3</v>
      </c>
      <c r="S269">
        <v>179</v>
      </c>
      <c r="T269" s="50">
        <v>-13.134468178559473</v>
      </c>
      <c r="U269" s="51">
        <f t="shared" si="27"/>
        <v>1.0892654851838127E-3</v>
      </c>
      <c r="V269" s="51">
        <f>SUM($U$5:U269)</f>
        <v>0.55411605779922246</v>
      </c>
      <c r="AB269" s="37"/>
    </row>
    <row r="270" spans="9:28" x14ac:dyDescent="0.3">
      <c r="I270">
        <v>266</v>
      </c>
      <c r="J270" s="23">
        <f>$C$5*Data!C268/Data!C267</f>
        <v>11098.06063662612</v>
      </c>
      <c r="K270" s="23">
        <f>$C$6*Data!F268/Data!F267</f>
        <v>9659.908782350667</v>
      </c>
      <c r="L270" s="23">
        <f>$C$7*Data!I268/Data!I267</f>
        <v>6201.9589230609645</v>
      </c>
      <c r="M270" s="23">
        <f>$C$8*Data!L268/Data!L267</f>
        <v>114.03193720604604</v>
      </c>
      <c r="N270" s="23">
        <f t="shared" si="23"/>
        <v>10068.033238075739</v>
      </c>
      <c r="O270" s="23">
        <f t="shared" si="24"/>
        <v>68.033238075739064</v>
      </c>
      <c r="P270" s="23">
        <f t="shared" si="25"/>
        <v>-68.033238075739064</v>
      </c>
      <c r="Q270" s="48">
        <f t="shared" si="26"/>
        <v>1.6847121880487845E-3</v>
      </c>
      <c r="S270">
        <v>178</v>
      </c>
      <c r="T270" s="50">
        <v>-13.33799947585976</v>
      </c>
      <c r="U270" s="51">
        <f t="shared" si="27"/>
        <v>1.0838191577578937E-3</v>
      </c>
      <c r="V270" s="51">
        <f>SUM($U$5:U270)</f>
        <v>0.55519987695698036</v>
      </c>
      <c r="AB270" s="37"/>
    </row>
    <row r="271" spans="9:28" x14ac:dyDescent="0.3">
      <c r="I271">
        <v>267</v>
      </c>
      <c r="J271" s="23">
        <f>$C$5*Data!C269/Data!C268</f>
        <v>10979.288254649959</v>
      </c>
      <c r="K271" s="23">
        <f>$C$6*Data!F269/Data!F268</f>
        <v>9649.0170980073744</v>
      </c>
      <c r="L271" s="23">
        <f>$C$7*Data!I269/Data!I268</f>
        <v>6250.5914573720102</v>
      </c>
      <c r="M271" s="23">
        <f>$C$8*Data!L269/Data!L268</f>
        <v>111.31428070050069</v>
      </c>
      <c r="N271" s="23">
        <f t="shared" si="23"/>
        <v>9981.1935400385428</v>
      </c>
      <c r="O271" s="23">
        <f t="shared" si="24"/>
        <v>-18.806459961457222</v>
      </c>
      <c r="P271" s="23">
        <f t="shared" si="25"/>
        <v>18.806459961457222</v>
      </c>
      <c r="Q271" s="48">
        <f t="shared" si="26"/>
        <v>1.6931780784409892E-3</v>
      </c>
      <c r="S271">
        <v>282</v>
      </c>
      <c r="T271" s="50">
        <v>-13.45111875816292</v>
      </c>
      <c r="U271" s="51">
        <f t="shared" si="27"/>
        <v>1.8253931894660139E-3</v>
      </c>
      <c r="V271" s="51">
        <f>SUM($U$5:U271)</f>
        <v>0.55702527014644643</v>
      </c>
      <c r="AB271" s="37"/>
    </row>
    <row r="272" spans="9:28" x14ac:dyDescent="0.3">
      <c r="I272">
        <v>268</v>
      </c>
      <c r="J272" s="23">
        <f>$C$5*Data!C270/Data!C269</f>
        <v>11009.58817437363</v>
      </c>
      <c r="K272" s="23">
        <f>$C$6*Data!F270/Data!F269</f>
        <v>9600.5646228267669</v>
      </c>
      <c r="L272" s="23">
        <f>$C$7*Data!I270/Data!I269</f>
        <v>6127.6489383898379</v>
      </c>
      <c r="M272" s="23">
        <f>$C$8*Data!L270/Data!L269</f>
        <v>113.39242666714901</v>
      </c>
      <c r="N272" s="23">
        <f t="shared" si="23"/>
        <v>9994.0592454188627</v>
      </c>
      <c r="O272" s="23">
        <f t="shared" si="24"/>
        <v>-5.9407545811372984</v>
      </c>
      <c r="P272" s="23">
        <f t="shared" si="25"/>
        <v>5.9407545811372984</v>
      </c>
      <c r="Q272" s="48">
        <f t="shared" si="26"/>
        <v>1.7016865109959691E-3</v>
      </c>
      <c r="S272">
        <v>139</v>
      </c>
      <c r="T272" s="50">
        <v>-13.571945598456296</v>
      </c>
      <c r="U272" s="51">
        <f t="shared" si="27"/>
        <v>8.9136786366144011E-4</v>
      </c>
      <c r="V272" s="51">
        <f>SUM($U$5:U272)</f>
        <v>0.55791663801010782</v>
      </c>
      <c r="AB272" s="37"/>
    </row>
    <row r="273" spans="9:28" x14ac:dyDescent="0.3">
      <c r="I273">
        <v>269</v>
      </c>
      <c r="J273" s="23">
        <f>$C$5*Data!C271/Data!C270</f>
        <v>10950.150993864412</v>
      </c>
      <c r="K273" s="23">
        <f>$C$6*Data!F271/Data!F270</f>
        <v>9625.0901120687377</v>
      </c>
      <c r="L273" s="23">
        <f>$C$7*Data!I271/Data!I270</f>
        <v>6244.3082479986624</v>
      </c>
      <c r="M273" s="23">
        <f>$C$8*Data!L271/Data!L270</f>
        <v>113.04419158678419</v>
      </c>
      <c r="N273" s="23">
        <f t="shared" si="23"/>
        <v>9992.794925357055</v>
      </c>
      <c r="O273" s="23">
        <f t="shared" si="24"/>
        <v>-7.2050746429449646</v>
      </c>
      <c r="P273" s="23">
        <f t="shared" si="25"/>
        <v>7.2050746429449646</v>
      </c>
      <c r="Q273" s="48">
        <f t="shared" si="26"/>
        <v>1.7102376994934363E-3</v>
      </c>
      <c r="S273">
        <v>269</v>
      </c>
      <c r="T273" s="50">
        <v>-13.672494114376605</v>
      </c>
      <c r="U273" s="51">
        <f t="shared" si="27"/>
        <v>1.7102376994934363E-3</v>
      </c>
      <c r="V273" s="51">
        <f>SUM($U$5:U273)</f>
        <v>0.55962687570960123</v>
      </c>
      <c r="AB273" s="37"/>
    </row>
    <row r="274" spans="9:28" x14ac:dyDescent="0.3">
      <c r="I274">
        <v>270</v>
      </c>
      <c r="J274" s="23">
        <f>$C$5*Data!C272/Data!C271</f>
        <v>10932.497855632362</v>
      </c>
      <c r="K274" s="23">
        <f>$C$6*Data!F272/Data!F271</f>
        <v>9514.5532768048888</v>
      </c>
      <c r="L274" s="23">
        <f>$C$7*Data!I272/Data!I271</f>
        <v>6183.2797759620507</v>
      </c>
      <c r="M274" s="23">
        <f>$C$8*Data!L272/Data!L271</f>
        <v>112.75814375292207</v>
      </c>
      <c r="N274" s="23">
        <f t="shared" si="23"/>
        <v>9936.9318747526668</v>
      </c>
      <c r="O274" s="23">
        <f t="shared" si="24"/>
        <v>-63.068125247333228</v>
      </c>
      <c r="P274" s="23">
        <f t="shared" si="25"/>
        <v>63.068125247333228</v>
      </c>
      <c r="Q274" s="48">
        <f t="shared" si="26"/>
        <v>1.7188318587873733E-3</v>
      </c>
      <c r="S274">
        <v>217</v>
      </c>
      <c r="T274" s="50">
        <v>-13.688613149442972</v>
      </c>
      <c r="U274" s="51">
        <f t="shared" si="27"/>
        <v>1.3178217598039765E-3</v>
      </c>
      <c r="V274" s="51">
        <f>SUM($U$5:U274)</f>
        <v>0.56094469746940523</v>
      </c>
      <c r="AB274" s="37"/>
    </row>
    <row r="275" spans="9:28" x14ac:dyDescent="0.3">
      <c r="I275">
        <v>271</v>
      </c>
      <c r="J275" s="23">
        <f>$C$5*Data!C273/Data!C272</f>
        <v>10998.564394729025</v>
      </c>
      <c r="K275" s="23">
        <f>$C$6*Data!F273/Data!F272</f>
        <v>9416.0927536038525</v>
      </c>
      <c r="L275" s="23">
        <f>$C$7*Data!I273/Data!I272</f>
        <v>6198.6743399811621</v>
      </c>
      <c r="M275" s="23">
        <f>$C$8*Data!L273/Data!L272</f>
        <v>111.69354360893792</v>
      </c>
      <c r="N275" s="23">
        <f t="shared" si="23"/>
        <v>9913.7493959581971</v>
      </c>
      <c r="O275" s="23">
        <f t="shared" si="24"/>
        <v>-86.250604041802944</v>
      </c>
      <c r="P275" s="23">
        <f t="shared" si="25"/>
        <v>86.250604041802944</v>
      </c>
      <c r="Q275" s="48">
        <f t="shared" si="26"/>
        <v>1.7274692048114303E-3</v>
      </c>
      <c r="S275">
        <v>265</v>
      </c>
      <c r="T275" s="50">
        <v>-14.006158840382341</v>
      </c>
      <c r="U275" s="51">
        <f t="shared" si="27"/>
        <v>1.6762886271085406E-3</v>
      </c>
      <c r="V275" s="51">
        <f>SUM($U$5:U275)</f>
        <v>0.56262098609651379</v>
      </c>
      <c r="AB275" s="37"/>
    </row>
    <row r="276" spans="9:28" x14ac:dyDescent="0.3">
      <c r="I276">
        <v>272</v>
      </c>
      <c r="J276" s="23">
        <f>$C$5*Data!C274/Data!C273</f>
        <v>11183.70999558475</v>
      </c>
      <c r="K276" s="23">
        <f>$C$6*Data!F274/Data!F273</f>
        <v>9693.3796619975292</v>
      </c>
      <c r="L276" s="23">
        <f>$C$7*Data!I274/Data!I273</f>
        <v>6183.3961476963323</v>
      </c>
      <c r="M276" s="23">
        <f>$C$8*Data!L274/Data!L273</f>
        <v>113.13998528862618</v>
      </c>
      <c r="N276" s="23">
        <f t="shared" si="23"/>
        <v>10090.770430343286</v>
      </c>
      <c r="O276" s="23">
        <f t="shared" si="24"/>
        <v>90.770430343285625</v>
      </c>
      <c r="P276" s="23">
        <f t="shared" si="25"/>
        <v>-90.770430343285625</v>
      </c>
      <c r="Q276" s="48">
        <f t="shared" si="26"/>
        <v>1.7361499545843521E-3</v>
      </c>
      <c r="S276">
        <v>42</v>
      </c>
      <c r="T276" s="50">
        <v>-14.157178247020056</v>
      </c>
      <c r="U276" s="51">
        <f t="shared" si="27"/>
        <v>5.4814543903984863E-4</v>
      </c>
      <c r="V276" s="51">
        <f>SUM($U$5:U276)</f>
        <v>0.56316913153555359</v>
      </c>
      <c r="AB276" s="37"/>
    </row>
    <row r="277" spans="9:28" x14ac:dyDescent="0.3">
      <c r="I277">
        <v>273</v>
      </c>
      <c r="J277" s="23">
        <f>$C$5*Data!C275/Data!C274</f>
        <v>11054.611651624053</v>
      </c>
      <c r="K277" s="23">
        <f>$C$6*Data!F275/Data!F274</f>
        <v>9740.535228760782</v>
      </c>
      <c r="L277" s="23">
        <f>$C$7*Data!I275/Data!I274</f>
        <v>6228.549210177267</v>
      </c>
      <c r="M277" s="23">
        <f>$C$8*Data!L275/Data!L274</f>
        <v>114.25148814824126</v>
      </c>
      <c r="N277" s="23">
        <f t="shared" si="23"/>
        <v>10085.641726371778</v>
      </c>
      <c r="O277" s="23">
        <f t="shared" si="24"/>
        <v>85.641726371777622</v>
      </c>
      <c r="P277" s="23">
        <f t="shared" si="25"/>
        <v>-85.641726371777622</v>
      </c>
      <c r="Q277" s="48">
        <f t="shared" si="26"/>
        <v>1.7448743262154292E-3</v>
      </c>
      <c r="S277">
        <v>440</v>
      </c>
      <c r="T277" s="50">
        <v>-14.21794143016632</v>
      </c>
      <c r="U277" s="51">
        <f t="shared" si="27"/>
        <v>4.0300428885899709E-3</v>
      </c>
      <c r="V277" s="51">
        <f>SUM($U$5:U277)</f>
        <v>0.56719917442414358</v>
      </c>
      <c r="AB277" s="37"/>
    </row>
    <row r="278" spans="9:28" x14ac:dyDescent="0.3">
      <c r="I278">
        <v>274</v>
      </c>
      <c r="J278" s="23">
        <f>$C$5*Data!C276/Data!C275</f>
        <v>11098.658728401066</v>
      </c>
      <c r="K278" s="23">
        <f>$C$6*Data!F276/Data!F275</f>
        <v>9562.2501632742114</v>
      </c>
      <c r="L278" s="23">
        <f>$C$7*Data!I276/Data!I275</f>
        <v>6202.0761571099301</v>
      </c>
      <c r="M278" s="23">
        <f>$C$8*Data!L276/Data!L275</f>
        <v>112.09602560441556</v>
      </c>
      <c r="N278" s="23">
        <f t="shared" si="23"/>
        <v>10003.432612671089</v>
      </c>
      <c r="O278" s="23">
        <f t="shared" si="24"/>
        <v>3.4326126710893732</v>
      </c>
      <c r="P278" s="23">
        <f t="shared" si="25"/>
        <v>-3.4326126710893732</v>
      </c>
      <c r="Q278" s="48">
        <f t="shared" si="26"/>
        <v>1.7536425389099788E-3</v>
      </c>
      <c r="S278" s="3">
        <v>1</v>
      </c>
      <c r="T278" s="50">
        <v>-14.333845846786062</v>
      </c>
      <c r="U278" s="51">
        <f t="shared" si="27"/>
        <v>4.4631564980305031E-4</v>
      </c>
      <c r="V278" s="51">
        <f>SUM($U$5:U278)</f>
        <v>0.5676454900739466</v>
      </c>
      <c r="AB278" s="37"/>
    </row>
    <row r="279" spans="9:28" x14ac:dyDescent="0.3">
      <c r="I279">
        <v>275</v>
      </c>
      <c r="J279" s="23">
        <f>$C$5*Data!C277/Data!C276</f>
        <v>11012.492602896284</v>
      </c>
      <c r="K279" s="23">
        <f>$C$6*Data!F277/Data!F276</f>
        <v>9614.5415928056627</v>
      </c>
      <c r="L279" s="23">
        <f>$C$7*Data!I277/Data!I276</f>
        <v>6234.050712038329</v>
      </c>
      <c r="M279" s="23">
        <f>$C$8*Data!L277/Data!L276</f>
        <v>111.87180136855251</v>
      </c>
      <c r="N279" s="23">
        <f t="shared" si="23"/>
        <v>9989.6854615003413</v>
      </c>
      <c r="O279" s="23">
        <f t="shared" si="24"/>
        <v>-10.314538499658738</v>
      </c>
      <c r="P279" s="23">
        <f t="shared" si="25"/>
        <v>10.314538499658738</v>
      </c>
      <c r="Q279" s="48">
        <f t="shared" si="26"/>
        <v>1.7624548129748536E-3</v>
      </c>
      <c r="S279">
        <v>325</v>
      </c>
      <c r="T279" s="50">
        <v>-15.054667460277415</v>
      </c>
      <c r="U279" s="51">
        <f t="shared" si="27"/>
        <v>2.2644563510741556E-3</v>
      </c>
      <c r="V279" s="51">
        <f>SUM($U$5:U279)</f>
        <v>0.5699099464250208</v>
      </c>
      <c r="AB279" s="37"/>
    </row>
    <row r="280" spans="9:28" x14ac:dyDescent="0.3">
      <c r="I280">
        <v>276</v>
      </c>
      <c r="J280" s="23">
        <f>$C$5*Data!C278/Data!C277</f>
        <v>11077.003898870164</v>
      </c>
      <c r="K280" s="23">
        <f>$C$6*Data!F278/Data!F277</f>
        <v>9653.4253661475905</v>
      </c>
      <c r="L280" s="23">
        <f>$C$7*Data!I278/Data!I277</f>
        <v>6217.7761829472911</v>
      </c>
      <c r="M280" s="23">
        <f>$C$8*Data!L278/Data!L277</f>
        <v>112.00041260667447</v>
      </c>
      <c r="N280" s="23">
        <f t="shared" si="23"/>
        <v>10024.903608893979</v>
      </c>
      <c r="O280" s="23">
        <f t="shared" si="24"/>
        <v>24.903608893979253</v>
      </c>
      <c r="P280" s="23">
        <f t="shared" si="25"/>
        <v>-24.903608893979253</v>
      </c>
      <c r="Q280" s="48">
        <f t="shared" si="26"/>
        <v>1.7713113698239731E-3</v>
      </c>
      <c r="S280">
        <v>104</v>
      </c>
      <c r="T280" s="50">
        <v>-15.184368780563091</v>
      </c>
      <c r="U280" s="51">
        <f t="shared" si="27"/>
        <v>7.4793662204867021E-4</v>
      </c>
      <c r="V280" s="51">
        <f>SUM($U$5:U280)</f>
        <v>0.57065788304706944</v>
      </c>
      <c r="AB280" s="37"/>
    </row>
    <row r="281" spans="9:28" x14ac:dyDescent="0.3">
      <c r="I281">
        <v>277</v>
      </c>
      <c r="J281" s="23">
        <f>$C$5*Data!C279/Data!C278</f>
        <v>11062.907169353406</v>
      </c>
      <c r="K281" s="23">
        <f>$C$6*Data!F279/Data!F278</f>
        <v>9731.1794419084817</v>
      </c>
      <c r="L281" s="23">
        <f>$C$7*Data!I279/Data!I278</f>
        <v>6292.0619672318462</v>
      </c>
      <c r="M281" s="23">
        <f>$C$8*Data!L279/Data!L278</f>
        <v>110.08854669016988</v>
      </c>
      <c r="N281" s="23">
        <f t="shared" si="23"/>
        <v>10022.175317823958</v>
      </c>
      <c r="O281" s="23">
        <f t="shared" si="24"/>
        <v>22.175317823957812</v>
      </c>
      <c r="P281" s="23">
        <f t="shared" si="25"/>
        <v>-22.175317823957812</v>
      </c>
      <c r="Q281" s="48">
        <f t="shared" si="26"/>
        <v>1.7802124319838924E-3</v>
      </c>
      <c r="S281">
        <v>67</v>
      </c>
      <c r="T281" s="50">
        <v>-16.651966867533702</v>
      </c>
      <c r="U281" s="51">
        <f t="shared" si="27"/>
        <v>6.2132493945920425E-4</v>
      </c>
      <c r="V281" s="51">
        <f>SUM($U$5:U281)</f>
        <v>0.57127920798652865</v>
      </c>
      <c r="AB281" s="37"/>
    </row>
    <row r="282" spans="9:28" x14ac:dyDescent="0.3">
      <c r="I282">
        <v>278</v>
      </c>
      <c r="J282" s="23">
        <f>$C$5*Data!C280/Data!C279</f>
        <v>11020.620942877969</v>
      </c>
      <c r="K282" s="23">
        <f>$C$6*Data!F280/Data!F279</f>
        <v>9618.592728146039</v>
      </c>
      <c r="L282" s="23">
        <f>$C$7*Data!I280/Data!I279</f>
        <v>6149.4676325531891</v>
      </c>
      <c r="M282" s="23">
        <f>$C$8*Data!L280/Data!L279</f>
        <v>113.50098548678037</v>
      </c>
      <c r="N282" s="23">
        <f t="shared" si="23"/>
        <v>10009.140317977997</v>
      </c>
      <c r="O282" s="23">
        <f t="shared" si="24"/>
        <v>9.1403179779972561</v>
      </c>
      <c r="P282" s="23">
        <f t="shared" si="25"/>
        <v>-9.1403179779972561</v>
      </c>
      <c r="Q282" s="48">
        <f t="shared" si="26"/>
        <v>1.7891582230993896E-3</v>
      </c>
      <c r="S282">
        <v>88</v>
      </c>
      <c r="T282" s="50">
        <v>-16.786090860134209</v>
      </c>
      <c r="U282" s="51">
        <f t="shared" si="27"/>
        <v>6.9029398724887274E-4</v>
      </c>
      <c r="V282" s="51">
        <f>SUM($U$5:U282)</f>
        <v>0.57196950197377749</v>
      </c>
      <c r="AB282" s="37"/>
    </row>
    <row r="283" spans="9:28" x14ac:dyDescent="0.3">
      <c r="I283">
        <v>279</v>
      </c>
      <c r="J283" s="23">
        <f>$C$5*Data!C281/Data!C280</f>
        <v>10989.607157480843</v>
      </c>
      <c r="K283" s="23">
        <f>$C$6*Data!F281/Data!F280</f>
        <v>9552.5579222631677</v>
      </c>
      <c r="L283" s="23">
        <f>$C$7*Data!I281/Data!I280</f>
        <v>6235.4788709956256</v>
      </c>
      <c r="M283" s="23">
        <f>$C$8*Data!L281/Data!L280</f>
        <v>114.81476334901734</v>
      </c>
      <c r="N283" s="23">
        <f t="shared" si="23"/>
        <v>10014.410315273692</v>
      </c>
      <c r="O283" s="23">
        <f t="shared" si="24"/>
        <v>14.410315273691594</v>
      </c>
      <c r="P283" s="23">
        <f t="shared" si="25"/>
        <v>-14.410315273691594</v>
      </c>
      <c r="Q283" s="48">
        <f t="shared" si="26"/>
        <v>1.7981489679390855E-3</v>
      </c>
      <c r="S283">
        <v>417</v>
      </c>
      <c r="T283" s="50">
        <v>-16.95838501997423</v>
      </c>
      <c r="U283" s="51">
        <f t="shared" si="27"/>
        <v>3.591207713205155E-3</v>
      </c>
      <c r="V283" s="51">
        <f>SUM($U$5:U283)</f>
        <v>0.5755607096869827</v>
      </c>
      <c r="AB283" s="37"/>
    </row>
    <row r="284" spans="9:28" x14ac:dyDescent="0.3">
      <c r="I284">
        <v>280</v>
      </c>
      <c r="J284" s="23">
        <f>$C$5*Data!C282/Data!C281</f>
        <v>11141.676699862444</v>
      </c>
      <c r="K284" s="23">
        <f>$C$6*Data!F282/Data!F281</f>
        <v>9518.2397065760779</v>
      </c>
      <c r="L284" s="23">
        <f>$C$7*Data!I282/Data!I281</f>
        <v>6116.312836548318</v>
      </c>
      <c r="M284" s="23">
        <f>$C$8*Data!L282/Data!L281</f>
        <v>112.55506373026378</v>
      </c>
      <c r="N284" s="23">
        <f t="shared" si="23"/>
        <v>9999.5962578815033</v>
      </c>
      <c r="O284" s="23">
        <f t="shared" si="24"/>
        <v>-0.40374211849666608</v>
      </c>
      <c r="P284" s="23">
        <f t="shared" si="25"/>
        <v>0.40374211849666608</v>
      </c>
      <c r="Q284" s="48">
        <f t="shared" si="26"/>
        <v>1.8071848924010904E-3</v>
      </c>
      <c r="S284">
        <v>106</v>
      </c>
      <c r="T284" s="50">
        <v>-17.083152395780417</v>
      </c>
      <c r="U284" s="51">
        <f t="shared" si="27"/>
        <v>7.5547245983552955E-4</v>
      </c>
      <c r="V284" s="51">
        <f>SUM($U$5:U284)</f>
        <v>0.57631618214681823</v>
      </c>
      <c r="AB284" s="37"/>
    </row>
    <row r="285" spans="9:28" x14ac:dyDescent="0.3">
      <c r="I285">
        <v>281</v>
      </c>
      <c r="J285" s="23">
        <f>$C$5*Data!C283/Data!C282</f>
        <v>10812.921908399485</v>
      </c>
      <c r="K285" s="23">
        <f>$C$6*Data!F283/Data!F282</f>
        <v>9613.7010474839681</v>
      </c>
      <c r="L285" s="23">
        <f>$C$7*Data!I283/Data!I282</f>
        <v>6148.131980749833</v>
      </c>
      <c r="M285" s="23">
        <f>$C$8*Data!L283/Data!L282</f>
        <v>112.69870572430462</v>
      </c>
      <c r="N285" s="23">
        <f t="shared" si="23"/>
        <v>9917.7984491074585</v>
      </c>
      <c r="O285" s="23">
        <f t="shared" si="24"/>
        <v>-82.201550892541491</v>
      </c>
      <c r="P285" s="23">
        <f t="shared" si="25"/>
        <v>82.201550892541491</v>
      </c>
      <c r="Q285" s="48">
        <f t="shared" si="26"/>
        <v>1.8162662235186836E-3</v>
      </c>
      <c r="S285">
        <v>157</v>
      </c>
      <c r="T285" s="50">
        <v>-17.112599983236578</v>
      </c>
      <c r="U285" s="51">
        <f t="shared" si="27"/>
        <v>9.7553199798604913E-4</v>
      </c>
      <c r="V285" s="51">
        <f>SUM($U$5:U285)</f>
        <v>0.57729171414480429</v>
      </c>
      <c r="AB285" s="37"/>
    </row>
    <row r="286" spans="9:28" x14ac:dyDescent="0.3">
      <c r="I286">
        <v>282</v>
      </c>
      <c r="J286" s="23">
        <f>$C$5*Data!C284/Data!C283</f>
        <v>11012.812262055013</v>
      </c>
      <c r="K286" s="23">
        <f>$C$6*Data!F284/Data!F283</f>
        <v>9405.3473784002217</v>
      </c>
      <c r="L286" s="23">
        <f>$C$7*Data!I284/Data!I283</f>
        <v>6092.0006494474383</v>
      </c>
      <c r="M286" s="23">
        <f>$C$8*Data!L284/Data!L283</f>
        <v>114.68314125241713</v>
      </c>
      <c r="N286" s="23">
        <f t="shared" si="23"/>
        <v>9951.3544267288562</v>
      </c>
      <c r="O286" s="23">
        <f t="shared" si="24"/>
        <v>-48.645573271143803</v>
      </c>
      <c r="P286" s="23">
        <f t="shared" si="25"/>
        <v>48.645573271143803</v>
      </c>
      <c r="Q286" s="48">
        <f t="shared" si="26"/>
        <v>1.8253931894660139E-3</v>
      </c>
      <c r="S286">
        <v>348</v>
      </c>
      <c r="T286" s="50">
        <v>-17.607200365346216</v>
      </c>
      <c r="U286" s="51">
        <f t="shared" si="27"/>
        <v>2.5411663548761875E-3</v>
      </c>
      <c r="V286" s="51">
        <f>SUM($U$5:U286)</f>
        <v>0.57983288049968051</v>
      </c>
      <c r="AB286" s="37"/>
    </row>
    <row r="287" spans="9:28" x14ac:dyDescent="0.3">
      <c r="I287">
        <v>283</v>
      </c>
      <c r="J287" s="23">
        <f>$C$5*Data!C285/Data!C284</f>
        <v>11101.228437337661</v>
      </c>
      <c r="K287" s="23">
        <f>$C$6*Data!F285/Data!F284</f>
        <v>9614.5592596529114</v>
      </c>
      <c r="L287" s="23">
        <f>$C$7*Data!I285/Data!I284</f>
        <v>6171.5922641597535</v>
      </c>
      <c r="M287" s="23">
        <f>$C$8*Data!L285/Data!L284</f>
        <v>114.24607624491826</v>
      </c>
      <c r="N287" s="23">
        <f t="shared" si="23"/>
        <v>10053.909495988972</v>
      </c>
      <c r="O287" s="23">
        <f t="shared" si="24"/>
        <v>53.909495988971685</v>
      </c>
      <c r="P287" s="23">
        <f t="shared" si="25"/>
        <v>-53.909495988971685</v>
      </c>
      <c r="Q287" s="48">
        <f t="shared" si="26"/>
        <v>1.8345660195638329E-3</v>
      </c>
      <c r="S287">
        <v>148</v>
      </c>
      <c r="T287" s="50">
        <v>-18.338979438556635</v>
      </c>
      <c r="U287" s="51">
        <f t="shared" si="27"/>
        <v>9.3250087022919215E-4</v>
      </c>
      <c r="V287" s="51">
        <f>SUM($U$5:U287)</f>
        <v>0.58076538136990974</v>
      </c>
      <c r="AB287" s="37"/>
    </row>
    <row r="288" spans="9:28" x14ac:dyDescent="0.3">
      <c r="I288">
        <v>284</v>
      </c>
      <c r="J288" s="23">
        <f>$C$5*Data!C286/Data!C285</f>
        <v>10970.86997141877</v>
      </c>
      <c r="K288" s="23">
        <f>$C$6*Data!F286/Data!F285</f>
        <v>9654.1165881699417</v>
      </c>
      <c r="L288" s="23">
        <f>$C$7*Data!I286/Data!I285</f>
        <v>6239.0822488215481</v>
      </c>
      <c r="M288" s="23">
        <f>$C$8*Data!L286/Data!L285</f>
        <v>113.59959902323813</v>
      </c>
      <c r="N288" s="23">
        <f t="shared" si="23"/>
        <v>10018.38775919511</v>
      </c>
      <c r="O288" s="23">
        <f t="shared" si="24"/>
        <v>18.387759195109538</v>
      </c>
      <c r="P288" s="23">
        <f t="shared" si="25"/>
        <v>-18.387759195109538</v>
      </c>
      <c r="Q288" s="48">
        <f t="shared" si="26"/>
        <v>1.8437849442852594E-3</v>
      </c>
      <c r="S288">
        <v>164</v>
      </c>
      <c r="T288" s="50">
        <v>-18.389969444422604</v>
      </c>
      <c r="U288" s="51">
        <f t="shared" si="27"/>
        <v>1.0103688628613449E-3</v>
      </c>
      <c r="V288" s="51">
        <f>SUM($U$5:U288)</f>
        <v>0.58177575023277106</v>
      </c>
      <c r="AB288" s="37"/>
    </row>
    <row r="289" spans="9:28" x14ac:dyDescent="0.3">
      <c r="I289">
        <v>285</v>
      </c>
      <c r="J289" s="23">
        <f>$C$5*Data!C287/Data!C286</f>
        <v>11061.623479929034</v>
      </c>
      <c r="K289" s="23">
        <f>$C$6*Data!F287/Data!F286</f>
        <v>9615.590975550851</v>
      </c>
      <c r="L289" s="23">
        <f>$C$7*Data!I287/Data!I286</f>
        <v>6194.0794279965721</v>
      </c>
      <c r="M289" s="23">
        <f>$C$8*Data!L287/Data!L286</f>
        <v>112.44086053533344</v>
      </c>
      <c r="N289" s="23">
        <f t="shared" si="23"/>
        <v>10011.484567133295</v>
      </c>
      <c r="O289" s="23">
        <f t="shared" si="24"/>
        <v>11.484567133295059</v>
      </c>
      <c r="P289" s="23">
        <f t="shared" si="25"/>
        <v>-11.484567133295059</v>
      </c>
      <c r="Q289" s="48">
        <f t="shared" si="26"/>
        <v>1.8530501952615671E-3</v>
      </c>
      <c r="S289">
        <v>154</v>
      </c>
      <c r="T289" s="50">
        <v>-18.467002946790672</v>
      </c>
      <c r="U289" s="51">
        <f t="shared" si="27"/>
        <v>9.6097206097460746E-4</v>
      </c>
      <c r="V289" s="51">
        <f>SUM($U$5:U289)</f>
        <v>0.58273672229374562</v>
      </c>
      <c r="AB289" s="37"/>
    </row>
    <row r="290" spans="9:28" x14ac:dyDescent="0.3">
      <c r="I290">
        <v>286</v>
      </c>
      <c r="J290" s="23">
        <f>$C$5*Data!C288/Data!C287</f>
        <v>11096.285638663574</v>
      </c>
      <c r="K290" s="23">
        <f>$C$6*Data!F288/Data!F287</f>
        <v>9692.0262020943337</v>
      </c>
      <c r="L290" s="23">
        <f>$C$7*Data!I288/Data!I287</f>
        <v>6195.9385877395753</v>
      </c>
      <c r="M290" s="23">
        <f>$C$8*Data!L288/Data!L287</f>
        <v>113.50228384408783</v>
      </c>
      <c r="N290" s="23">
        <f t="shared" si="23"/>
        <v>10067.065740348877</v>
      </c>
      <c r="O290" s="23">
        <f t="shared" si="24"/>
        <v>67.065740348876716</v>
      </c>
      <c r="P290" s="23">
        <f t="shared" si="25"/>
        <v>-67.065740348876716</v>
      </c>
      <c r="Q290" s="48">
        <f t="shared" si="26"/>
        <v>1.8623620052880072E-3</v>
      </c>
      <c r="S290">
        <v>281</v>
      </c>
      <c r="T290" s="50">
        <v>-18.917522829353402</v>
      </c>
      <c r="U290" s="51">
        <f t="shared" si="27"/>
        <v>1.8162662235186836E-3</v>
      </c>
      <c r="V290" s="51">
        <f>SUM($U$5:U290)</f>
        <v>0.58455298851726434</v>
      </c>
      <c r="AB290" s="37"/>
    </row>
    <row r="291" spans="9:28" x14ac:dyDescent="0.3">
      <c r="I291">
        <v>287</v>
      </c>
      <c r="J291" s="23">
        <f>$C$5*Data!C289/Data!C288</f>
        <v>11149.569804458191</v>
      </c>
      <c r="K291" s="23">
        <f>$C$6*Data!F289/Data!F288</f>
        <v>9768.6438811063599</v>
      </c>
      <c r="L291" s="23">
        <f>$C$7*Data!I289/Data!I288</f>
        <v>6278.6403502608009</v>
      </c>
      <c r="M291" s="23">
        <f>$C$8*Data!L289/Data!L288</f>
        <v>109.26727125363303</v>
      </c>
      <c r="N291" s="23">
        <f t="shared" si="23"/>
        <v>10048.610286785504</v>
      </c>
      <c r="O291" s="23">
        <f t="shared" si="24"/>
        <v>48.610286785504286</v>
      </c>
      <c r="P291" s="23">
        <f t="shared" si="25"/>
        <v>-48.610286785504286</v>
      </c>
      <c r="Q291" s="48">
        <f t="shared" si="26"/>
        <v>1.8717206083296556E-3</v>
      </c>
      <c r="S291">
        <v>22</v>
      </c>
      <c r="T291" s="50">
        <v>-19.194093364632863</v>
      </c>
      <c r="U291" s="51">
        <f t="shared" si="27"/>
        <v>4.9585810887017867E-4</v>
      </c>
      <c r="V291" s="51">
        <f>SUM($U$5:U291)</f>
        <v>0.58504884662613454</v>
      </c>
      <c r="AB291" s="37"/>
    </row>
    <row r="292" spans="9:28" x14ac:dyDescent="0.3">
      <c r="I292">
        <v>288</v>
      </c>
      <c r="J292" s="23">
        <f>$C$5*Data!C290/Data!C289</f>
        <v>11022.25239851293</v>
      </c>
      <c r="K292" s="23">
        <f>$C$6*Data!F290/Data!F289</f>
        <v>9620.2433357608861</v>
      </c>
      <c r="L292" s="23">
        <f>$C$7*Data!I290/Data!I289</f>
        <v>6274.2242697280162</v>
      </c>
      <c r="M292" s="23">
        <f>$C$8*Data!L290/Data!L289</f>
        <v>115.35022891237962</v>
      </c>
      <c r="N292" s="23">
        <f t="shared" si="23"/>
        <v>10063.15053602726</v>
      </c>
      <c r="O292" s="23">
        <f t="shared" si="24"/>
        <v>63.150536027260387</v>
      </c>
      <c r="P292" s="23">
        <f t="shared" si="25"/>
        <v>-63.150536027260387</v>
      </c>
      <c r="Q292" s="48">
        <f t="shared" si="26"/>
        <v>1.8811262395272918E-3</v>
      </c>
      <c r="S292">
        <v>160</v>
      </c>
      <c r="T292" s="50">
        <v>-19.283651127965641</v>
      </c>
      <c r="U292" s="51">
        <f t="shared" si="27"/>
        <v>9.9031253638059633E-4</v>
      </c>
      <c r="V292" s="51">
        <f>SUM($U$5:U292)</f>
        <v>0.58603915916251514</v>
      </c>
      <c r="AB292" s="37"/>
    </row>
    <row r="293" spans="9:28" x14ac:dyDescent="0.3">
      <c r="I293">
        <v>289</v>
      </c>
      <c r="J293" s="23">
        <f>$C$5*Data!C291/Data!C290</f>
        <v>11045.739538474461</v>
      </c>
      <c r="K293" s="23">
        <f>$C$6*Data!F291/Data!F290</f>
        <v>9717.1142882147687</v>
      </c>
      <c r="L293" s="23">
        <f>$C$7*Data!I291/Data!I290</f>
        <v>6236.2556141788764</v>
      </c>
      <c r="M293" s="23">
        <f>$C$8*Data!L291/Data!L290</f>
        <v>112.02091378197112</v>
      </c>
      <c r="N293" s="23">
        <f t="shared" si="23"/>
        <v>10036.804291232285</v>
      </c>
      <c r="O293" s="23">
        <f t="shared" si="24"/>
        <v>36.804291232285323</v>
      </c>
      <c r="P293" s="23">
        <f t="shared" si="25"/>
        <v>-36.804291232285323</v>
      </c>
      <c r="Q293" s="48">
        <f t="shared" si="26"/>
        <v>1.8905791352033085E-3</v>
      </c>
      <c r="S293">
        <v>57</v>
      </c>
      <c r="T293" s="50">
        <v>-19.352773235268614</v>
      </c>
      <c r="U293" s="51">
        <f t="shared" si="27"/>
        <v>5.9094844423068153E-4</v>
      </c>
      <c r="V293" s="51">
        <f>SUM($U$5:U293)</f>
        <v>0.58663010760674583</v>
      </c>
      <c r="AB293" s="37"/>
    </row>
    <row r="294" spans="9:28" x14ac:dyDescent="0.3">
      <c r="I294">
        <v>290</v>
      </c>
      <c r="J294" s="23">
        <f>$C$5*Data!C292/Data!C291</f>
        <v>11045.036975865944</v>
      </c>
      <c r="K294" s="23">
        <f>$C$6*Data!F292/Data!F291</f>
        <v>9583.8687979692841</v>
      </c>
      <c r="L294" s="23">
        <f>$C$7*Data!I292/Data!I291</f>
        <v>6330.4231876557142</v>
      </c>
      <c r="M294" s="23">
        <f>$C$8*Data!L292/Data!L291</f>
        <v>110.98225191792176</v>
      </c>
      <c r="N294" s="23">
        <f t="shared" si="23"/>
        <v>9991.6846370999992</v>
      </c>
      <c r="O294" s="23">
        <f t="shared" si="24"/>
        <v>-8.3153629000007641</v>
      </c>
      <c r="P294" s="23">
        <f t="shared" si="25"/>
        <v>8.3153629000007641</v>
      </c>
      <c r="Q294" s="48">
        <f t="shared" si="26"/>
        <v>1.9000795328676465E-3</v>
      </c>
      <c r="S294">
        <v>191</v>
      </c>
      <c r="T294" s="50">
        <v>-19.379801340328413</v>
      </c>
      <c r="U294" s="51">
        <f t="shared" si="27"/>
        <v>1.156795987931994E-3</v>
      </c>
      <c r="V294" s="51">
        <f>SUM($U$5:U294)</f>
        <v>0.58778690359467778</v>
      </c>
      <c r="AB294" s="37"/>
    </row>
    <row r="295" spans="9:28" x14ac:dyDescent="0.3">
      <c r="I295">
        <v>291</v>
      </c>
      <c r="J295" s="23">
        <f>$C$5*Data!C293/Data!C292</f>
        <v>11073.163037660006</v>
      </c>
      <c r="K295" s="23">
        <f>$C$6*Data!F293/Data!F292</f>
        <v>9622.4789046566966</v>
      </c>
      <c r="L295" s="23">
        <f>$C$7*Data!I293/Data!I292</f>
        <v>6218.9326734693996</v>
      </c>
      <c r="M295" s="23">
        <f>$C$8*Data!L293/Data!L292</f>
        <v>113.18261470049787</v>
      </c>
      <c r="N295" s="23">
        <f t="shared" si="23"/>
        <v>10034.982295117612</v>
      </c>
      <c r="O295" s="23">
        <f t="shared" si="24"/>
        <v>34.982295117612011</v>
      </c>
      <c r="P295" s="23">
        <f t="shared" si="25"/>
        <v>-34.982295117612011</v>
      </c>
      <c r="Q295" s="48">
        <f t="shared" si="26"/>
        <v>1.9096276712237655E-3</v>
      </c>
      <c r="S295">
        <v>64</v>
      </c>
      <c r="T295" s="50">
        <v>-19.415605987642266</v>
      </c>
      <c r="U295" s="51">
        <f t="shared" si="27"/>
        <v>6.120515870721581E-4</v>
      </c>
      <c r="V295" s="51">
        <f>SUM($U$5:U295)</f>
        <v>0.58839895518174989</v>
      </c>
      <c r="AB295" s="37"/>
    </row>
    <row r="296" spans="9:28" x14ac:dyDescent="0.3">
      <c r="I296">
        <v>292</v>
      </c>
      <c r="J296" s="23">
        <f>$C$5*Data!C294/Data!C293</f>
        <v>11033.605169139724</v>
      </c>
      <c r="K296" s="23">
        <f>$C$6*Data!F294/Data!F293</f>
        <v>9622.4259163160004</v>
      </c>
      <c r="L296" s="23">
        <f>$C$7*Data!I294/Data!I293</f>
        <v>6212.743590677439</v>
      </c>
      <c r="M296" s="23">
        <f>$C$8*Data!L294/Data!L293</f>
        <v>114.84375977386732</v>
      </c>
      <c r="N296" s="23">
        <f t="shared" si="23"/>
        <v>10049.058823605694</v>
      </c>
      <c r="O296" s="23">
        <f t="shared" si="24"/>
        <v>49.05882360569376</v>
      </c>
      <c r="P296" s="23">
        <f t="shared" si="25"/>
        <v>-49.05882360569376</v>
      </c>
      <c r="Q296" s="48">
        <f t="shared" si="26"/>
        <v>1.9192237901746382E-3</v>
      </c>
      <c r="S296">
        <v>25</v>
      </c>
      <c r="T296" s="50">
        <v>-19.510947806711556</v>
      </c>
      <c r="U296" s="51">
        <f t="shared" si="27"/>
        <v>5.033709837236267E-4</v>
      </c>
      <c r="V296" s="51">
        <f>SUM($U$5:U296)</f>
        <v>0.58890232616547356</v>
      </c>
      <c r="AB296" s="37"/>
    </row>
    <row r="297" spans="9:28" x14ac:dyDescent="0.3">
      <c r="I297">
        <v>293</v>
      </c>
      <c r="J297" s="23">
        <f>$C$5*Data!C295/Data!C294</f>
        <v>10955.183710313797</v>
      </c>
      <c r="K297" s="23">
        <f>$C$6*Data!F295/Data!F294</f>
        <v>9625.540933293405</v>
      </c>
      <c r="L297" s="23">
        <f>$C$7*Data!I295/Data!I294</f>
        <v>6182.4983892373439</v>
      </c>
      <c r="M297" s="23">
        <f>$C$8*Data!L295/Data!L294</f>
        <v>112.92056704166336</v>
      </c>
      <c r="N297" s="23">
        <f t="shared" si="23"/>
        <v>9982.602034347663</v>
      </c>
      <c r="O297" s="23">
        <f t="shared" si="24"/>
        <v>-17.397965652337007</v>
      </c>
      <c r="P297" s="23">
        <f t="shared" si="25"/>
        <v>17.397965652337007</v>
      </c>
      <c r="Q297" s="48">
        <f t="shared" si="26"/>
        <v>1.9288681308287825E-3</v>
      </c>
      <c r="S297">
        <v>342</v>
      </c>
      <c r="T297" s="50">
        <v>-20.033656398172752</v>
      </c>
      <c r="U297" s="51">
        <f t="shared" si="27"/>
        <v>2.4658779724729212E-3</v>
      </c>
      <c r="V297" s="51">
        <f>SUM($U$5:U297)</f>
        <v>0.59136820413794644</v>
      </c>
      <c r="AB297" s="37"/>
    </row>
    <row r="298" spans="9:28" x14ac:dyDescent="0.3">
      <c r="I298">
        <v>294</v>
      </c>
      <c r="J298" s="23">
        <f>$C$5*Data!C296/Data!C295</f>
        <v>11060.393309950292</v>
      </c>
      <c r="K298" s="23">
        <f>$C$6*Data!F296/Data!F295</f>
        <v>9587.8244131158644</v>
      </c>
      <c r="L298" s="23">
        <f>$C$7*Data!I296/Data!I295</f>
        <v>6153.9026806016891</v>
      </c>
      <c r="M298" s="23">
        <f>$C$8*Data!L296/Data!L295</f>
        <v>114.17148286834168</v>
      </c>
      <c r="N298" s="23">
        <f t="shared" si="23"/>
        <v>10026.560055783031</v>
      </c>
      <c r="O298" s="23">
        <f t="shared" si="24"/>
        <v>26.560055783031203</v>
      </c>
      <c r="P298" s="23">
        <f t="shared" si="25"/>
        <v>-26.560055783031203</v>
      </c>
      <c r="Q298" s="48">
        <f t="shared" si="26"/>
        <v>1.9385609355063141E-3</v>
      </c>
      <c r="S298">
        <v>484</v>
      </c>
      <c r="T298" s="50">
        <v>-20.522650078688457</v>
      </c>
      <c r="U298" s="51">
        <f t="shared" si="27"/>
        <v>5.0245146311696069E-3</v>
      </c>
      <c r="V298" s="51">
        <f>SUM($U$5:U298)</f>
        <v>0.59639271876911604</v>
      </c>
      <c r="AB298" s="37"/>
    </row>
    <row r="299" spans="9:28" x14ac:dyDescent="0.3">
      <c r="I299">
        <v>295</v>
      </c>
      <c r="J299" s="23">
        <f>$C$5*Data!C297/Data!C296</f>
        <v>11022.48019312197</v>
      </c>
      <c r="K299" s="23">
        <f>$C$6*Data!F297/Data!F296</f>
        <v>9510.6195313626904</v>
      </c>
      <c r="L299" s="23">
        <f>$C$7*Data!I297/Data!I296</f>
        <v>6231.0049533471256</v>
      </c>
      <c r="M299" s="23">
        <f>$C$8*Data!L297/Data!L296</f>
        <v>113.07074046243676</v>
      </c>
      <c r="N299" s="23">
        <f t="shared" si="23"/>
        <v>9981.5964531817772</v>
      </c>
      <c r="O299" s="23">
        <f t="shared" si="24"/>
        <v>-18.403546818222821</v>
      </c>
      <c r="P299" s="23">
        <f t="shared" si="25"/>
        <v>18.403546818222821</v>
      </c>
      <c r="Q299" s="48">
        <f t="shared" si="26"/>
        <v>1.948302447745039E-3</v>
      </c>
      <c r="S299">
        <v>323</v>
      </c>
      <c r="T299" s="50">
        <v>-20.764147184278045</v>
      </c>
      <c r="U299" s="51">
        <f t="shared" si="27"/>
        <v>2.2418683989721905E-3</v>
      </c>
      <c r="V299" s="51">
        <f>SUM($U$5:U299)</f>
        <v>0.59863458716808826</v>
      </c>
      <c r="AB299" s="37"/>
    </row>
    <row r="300" spans="9:28" x14ac:dyDescent="0.3">
      <c r="I300">
        <v>296</v>
      </c>
      <c r="J300" s="23">
        <f>$C$5*Data!C298/Data!C297</f>
        <v>11094.908368949753</v>
      </c>
      <c r="K300" s="23">
        <f>$C$6*Data!F298/Data!F297</f>
        <v>9622.5185932446748</v>
      </c>
      <c r="L300" s="23">
        <f>$C$7*Data!I298/Data!I297</f>
        <v>6207.3989615653527</v>
      </c>
      <c r="M300" s="23">
        <f>$C$8*Data!L298/Data!L297</f>
        <v>114.31083075349281</v>
      </c>
      <c r="N300" s="23">
        <f t="shared" si="23"/>
        <v>10061.026016443293</v>
      </c>
      <c r="O300" s="23">
        <f t="shared" si="24"/>
        <v>61.026016443292974</v>
      </c>
      <c r="P300" s="23">
        <f t="shared" si="25"/>
        <v>-61.026016443292974</v>
      </c>
      <c r="Q300" s="48">
        <f t="shared" si="26"/>
        <v>1.9580929123065721E-3</v>
      </c>
      <c r="S300">
        <v>68</v>
      </c>
      <c r="T300" s="50">
        <v>-21.114468667277833</v>
      </c>
      <c r="U300" s="51">
        <f t="shared" si="27"/>
        <v>6.244471753358836E-4</v>
      </c>
      <c r="V300" s="51">
        <f>SUM($U$5:U300)</f>
        <v>0.59925903434342409</v>
      </c>
      <c r="AB300" s="37"/>
    </row>
    <row r="301" spans="9:28" x14ac:dyDescent="0.3">
      <c r="I301">
        <v>297</v>
      </c>
      <c r="J301" s="23">
        <f>$C$5*Data!C299/Data!C298</f>
        <v>11015.123055864671</v>
      </c>
      <c r="K301" s="23">
        <f>$C$6*Data!F299/Data!F298</f>
        <v>9568.1106173541502</v>
      </c>
      <c r="L301" s="23">
        <f>$C$7*Data!I299/Data!I298</f>
        <v>6241.7571982448735</v>
      </c>
      <c r="M301" s="23">
        <f>$C$8*Data!L299/Data!L298</f>
        <v>113.07415397352207</v>
      </c>
      <c r="N301" s="23">
        <f t="shared" si="23"/>
        <v>9998.6872732053962</v>
      </c>
      <c r="O301" s="23">
        <f t="shared" si="24"/>
        <v>-1.3127267946038046</v>
      </c>
      <c r="P301" s="23">
        <f t="shared" si="25"/>
        <v>1.3127267946038046</v>
      </c>
      <c r="Q301" s="48">
        <f t="shared" si="26"/>
        <v>1.9679325751824845E-3</v>
      </c>
      <c r="S301">
        <v>400</v>
      </c>
      <c r="T301" s="50">
        <v>-21.25965081686445</v>
      </c>
      <c r="U301" s="51">
        <f t="shared" si="27"/>
        <v>3.297865184317514E-3</v>
      </c>
      <c r="V301" s="51">
        <f>SUM($U$5:U301)</f>
        <v>0.60255689952774161</v>
      </c>
      <c r="AB301" s="37"/>
    </row>
    <row r="302" spans="9:28" x14ac:dyDescent="0.3">
      <c r="I302">
        <v>298</v>
      </c>
      <c r="J302" s="23">
        <f>$C$5*Data!C300/Data!C299</f>
        <v>11027.674176495899</v>
      </c>
      <c r="K302" s="23">
        <f>$C$6*Data!F300/Data!F299</f>
        <v>9702.6732577380208</v>
      </c>
      <c r="L302" s="23">
        <f>$C$7*Data!I300/Data!I299</f>
        <v>6171.8835073269875</v>
      </c>
      <c r="M302" s="23">
        <f>$C$8*Data!L300/Data!L299</f>
        <v>115.18983616654305</v>
      </c>
      <c r="N302" s="23">
        <f t="shared" si="23"/>
        <v>10071.528963324199</v>
      </c>
      <c r="O302" s="23">
        <f t="shared" si="24"/>
        <v>71.52896332419914</v>
      </c>
      <c r="P302" s="23">
        <f t="shared" si="25"/>
        <v>-71.52896332419914</v>
      </c>
      <c r="Q302" s="48">
        <f t="shared" si="26"/>
        <v>1.9778216836004868E-3</v>
      </c>
      <c r="S302">
        <v>229</v>
      </c>
      <c r="T302" s="50">
        <v>-22.879467183294764</v>
      </c>
      <c r="U302" s="51">
        <f t="shared" si="27"/>
        <v>1.3995219212270095E-3</v>
      </c>
      <c r="V302" s="51">
        <f>SUM($U$5:U302)</f>
        <v>0.60395642144896866</v>
      </c>
      <c r="AB302" s="37"/>
    </row>
    <row r="303" spans="9:28" x14ac:dyDescent="0.3">
      <c r="I303">
        <v>299</v>
      </c>
      <c r="J303" s="23">
        <f>$C$5*Data!C301/Data!C300</f>
        <v>10996.997907885005</v>
      </c>
      <c r="K303" s="23">
        <f>$C$6*Data!F301/Data!F300</f>
        <v>9598.2449503511343</v>
      </c>
      <c r="L303" s="23">
        <f>$C$7*Data!I301/Data!I300</f>
        <v>6251.093972092568</v>
      </c>
      <c r="M303" s="23">
        <f>$C$8*Data!L301/Data!L300</f>
        <v>113.5299823509726</v>
      </c>
      <c r="N303" s="23">
        <f t="shared" si="23"/>
        <v>10011.112894381795</v>
      </c>
      <c r="O303" s="23">
        <f t="shared" si="24"/>
        <v>11.112894381794831</v>
      </c>
      <c r="P303" s="23">
        <f t="shared" si="25"/>
        <v>-11.112894381794831</v>
      </c>
      <c r="Q303" s="48">
        <f t="shared" si="26"/>
        <v>1.9877604860306397E-3</v>
      </c>
      <c r="S303">
        <v>99</v>
      </c>
      <c r="T303" s="50">
        <v>-24.443139439557854</v>
      </c>
      <c r="U303" s="51">
        <f t="shared" si="27"/>
        <v>7.2942425806715272E-4</v>
      </c>
      <c r="V303" s="51">
        <f>SUM($U$5:U303)</f>
        <v>0.60468584570703576</v>
      </c>
      <c r="AB303" s="37"/>
    </row>
    <row r="304" spans="9:28" x14ac:dyDescent="0.3">
      <c r="I304">
        <v>300</v>
      </c>
      <c r="J304" s="23">
        <f>$C$5*Data!C302/Data!C301</f>
        <v>11039.464849376309</v>
      </c>
      <c r="K304" s="23">
        <f>$C$6*Data!F302/Data!F301</f>
        <v>9548.4583559236726</v>
      </c>
      <c r="L304" s="23">
        <f>$C$7*Data!I302/Data!I301</f>
        <v>6235.2183771599393</v>
      </c>
      <c r="M304" s="23">
        <f>$C$8*Data!L302/Data!L301</f>
        <v>112.07504269806671</v>
      </c>
      <c r="N304" s="23">
        <f t="shared" si="23"/>
        <v>9982.6138749449783</v>
      </c>
      <c r="O304" s="23">
        <f t="shared" si="24"/>
        <v>-17.386125055021694</v>
      </c>
      <c r="P304" s="23">
        <f t="shared" si="25"/>
        <v>17.386125055021694</v>
      </c>
      <c r="Q304" s="48">
        <f t="shared" si="26"/>
        <v>1.9977492321915985E-3</v>
      </c>
      <c r="S304">
        <v>422</v>
      </c>
      <c r="T304" s="50">
        <v>-24.64124471978721</v>
      </c>
      <c r="U304" s="51">
        <f t="shared" si="27"/>
        <v>3.6823504790027338E-3</v>
      </c>
      <c r="V304" s="51">
        <f>SUM($U$5:U304)</f>
        <v>0.60836819618603855</v>
      </c>
      <c r="AB304" s="37"/>
    </row>
    <row r="305" spans="9:28" x14ac:dyDescent="0.3">
      <c r="I305">
        <v>301</v>
      </c>
      <c r="J305" s="23">
        <f>$C$5*Data!C303/Data!C302</f>
        <v>11033.214520537495</v>
      </c>
      <c r="K305" s="23">
        <f>$C$6*Data!F303/Data!F302</f>
        <v>9599.8921421623345</v>
      </c>
      <c r="L305" s="23">
        <f>$C$7*Data!I303/Data!I302</f>
        <v>6211.3929571765138</v>
      </c>
      <c r="M305" s="23">
        <f>$C$8*Data!L303/Data!L302</f>
        <v>112.45566570577468</v>
      </c>
      <c r="N305" s="23">
        <f t="shared" si="23"/>
        <v>9999.3235529180474</v>
      </c>
      <c r="O305" s="23">
        <f t="shared" si="24"/>
        <v>-0.67644708195257408</v>
      </c>
      <c r="P305" s="23">
        <f t="shared" si="25"/>
        <v>0.67644708195257408</v>
      </c>
      <c r="Q305" s="48">
        <f t="shared" si="26"/>
        <v>2.0077881730568826E-3</v>
      </c>
      <c r="S305">
        <v>394</v>
      </c>
      <c r="T305" s="50">
        <v>-25.009852140188741</v>
      </c>
      <c r="U305" s="51">
        <f t="shared" si="27"/>
        <v>3.2001577144248499E-3</v>
      </c>
      <c r="V305" s="51">
        <f>SUM($U$5:U305)</f>
        <v>0.61156835390046338</v>
      </c>
      <c r="AB305" s="37"/>
    </row>
    <row r="306" spans="9:28" x14ac:dyDescent="0.3">
      <c r="I306">
        <v>302</v>
      </c>
      <c r="J306" s="23">
        <f>$C$5*Data!C304/Data!C303</f>
        <v>11119.508300899135</v>
      </c>
      <c r="K306" s="23">
        <f>$C$6*Data!F304/Data!F303</f>
        <v>9549.4658869297527</v>
      </c>
      <c r="L306" s="23">
        <f>$C$7*Data!I304/Data!I303</f>
        <v>6168.8631531067549</v>
      </c>
      <c r="M306" s="23">
        <f>$C$8*Data!L304/Data!L303</f>
        <v>114.84676471389413</v>
      </c>
      <c r="N306" s="23">
        <f t="shared" si="23"/>
        <v>10050.409786365011</v>
      </c>
      <c r="O306" s="23">
        <f t="shared" si="24"/>
        <v>50.409786365011314</v>
      </c>
      <c r="P306" s="23">
        <f t="shared" si="25"/>
        <v>-50.409786365011314</v>
      </c>
      <c r="Q306" s="48">
        <f t="shared" si="26"/>
        <v>2.0178775608611882E-3</v>
      </c>
      <c r="S306">
        <v>245</v>
      </c>
      <c r="T306" s="50">
        <v>-25.412998720625183</v>
      </c>
      <c r="U306" s="51">
        <f t="shared" si="27"/>
        <v>1.5163882600475365E-3</v>
      </c>
      <c r="V306" s="51">
        <f>SUM($U$5:U306)</f>
        <v>0.6130847421605109</v>
      </c>
      <c r="AB306" s="37"/>
    </row>
    <row r="307" spans="9:28" x14ac:dyDescent="0.3">
      <c r="I307">
        <v>303</v>
      </c>
      <c r="J307" s="23">
        <f>$C$5*Data!C305/Data!C304</f>
        <v>10997.902253435055</v>
      </c>
      <c r="K307" s="23">
        <f>$C$6*Data!F305/Data!F304</f>
        <v>9517.4361692152379</v>
      </c>
      <c r="L307" s="23">
        <f>$C$7*Data!I305/Data!I304</f>
        <v>6230.7886220548926</v>
      </c>
      <c r="M307" s="23">
        <f>$C$8*Data!L305/Data!L304</f>
        <v>113.41673265903977</v>
      </c>
      <c r="N307" s="23">
        <f t="shared" si="23"/>
        <v>9980.9056509316397</v>
      </c>
      <c r="O307" s="23">
        <f t="shared" si="24"/>
        <v>-19.094349068360316</v>
      </c>
      <c r="P307" s="23">
        <f t="shared" si="25"/>
        <v>19.094349068360316</v>
      </c>
      <c r="Q307" s="48">
        <f t="shared" si="26"/>
        <v>2.0280176491067219E-3</v>
      </c>
      <c r="S307">
        <v>140</v>
      </c>
      <c r="T307" s="50">
        <v>-25.760347409866881</v>
      </c>
      <c r="U307" s="51">
        <f t="shared" si="27"/>
        <v>8.9584709915722612E-4</v>
      </c>
      <c r="V307" s="51">
        <f>SUM($U$5:U307)</f>
        <v>0.61398058925966814</v>
      </c>
      <c r="AB307" s="37"/>
    </row>
    <row r="308" spans="9:28" x14ac:dyDescent="0.3">
      <c r="I308">
        <v>304</v>
      </c>
      <c r="J308" s="23">
        <f>$C$5*Data!C306/Data!C305</f>
        <v>11017.993150731683</v>
      </c>
      <c r="K308" s="23">
        <f>$C$6*Data!F306/Data!F305</f>
        <v>9608.8663225030159</v>
      </c>
      <c r="L308" s="23">
        <f>$C$7*Data!I306/Data!I305</f>
        <v>6197.2325769627332</v>
      </c>
      <c r="M308" s="23">
        <f>$C$8*Data!L306/Data!L305</f>
        <v>113.54944270110335</v>
      </c>
      <c r="N308" s="23">
        <f t="shared" si="23"/>
        <v>10013.709668956315</v>
      </c>
      <c r="O308" s="23">
        <f t="shared" si="24"/>
        <v>13.709668956314999</v>
      </c>
      <c r="P308" s="23">
        <f t="shared" si="25"/>
        <v>-13.709668956314999</v>
      </c>
      <c r="Q308" s="48">
        <f t="shared" si="26"/>
        <v>2.03820869256957E-3</v>
      </c>
      <c r="S308">
        <v>398</v>
      </c>
      <c r="T308" s="50">
        <v>-26.257890194990978</v>
      </c>
      <c r="U308" s="51">
        <f t="shared" si="27"/>
        <v>3.2649689791039473E-3</v>
      </c>
      <c r="V308" s="51">
        <f>SUM($U$5:U308)</f>
        <v>0.61724555823877214</v>
      </c>
      <c r="AB308" s="37"/>
    </row>
    <row r="309" spans="9:28" x14ac:dyDescent="0.3">
      <c r="I309">
        <v>305</v>
      </c>
      <c r="J309" s="23">
        <f>$C$5*Data!C307/Data!C306</f>
        <v>11073.701571326239</v>
      </c>
      <c r="K309" s="23">
        <f>$C$6*Data!F307/Data!F306</f>
        <v>9608.8579527712154</v>
      </c>
      <c r="L309" s="23">
        <f>$C$7*Data!I307/Data!I306</f>
        <v>6233.5667949814879</v>
      </c>
      <c r="M309" s="23">
        <f>$C$8*Data!L307/Data!L306</f>
        <v>111.89109558341636</v>
      </c>
      <c r="N309" s="23">
        <f t="shared" si="23"/>
        <v>10010.386546996888</v>
      </c>
      <c r="O309" s="23">
        <f t="shared" si="24"/>
        <v>10.386546996887773</v>
      </c>
      <c r="P309" s="23">
        <f t="shared" si="25"/>
        <v>-10.386546996887773</v>
      </c>
      <c r="Q309" s="48">
        <f t="shared" si="26"/>
        <v>2.0484509473061002E-3</v>
      </c>
      <c r="S309">
        <v>446</v>
      </c>
      <c r="T309" s="50">
        <v>-26.953923379511252</v>
      </c>
      <c r="U309" s="51">
        <f t="shared" si="27"/>
        <v>4.1530884786332789E-3</v>
      </c>
      <c r="V309" s="51">
        <f>SUM($U$5:U309)</f>
        <v>0.62139864671740541</v>
      </c>
      <c r="AB309" s="37"/>
    </row>
    <row r="310" spans="9:28" x14ac:dyDescent="0.3">
      <c r="I310">
        <v>306</v>
      </c>
      <c r="J310" s="23">
        <f>$C$5*Data!C308/Data!C307</f>
        <v>11033.870379880325</v>
      </c>
      <c r="K310" s="23">
        <f>$C$6*Data!F308/Data!F307</f>
        <v>9693.2224109994386</v>
      </c>
      <c r="L310" s="23">
        <f>$C$7*Data!I308/Data!I307</f>
        <v>6219.6273696700591</v>
      </c>
      <c r="M310" s="23">
        <f>$C$8*Data!L308/Data!L307</f>
        <v>115.20588435441634</v>
      </c>
      <c r="N310" s="23">
        <f t="shared" si="23"/>
        <v>10078.808815361735</v>
      </c>
      <c r="O310" s="23">
        <f t="shared" si="24"/>
        <v>78.808815361735469</v>
      </c>
      <c r="P310" s="23">
        <f t="shared" si="25"/>
        <v>-78.808815361735469</v>
      </c>
      <c r="Q310" s="48">
        <f t="shared" si="26"/>
        <v>2.0587446706593973E-3</v>
      </c>
      <c r="S310">
        <v>2</v>
      </c>
      <c r="T310" s="50">
        <v>-27.481313121183121</v>
      </c>
      <c r="U310" s="51">
        <f t="shared" si="27"/>
        <v>4.4855844201311594E-4</v>
      </c>
      <c r="V310" s="51">
        <f>SUM($U$5:U310)</f>
        <v>0.62184720515941849</v>
      </c>
      <c r="AB310" s="37"/>
    </row>
    <row r="311" spans="9:28" x14ac:dyDescent="0.3">
      <c r="I311">
        <v>307</v>
      </c>
      <c r="J311" s="23">
        <f>$C$5*Data!C309/Data!C308</f>
        <v>11032.546576003924</v>
      </c>
      <c r="K311" s="23">
        <f>$C$6*Data!F309/Data!F308</f>
        <v>9537.692420129446</v>
      </c>
      <c r="L311" s="23">
        <f>$C$7*Data!I309/Data!I308</f>
        <v>6203.4870191567106</v>
      </c>
      <c r="M311" s="23">
        <f>$C$8*Data!L309/Data!L308</f>
        <v>113.07711280704694</v>
      </c>
      <c r="N311" s="23">
        <f t="shared" si="23"/>
        <v>9989.384866760669</v>
      </c>
      <c r="O311" s="23">
        <f t="shared" si="24"/>
        <v>-10.615133239331044</v>
      </c>
      <c r="P311" s="23">
        <f t="shared" si="25"/>
        <v>10.615133239331044</v>
      </c>
      <c r="Q311" s="48">
        <f t="shared" si="26"/>
        <v>2.0690901212657258E-3</v>
      </c>
      <c r="S311">
        <v>253</v>
      </c>
      <c r="T311" s="50">
        <v>-27.537054396740132</v>
      </c>
      <c r="U311" s="51">
        <f t="shared" si="27"/>
        <v>1.5784316022565896E-3</v>
      </c>
      <c r="V311" s="51">
        <f>SUM($U$5:U311)</f>
        <v>0.62342563676167506</v>
      </c>
      <c r="AB311" s="37"/>
    </row>
    <row r="312" spans="9:28" x14ac:dyDescent="0.3">
      <c r="I312">
        <v>308</v>
      </c>
      <c r="J312" s="23">
        <f>$C$5*Data!C310/Data!C309</f>
        <v>10939.37070709711</v>
      </c>
      <c r="K312" s="23">
        <f>$C$6*Data!F310/Data!F309</f>
        <v>9639.5064918782791</v>
      </c>
      <c r="L312" s="23">
        <f>$C$7*Data!I310/Data!I309</f>
        <v>6188.3301805872798</v>
      </c>
      <c r="M312" s="23">
        <f>$C$8*Data!L310/Data!L309</f>
        <v>112.71183418867668</v>
      </c>
      <c r="N312" s="23">
        <f t="shared" si="23"/>
        <v>9978.4679831764115</v>
      </c>
      <c r="O312" s="23">
        <f t="shared" si="24"/>
        <v>-21.532016823588492</v>
      </c>
      <c r="P312" s="23">
        <f t="shared" si="25"/>
        <v>21.532016823588492</v>
      </c>
      <c r="Q312" s="48">
        <f t="shared" si="26"/>
        <v>2.0794875590610311E-3</v>
      </c>
      <c r="S312">
        <v>30</v>
      </c>
      <c r="T312" s="50">
        <v>-27.563594064231438</v>
      </c>
      <c r="U312" s="51">
        <f t="shared" si="27"/>
        <v>5.1614624690601504E-4</v>
      </c>
      <c r="V312" s="51">
        <f>SUM($U$5:U312)</f>
        <v>0.62394178300858105</v>
      </c>
      <c r="AB312" s="37"/>
    </row>
    <row r="313" spans="9:28" x14ac:dyDescent="0.3">
      <c r="I313">
        <v>309</v>
      </c>
      <c r="J313" s="23">
        <f>$C$5*Data!C311/Data!C310</f>
        <v>10998.649304694409</v>
      </c>
      <c r="K313" s="23">
        <f>$C$6*Data!F311/Data!F310</f>
        <v>9639.3437448596887</v>
      </c>
      <c r="L313" s="23">
        <f>$C$7*Data!I311/Data!I310</f>
        <v>6247.0454409167814</v>
      </c>
      <c r="M313" s="23">
        <f>$C$8*Data!L311/Data!L310</f>
        <v>111.09697782061086</v>
      </c>
      <c r="N313" s="23">
        <f t="shared" si="23"/>
        <v>9980.7728419663345</v>
      </c>
      <c r="O313" s="23">
        <f t="shared" si="24"/>
        <v>-19.227158033665546</v>
      </c>
      <c r="P313" s="23">
        <f t="shared" si="25"/>
        <v>19.227158033665546</v>
      </c>
      <c r="Q313" s="48">
        <f t="shared" si="26"/>
        <v>2.0899372452874683E-3</v>
      </c>
      <c r="S313">
        <v>152</v>
      </c>
      <c r="T313" s="50">
        <v>-27.580576552636558</v>
      </c>
      <c r="U313" s="51">
        <f t="shared" si="27"/>
        <v>9.5138636466638588E-4</v>
      </c>
      <c r="V313" s="51">
        <f>SUM($U$5:U313)</f>
        <v>0.62489316937324746</v>
      </c>
      <c r="AB313" s="37"/>
    </row>
    <row r="314" spans="9:28" x14ac:dyDescent="0.3">
      <c r="I314">
        <v>310</v>
      </c>
      <c r="J314" s="23">
        <f>$C$5*Data!C312/Data!C311</f>
        <v>11128.293693436106</v>
      </c>
      <c r="K314" s="23">
        <f>$C$6*Data!F312/Data!F311</f>
        <v>9643.938629174334</v>
      </c>
      <c r="L314" s="23">
        <f>$C$7*Data!I312/Data!I311</f>
        <v>6141.3589603394712</v>
      </c>
      <c r="M314" s="23">
        <f>$C$8*Data!L312/Data!L311</f>
        <v>113.66863104994542</v>
      </c>
      <c r="N314" s="23">
        <f t="shared" si="23"/>
        <v>10057.800448959268</v>
      </c>
      <c r="O314" s="23">
        <f t="shared" si="24"/>
        <v>57.800448959267669</v>
      </c>
      <c r="P314" s="23">
        <f t="shared" si="25"/>
        <v>-57.800448959267669</v>
      </c>
      <c r="Q314" s="48">
        <f t="shared" si="26"/>
        <v>2.100439442499968E-3</v>
      </c>
      <c r="S314">
        <v>85</v>
      </c>
      <c r="T314" s="50">
        <v>-27.998862234138869</v>
      </c>
      <c r="U314" s="51">
        <f t="shared" si="27"/>
        <v>6.7999126320243491E-4</v>
      </c>
      <c r="V314" s="51">
        <f>SUM($U$5:U314)</f>
        <v>0.62557316063644985</v>
      </c>
      <c r="AB314" s="37"/>
    </row>
    <row r="315" spans="9:28" x14ac:dyDescent="0.3">
      <c r="I315">
        <v>311</v>
      </c>
      <c r="J315" s="23">
        <f>$C$5*Data!C313/Data!C312</f>
        <v>10972.780496818272</v>
      </c>
      <c r="K315" s="23">
        <f>$C$6*Data!F313/Data!F312</f>
        <v>9321.7038353012213</v>
      </c>
      <c r="L315" s="23">
        <f>$C$7*Data!I313/Data!I312</f>
        <v>6092.6214605907171</v>
      </c>
      <c r="M315" s="23">
        <f>$C$8*Data!L313/Data!L312</f>
        <v>111.34656197160854</v>
      </c>
      <c r="N315" s="23">
        <f t="shared" si="23"/>
        <v>9851.6401883969866</v>
      </c>
      <c r="O315" s="23">
        <f t="shared" si="24"/>
        <v>-148.35981160301344</v>
      </c>
      <c r="P315" s="23">
        <f t="shared" si="25"/>
        <v>148.35981160301344</v>
      </c>
      <c r="Q315" s="48">
        <f t="shared" si="26"/>
        <v>2.1109944145728328E-3</v>
      </c>
      <c r="S315">
        <v>161</v>
      </c>
      <c r="T315" s="50">
        <v>-28.16301842215762</v>
      </c>
      <c r="U315" s="51">
        <f t="shared" si="27"/>
        <v>9.9528898128703166E-4</v>
      </c>
      <c r="V315" s="51">
        <f>SUM($U$5:U315)</f>
        <v>0.62656844961773683</v>
      </c>
      <c r="AB315" s="37"/>
    </row>
    <row r="316" spans="9:28" x14ac:dyDescent="0.3">
      <c r="I316">
        <v>312</v>
      </c>
      <c r="J316" s="23">
        <f>$C$5*Data!C314/Data!C313</f>
        <v>10840.067587202222</v>
      </c>
      <c r="K316" s="23">
        <f>$C$6*Data!F314/Data!F313</f>
        <v>9650.2478000305418</v>
      </c>
      <c r="L316" s="23">
        <f>$C$7*Data!I314/Data!I313</f>
        <v>6247.8930635050156</v>
      </c>
      <c r="M316" s="23">
        <f>$C$8*Data!L314/Data!L313</f>
        <v>111.53649405790387</v>
      </c>
      <c r="N316" s="23">
        <f t="shared" si="23"/>
        <v>9934.5577492330613</v>
      </c>
      <c r="O316" s="23">
        <f t="shared" si="24"/>
        <v>-65.442250766938741</v>
      </c>
      <c r="P316" s="23">
        <f t="shared" si="25"/>
        <v>65.442250766938741</v>
      </c>
      <c r="Q316" s="48">
        <f t="shared" si="26"/>
        <v>2.1216024267063645E-3</v>
      </c>
      <c r="S316">
        <v>163</v>
      </c>
      <c r="T316" s="50">
        <v>-29.010528001514103</v>
      </c>
      <c r="U316" s="51">
        <f t="shared" si="27"/>
        <v>1.0053170185470384E-3</v>
      </c>
      <c r="V316" s="51">
        <f>SUM($U$5:U316)</f>
        <v>0.62757376663628384</v>
      </c>
      <c r="AB316" s="37"/>
    </row>
    <row r="317" spans="9:28" x14ac:dyDescent="0.3">
      <c r="I317">
        <v>313</v>
      </c>
      <c r="J317" s="23">
        <f>$C$5*Data!C315/Data!C314</f>
        <v>11004.364905693534</v>
      </c>
      <c r="K317" s="23">
        <f>$C$6*Data!F315/Data!F314</f>
        <v>9482.2593256599284</v>
      </c>
      <c r="L317" s="23">
        <f>$C$7*Data!I315/Data!I314</f>
        <v>6113.4994403751361</v>
      </c>
      <c r="M317" s="23">
        <f>$C$8*Data!L315/Data!L314</f>
        <v>112.03155687728325</v>
      </c>
      <c r="N317" s="23">
        <f t="shared" si="23"/>
        <v>9928.7866822374381</v>
      </c>
      <c r="O317" s="23">
        <f t="shared" si="24"/>
        <v>-71.213317762561928</v>
      </c>
      <c r="P317" s="23">
        <f t="shared" si="25"/>
        <v>71.213317762561928</v>
      </c>
      <c r="Q317" s="48">
        <f t="shared" si="26"/>
        <v>2.1322637454335314E-3</v>
      </c>
      <c r="S317">
        <v>264</v>
      </c>
      <c r="T317" s="50">
        <v>-29.036673953758509</v>
      </c>
      <c r="U317" s="51">
        <f t="shared" si="27"/>
        <v>1.667907183972998E-3</v>
      </c>
      <c r="V317" s="51">
        <f>SUM($U$5:U317)</f>
        <v>0.62924167382025686</v>
      </c>
      <c r="AB317" s="37"/>
    </row>
    <row r="318" spans="9:28" x14ac:dyDescent="0.3">
      <c r="I318">
        <v>314</v>
      </c>
      <c r="J318" s="23">
        <f>$C$5*Data!C316/Data!C315</f>
        <v>10988.757673657667</v>
      </c>
      <c r="K318" s="23">
        <f>$C$6*Data!F316/Data!F315</f>
        <v>9370.8075632570508</v>
      </c>
      <c r="L318" s="23">
        <f>$C$7*Data!I316/Data!I315</f>
        <v>6247.6646828177518</v>
      </c>
      <c r="M318" s="23">
        <f>$C$8*Data!L316/Data!L315</f>
        <v>110.45521761536587</v>
      </c>
      <c r="N318" s="23">
        <f t="shared" si="23"/>
        <v>9881.9880146493815</v>
      </c>
      <c r="O318" s="23">
        <f t="shared" si="24"/>
        <v>-118.01198535061849</v>
      </c>
      <c r="P318" s="23">
        <f t="shared" si="25"/>
        <v>118.01198535061849</v>
      </c>
      <c r="Q318" s="48">
        <f t="shared" si="26"/>
        <v>2.1429786386266652E-3</v>
      </c>
      <c r="S318">
        <v>53</v>
      </c>
      <c r="T318" s="50">
        <v>-29.056974134075062</v>
      </c>
      <c r="U318" s="51">
        <f t="shared" si="27"/>
        <v>5.7921782250782328E-4</v>
      </c>
      <c r="V318" s="51">
        <f>SUM($U$5:U318)</f>
        <v>0.62982089164276467</v>
      </c>
      <c r="AB318" s="37"/>
    </row>
    <row r="319" spans="9:28" x14ac:dyDescent="0.3">
      <c r="I319">
        <v>315</v>
      </c>
      <c r="J319" s="23">
        <f>$C$5*Data!C317/Data!C316</f>
        <v>11063.065337151313</v>
      </c>
      <c r="K319" s="23">
        <f>$C$6*Data!F317/Data!F316</f>
        <v>9680.9976631699174</v>
      </c>
      <c r="L319" s="23">
        <f>$C$7*Data!I317/Data!I316</f>
        <v>6105.6729090742338</v>
      </c>
      <c r="M319" s="23">
        <f>$C$8*Data!L317/Data!L316</f>
        <v>112.08604912939394</v>
      </c>
      <c r="N319" s="23">
        <f t="shared" si="23"/>
        <v>10011.899681596962</v>
      </c>
      <c r="O319" s="23">
        <f t="shared" si="24"/>
        <v>11.899681596962182</v>
      </c>
      <c r="P319" s="23">
        <f t="shared" si="25"/>
        <v>-11.899681596962182</v>
      </c>
      <c r="Q319" s="48">
        <f t="shared" si="26"/>
        <v>2.153747375504186E-3</v>
      </c>
      <c r="S319">
        <v>45</v>
      </c>
      <c r="T319" s="50">
        <v>-29.532715783610911</v>
      </c>
      <c r="U319" s="51">
        <f t="shared" si="27"/>
        <v>5.5645053279817786E-4</v>
      </c>
      <c r="V319" s="51">
        <f>SUM($U$5:U319)</f>
        <v>0.63037734217556285</v>
      </c>
      <c r="AB319" s="37"/>
    </row>
    <row r="320" spans="9:28" x14ac:dyDescent="0.3">
      <c r="I320">
        <v>316</v>
      </c>
      <c r="J320" s="23">
        <f>$C$5*Data!C318/Data!C317</f>
        <v>10756.091551286871</v>
      </c>
      <c r="K320" s="23">
        <f>$C$6*Data!F318/Data!F317</f>
        <v>9527.904693329172</v>
      </c>
      <c r="L320" s="23">
        <f>$C$7*Data!I318/Data!I317</f>
        <v>6248.1501849483275</v>
      </c>
      <c r="M320" s="23">
        <f>$C$8*Data!L318/Data!L317</f>
        <v>111.69908293025418</v>
      </c>
      <c r="N320" s="23">
        <f t="shared" si="23"/>
        <v>9868.7731856818209</v>
      </c>
      <c r="O320" s="23">
        <f t="shared" si="24"/>
        <v>-131.22681431817909</v>
      </c>
      <c r="P320" s="23">
        <f t="shared" si="25"/>
        <v>131.22681431817909</v>
      </c>
      <c r="Q320" s="48">
        <f t="shared" si="26"/>
        <v>2.1645702266373727E-3</v>
      </c>
      <c r="S320">
        <v>340</v>
      </c>
      <c r="T320" s="50">
        <v>-30.009037800353326</v>
      </c>
      <c r="U320" s="51">
        <f t="shared" si="27"/>
        <v>2.4412808396975039E-3</v>
      </c>
      <c r="V320" s="51">
        <f>SUM($U$5:U320)</f>
        <v>0.63281862301526037</v>
      </c>
      <c r="AB320" s="37"/>
    </row>
    <row r="321" spans="9:28" x14ac:dyDescent="0.3">
      <c r="I321">
        <v>317</v>
      </c>
      <c r="J321" s="23">
        <f>$C$5*Data!C319/Data!C318</f>
        <v>11110.412222023242</v>
      </c>
      <c r="K321" s="23">
        <f>$C$6*Data!F319/Data!F318</f>
        <v>9527.360702392336</v>
      </c>
      <c r="L321" s="23">
        <f>$C$7*Data!I319/Data!I318</f>
        <v>6253.4211718731258</v>
      </c>
      <c r="M321" s="23">
        <f>$C$8*Data!L319/Data!L318</f>
        <v>112.1215236767399</v>
      </c>
      <c r="N321" s="23">
        <f t="shared" si="23"/>
        <v>10005.527914117507</v>
      </c>
      <c r="O321" s="23">
        <f t="shared" si="24"/>
        <v>5.5279141175069526</v>
      </c>
      <c r="P321" s="23">
        <f t="shared" si="25"/>
        <v>-5.5279141175069526</v>
      </c>
      <c r="Q321" s="48">
        <f t="shared" si="26"/>
        <v>2.1754474639571588E-3</v>
      </c>
      <c r="S321">
        <v>158</v>
      </c>
      <c r="T321" s="50">
        <v>-30.237860242097668</v>
      </c>
      <c r="U321" s="51">
        <f t="shared" si="27"/>
        <v>9.8043416883020012E-4</v>
      </c>
      <c r="V321" s="51">
        <f>SUM($U$5:U321)</f>
        <v>0.63379905718409058</v>
      </c>
      <c r="AB321" s="37"/>
    </row>
    <row r="322" spans="9:28" x14ac:dyDescent="0.3">
      <c r="I322">
        <v>318</v>
      </c>
      <c r="J322" s="23">
        <f>$C$5*Data!C320/Data!C319</f>
        <v>11086.417534282054</v>
      </c>
      <c r="K322" s="23">
        <f>$C$6*Data!F320/Data!F319</f>
        <v>9649.9738436145926</v>
      </c>
      <c r="L322" s="23">
        <f>$C$7*Data!I320/Data!I319</f>
        <v>6290.3958705956038</v>
      </c>
      <c r="M322" s="23">
        <f>$C$8*Data!L320/Data!L319</f>
        <v>113.57355156923241</v>
      </c>
      <c r="N322" s="23">
        <f t="shared" si="23"/>
        <v>10066.840456465447</v>
      </c>
      <c r="O322" s="23">
        <f t="shared" si="24"/>
        <v>66.84045646544655</v>
      </c>
      <c r="P322" s="23">
        <f t="shared" si="25"/>
        <v>-66.84045646544655</v>
      </c>
      <c r="Q322" s="48">
        <f t="shared" si="26"/>
        <v>2.1863793607609637E-3</v>
      </c>
      <c r="S322">
        <v>91</v>
      </c>
      <c r="T322" s="50">
        <v>-30.354514659193228</v>
      </c>
      <c r="U322" s="51">
        <f t="shared" si="27"/>
        <v>7.007528105402879E-4</v>
      </c>
      <c r="V322" s="51">
        <f>SUM($U$5:U322)</f>
        <v>0.63449980999463085</v>
      </c>
      <c r="AB322" s="37"/>
    </row>
    <row r="323" spans="9:28" x14ac:dyDescent="0.3">
      <c r="I323">
        <v>319</v>
      </c>
      <c r="J323" s="23">
        <f>$C$5*Data!C321/Data!C320</f>
        <v>11120.104386727331</v>
      </c>
      <c r="K323" s="23">
        <f>$C$6*Data!F321/Data!F320</f>
        <v>9602.0580086932077</v>
      </c>
      <c r="L323" s="23">
        <f>$C$7*Data!I321/Data!I320</f>
        <v>6160.0031199575196</v>
      </c>
      <c r="M323" s="23">
        <f>$C$8*Data!L321/Data!L320</f>
        <v>111.52393308513939</v>
      </c>
      <c r="N323" s="23">
        <f t="shared" si="23"/>
        <v>10006.728473240544</v>
      </c>
      <c r="O323" s="23">
        <f t="shared" si="24"/>
        <v>6.72847324054419</v>
      </c>
      <c r="P323" s="23">
        <f t="shared" si="25"/>
        <v>-6.72847324054419</v>
      </c>
      <c r="Q323" s="48">
        <f t="shared" si="26"/>
        <v>2.1973661917195609E-3</v>
      </c>
      <c r="S323">
        <v>49</v>
      </c>
      <c r="T323" s="50">
        <v>-30.354713149718009</v>
      </c>
      <c r="U323" s="51">
        <f t="shared" si="27"/>
        <v>5.6772005948414284E-4</v>
      </c>
      <c r="V323" s="51">
        <f>SUM($U$5:U323)</f>
        <v>0.63506753005411498</v>
      </c>
      <c r="AB323" s="37"/>
    </row>
    <row r="324" spans="9:28" x14ac:dyDescent="0.3">
      <c r="I324">
        <v>320</v>
      </c>
      <c r="J324" s="23">
        <f>$C$5*Data!C322/Data!C321</f>
        <v>10957.720561799362</v>
      </c>
      <c r="K324" s="23">
        <f>$C$6*Data!F322/Data!F321</f>
        <v>9488.3295664527632</v>
      </c>
      <c r="L324" s="23">
        <f>$C$7*Data!I322/Data!I321</f>
        <v>6104.6369258859022</v>
      </c>
      <c r="M324" s="23">
        <f>$C$8*Data!L322/Data!L321</f>
        <v>113.92585786870841</v>
      </c>
      <c r="N324" s="23">
        <f t="shared" si="23"/>
        <v>9945.9069860136733</v>
      </c>
      <c r="O324" s="23">
        <f t="shared" si="24"/>
        <v>-54.093013986326696</v>
      </c>
      <c r="P324" s="23">
        <f t="shared" si="25"/>
        <v>54.093013986326696</v>
      </c>
      <c r="Q324" s="48">
        <f t="shared" si="26"/>
        <v>2.208408232883981E-3</v>
      </c>
      <c r="S324">
        <v>275</v>
      </c>
      <c r="T324" s="50">
        <v>-30.508755038787058</v>
      </c>
      <c r="U324" s="51">
        <f t="shared" si="27"/>
        <v>1.7624548129748536E-3</v>
      </c>
      <c r="V324" s="51">
        <f>SUM($U$5:U324)</f>
        <v>0.63682998486708986</v>
      </c>
      <c r="AB324" s="37"/>
    </row>
    <row r="325" spans="9:28" x14ac:dyDescent="0.3">
      <c r="I325">
        <v>321</v>
      </c>
      <c r="J325" s="23">
        <f>$C$5*Data!C323/Data!C322</f>
        <v>10947.667950983703</v>
      </c>
      <c r="K325" s="23">
        <f>$C$6*Data!F323/Data!F322</f>
        <v>9545.3312450080193</v>
      </c>
      <c r="L325" s="23">
        <f>$C$7*Data!I323/Data!I322</f>
        <v>6246.8522924434847</v>
      </c>
      <c r="M325" s="23">
        <f>$C$8*Data!L323/Data!L322</f>
        <v>111.87913114552377</v>
      </c>
      <c r="N325" s="23">
        <f t="shared" ref="N325:N388" si="28">MMULT(J325:M325,$D$5:$D$8)</f>
        <v>9946.7261516246654</v>
      </c>
      <c r="O325" s="23">
        <f t="shared" si="24"/>
        <v>-53.273848375334637</v>
      </c>
      <c r="P325" s="23">
        <f t="shared" si="25"/>
        <v>53.273848375334637</v>
      </c>
      <c r="Q325" s="48">
        <f t="shared" si="26"/>
        <v>2.2195057616924431E-3</v>
      </c>
      <c r="S325">
        <v>387</v>
      </c>
      <c r="T325" s="50">
        <v>-30.636991289376965</v>
      </c>
      <c r="U325" s="51">
        <f t="shared" si="27"/>
        <v>3.0898183463238418E-3</v>
      </c>
      <c r="V325" s="51">
        <f>SUM($U$5:U325)</f>
        <v>0.63991980321341368</v>
      </c>
      <c r="AB325" s="37"/>
    </row>
    <row r="326" spans="9:28" x14ac:dyDescent="0.3">
      <c r="I326">
        <v>322</v>
      </c>
      <c r="J326" s="23">
        <f>$C$5*Data!C324/Data!C323</f>
        <v>11115.701609825419</v>
      </c>
      <c r="K326" s="23">
        <f>$C$6*Data!F324/Data!F323</f>
        <v>9554.8592427552867</v>
      </c>
      <c r="L326" s="23">
        <f>$C$7*Data!I324/Data!I323</f>
        <v>6212.1852716898211</v>
      </c>
      <c r="M326" s="23">
        <f>$C$8*Data!L324/Data!L323</f>
        <v>112.78642802334591</v>
      </c>
      <c r="N326" s="23">
        <f t="shared" si="28"/>
        <v>10021.177109074048</v>
      </c>
      <c r="O326" s="23">
        <f t="shared" ref="O326:O389" si="29">N326-$B$9</f>
        <v>21.177109074047621</v>
      </c>
      <c r="P326" s="23">
        <f t="shared" ref="P326:P389" si="30">-O326</f>
        <v>-21.177109074047621</v>
      </c>
      <c r="Q326" s="48">
        <f t="shared" ref="Q326:Q389" si="31">$Q$2^(500-I326)*(1-$Q$2)/(1-$Q$2^500)</f>
        <v>2.2306590569773298E-3</v>
      </c>
      <c r="S326">
        <v>97</v>
      </c>
      <c r="T326" s="50">
        <v>-30.665729418145929</v>
      </c>
      <c r="U326" s="51">
        <f t="shared" ref="U326:U389" si="32">$Q$2^(500-S326)*(1-$Q$2)/(1-$Q$2^500)</f>
        <v>7.2214825109293273E-4</v>
      </c>
      <c r="V326" s="51">
        <f>SUM($U$5:U326)</f>
        <v>0.64064195146450664</v>
      </c>
      <c r="AB326" s="37"/>
    </row>
    <row r="327" spans="9:28" x14ac:dyDescent="0.3">
      <c r="I327">
        <v>323</v>
      </c>
      <c r="J327" s="23">
        <f>$C$5*Data!C325/Data!C324</f>
        <v>10990.929338704549</v>
      </c>
      <c r="K327" s="23">
        <f>$C$6*Data!F325/Data!F324</f>
        <v>9616.8020227260513</v>
      </c>
      <c r="L327" s="23">
        <f>$C$7*Data!I325/Data!I324</f>
        <v>6103.8173408816892</v>
      </c>
      <c r="M327" s="23">
        <f>$C$8*Data!L325/Data!L324</f>
        <v>112.90994816181511</v>
      </c>
      <c r="N327" s="23">
        <f t="shared" si="28"/>
        <v>9979.9655685435155</v>
      </c>
      <c r="O327" s="23">
        <f t="shared" si="29"/>
        <v>-20.034431456484526</v>
      </c>
      <c r="P327" s="23">
        <f t="shared" si="30"/>
        <v>20.034431456484526</v>
      </c>
      <c r="Q327" s="48">
        <f t="shared" si="31"/>
        <v>2.2418683989721905E-3</v>
      </c>
      <c r="S327">
        <v>86</v>
      </c>
      <c r="T327" s="50">
        <v>-30.692508565602111</v>
      </c>
      <c r="U327" s="51">
        <f t="shared" si="32"/>
        <v>6.8340830472606528E-4</v>
      </c>
      <c r="V327" s="51">
        <f>SUM($U$5:U327)</f>
        <v>0.64132535976923266</v>
      </c>
      <c r="AB327" s="37"/>
    </row>
    <row r="328" spans="9:28" x14ac:dyDescent="0.3">
      <c r="I328">
        <v>324</v>
      </c>
      <c r="J328" s="23">
        <f>$C$5*Data!C326/Data!C325</f>
        <v>10890.741521762498</v>
      </c>
      <c r="K328" s="23">
        <f>$C$6*Data!F326/Data!F325</f>
        <v>9447.8545421624822</v>
      </c>
      <c r="L328" s="23">
        <f>$C$7*Data!I326/Data!I325</f>
        <v>6244.7436689817841</v>
      </c>
      <c r="M328" s="23">
        <f>$C$8*Data!L326/Data!L325</f>
        <v>111.96294534117345</v>
      </c>
      <c r="N328" s="23">
        <f t="shared" si="28"/>
        <v>9896.7509678520018</v>
      </c>
      <c r="O328" s="23">
        <f t="shared" si="29"/>
        <v>-103.24903214799815</v>
      </c>
      <c r="P328" s="23">
        <f t="shared" si="30"/>
        <v>103.24903214799815</v>
      </c>
      <c r="Q328" s="48">
        <f t="shared" si="31"/>
        <v>2.2531340693187846E-3</v>
      </c>
      <c r="S328">
        <v>39</v>
      </c>
      <c r="T328" s="50">
        <v>-30.718953504145247</v>
      </c>
      <c r="U328" s="51">
        <f t="shared" si="32"/>
        <v>5.399642998439989E-4</v>
      </c>
      <c r="V328" s="51">
        <f>SUM($U$5:U328)</f>
        <v>0.6418653240690767</v>
      </c>
      <c r="AB328" s="37"/>
    </row>
    <row r="329" spans="9:28" x14ac:dyDescent="0.3">
      <c r="I329">
        <v>325</v>
      </c>
      <c r="J329" s="23">
        <f>$C$5*Data!C327/Data!C326</f>
        <v>11036.979011094496</v>
      </c>
      <c r="K329" s="23">
        <f>$C$6*Data!F327/Data!F326</f>
        <v>9630.4575352441079</v>
      </c>
      <c r="L329" s="23">
        <f>$C$7*Data!I327/Data!I326</f>
        <v>6226.4364695470076</v>
      </c>
      <c r="M329" s="23">
        <f>$C$8*Data!L327/Data!L326</f>
        <v>113.10009278243302</v>
      </c>
      <c r="N329" s="23">
        <f t="shared" si="28"/>
        <v>10024.091495004433</v>
      </c>
      <c r="O329" s="23">
        <f t="shared" si="29"/>
        <v>24.091495004433455</v>
      </c>
      <c r="P329" s="23">
        <f t="shared" si="30"/>
        <v>-24.091495004433455</v>
      </c>
      <c r="Q329" s="48">
        <f t="shared" si="31"/>
        <v>2.2644563510741556E-3</v>
      </c>
      <c r="S329">
        <v>113</v>
      </c>
      <c r="T329" s="50">
        <v>-31.479918573591931</v>
      </c>
      <c r="U329" s="51">
        <f t="shared" si="32"/>
        <v>7.8245085936996914E-4</v>
      </c>
      <c r="V329" s="51">
        <f>SUM($U$5:U329)</f>
        <v>0.64264777492844671</v>
      </c>
      <c r="AB329" s="37"/>
    </row>
    <row r="330" spans="9:28" x14ac:dyDescent="0.3">
      <c r="I330">
        <v>326</v>
      </c>
      <c r="J330" s="23">
        <f>$C$5*Data!C328/Data!C327</f>
        <v>10929.742786488876</v>
      </c>
      <c r="K330" s="23">
        <f>$C$6*Data!F328/Data!F327</f>
        <v>9576.7918182298072</v>
      </c>
      <c r="L330" s="23">
        <f>$C$7*Data!I328/Data!I327</f>
        <v>6159.5198884217007</v>
      </c>
      <c r="M330" s="23">
        <f>$C$8*Data!L328/Data!L327</f>
        <v>112.16795055241879</v>
      </c>
      <c r="N330" s="23">
        <f t="shared" si="28"/>
        <v>9941.0874246710991</v>
      </c>
      <c r="O330" s="23">
        <f t="shared" si="29"/>
        <v>-58.912575328900857</v>
      </c>
      <c r="P330" s="23">
        <f t="shared" si="30"/>
        <v>58.912575328900857</v>
      </c>
      <c r="Q330" s="48">
        <f t="shared" si="31"/>
        <v>2.2758355287177444E-3</v>
      </c>
      <c r="S330">
        <v>184</v>
      </c>
      <c r="T330" s="50">
        <v>-31.527477930518216</v>
      </c>
      <c r="U330" s="51">
        <f t="shared" si="32"/>
        <v>1.1169104104947153E-3</v>
      </c>
      <c r="V330" s="51">
        <f>SUM($U$5:U330)</f>
        <v>0.64376468533894138</v>
      </c>
      <c r="AB330" s="37"/>
    </row>
    <row r="331" spans="9:28" x14ac:dyDescent="0.3">
      <c r="I331">
        <v>327</v>
      </c>
      <c r="J331" s="23">
        <f>$C$5*Data!C329/Data!C328</f>
        <v>10945.876488586522</v>
      </c>
      <c r="K331" s="23">
        <f>$C$6*Data!F329/Data!F328</f>
        <v>9636.0353490504458</v>
      </c>
      <c r="L331" s="23">
        <f>$C$7*Data!I329/Data!I328</f>
        <v>6086.9812560627524</v>
      </c>
      <c r="M331" s="23">
        <f>$C$8*Data!L329/Data!L328</f>
        <v>112.9971650920708</v>
      </c>
      <c r="N331" s="23">
        <f t="shared" si="28"/>
        <v>9968.4567535497081</v>
      </c>
      <c r="O331" s="23">
        <f t="shared" si="29"/>
        <v>-31.543246450291917</v>
      </c>
      <c r="P331" s="23">
        <f t="shared" si="30"/>
        <v>31.543246450291917</v>
      </c>
      <c r="Q331" s="48">
        <f t="shared" si="31"/>
        <v>2.2872718881585367E-3</v>
      </c>
      <c r="S331">
        <v>130</v>
      </c>
      <c r="T331" s="50">
        <v>-31.613709141718573</v>
      </c>
      <c r="U331" s="51">
        <f t="shared" si="32"/>
        <v>8.5204925135681276E-4</v>
      </c>
      <c r="V331" s="51">
        <f>SUM($U$5:U331)</f>
        <v>0.64461673459029822</v>
      </c>
      <c r="AB331" s="37"/>
    </row>
    <row r="332" spans="9:28" x14ac:dyDescent="0.3">
      <c r="I332">
        <v>328</v>
      </c>
      <c r="J332" s="23">
        <f>$C$5*Data!C330/Data!C329</f>
        <v>11045.189474044968</v>
      </c>
      <c r="K332" s="23">
        <f>$C$6*Data!F330/Data!F329</f>
        <v>9545.5392752225562</v>
      </c>
      <c r="L332" s="23">
        <f>$C$7*Data!I330/Data!I329</f>
        <v>6234.6195230617031</v>
      </c>
      <c r="M332" s="23">
        <f>$C$8*Data!L330/Data!L329</f>
        <v>112.47429022662294</v>
      </c>
      <c r="N332" s="23">
        <f t="shared" si="28"/>
        <v>9990.7600537146718</v>
      </c>
      <c r="O332" s="23">
        <f t="shared" si="29"/>
        <v>-9.2399462853281875</v>
      </c>
      <c r="P332" s="23">
        <f t="shared" si="30"/>
        <v>9.2399462853281875</v>
      </c>
      <c r="Q332" s="48">
        <f t="shared" si="31"/>
        <v>2.2987657167422484E-3</v>
      </c>
      <c r="S332">
        <v>224</v>
      </c>
      <c r="T332" s="50">
        <v>-32.265038773743072</v>
      </c>
      <c r="U332" s="51">
        <f t="shared" si="32"/>
        <v>1.3648820086433718E-3</v>
      </c>
      <c r="V332" s="51">
        <f>SUM($U$5:U332)</f>
        <v>0.6459816165989416</v>
      </c>
      <c r="AB332" s="37"/>
    </row>
    <row r="333" spans="9:28" x14ac:dyDescent="0.3">
      <c r="I333">
        <v>329</v>
      </c>
      <c r="J333" s="23">
        <f>$C$5*Data!C331/Data!C330</f>
        <v>10876.619812433473</v>
      </c>
      <c r="K333" s="23">
        <f>$C$6*Data!F331/Data!F330</f>
        <v>9557.3088570024065</v>
      </c>
      <c r="L333" s="23">
        <f>$C$7*Data!I331/Data!I330</f>
        <v>6129.4042329125641</v>
      </c>
      <c r="M333" s="23">
        <f>$C$8*Data!L331/Data!L330</f>
        <v>117.58841888247186</v>
      </c>
      <c r="N333" s="23">
        <f t="shared" si="28"/>
        <v>10006.951850600115</v>
      </c>
      <c r="O333" s="23">
        <f t="shared" si="29"/>
        <v>6.9518506001149944</v>
      </c>
      <c r="P333" s="23">
        <f t="shared" si="30"/>
        <v>-6.9518506001149944</v>
      </c>
      <c r="Q333" s="48">
        <f t="shared" si="31"/>
        <v>2.3103173032585408E-3</v>
      </c>
      <c r="S333">
        <v>411</v>
      </c>
      <c r="T333" s="50">
        <v>-32.549451291259174</v>
      </c>
      <c r="U333" s="51">
        <f t="shared" si="32"/>
        <v>3.4848092402824629E-3</v>
      </c>
      <c r="V333" s="51">
        <f>SUM($U$5:U333)</f>
        <v>0.64946642583922409</v>
      </c>
      <c r="AB333" s="37"/>
    </row>
    <row r="334" spans="9:28" x14ac:dyDescent="0.3">
      <c r="I334">
        <v>330</v>
      </c>
      <c r="J334" s="23">
        <f>$C$5*Data!C332/Data!C331</f>
        <v>10991.581353028554</v>
      </c>
      <c r="K334" s="23">
        <f>$C$6*Data!F332/Data!F331</f>
        <v>9524.206678044613</v>
      </c>
      <c r="L334" s="23">
        <f>$C$7*Data!I332/Data!I331</f>
        <v>6281.600264674531</v>
      </c>
      <c r="M334" s="23">
        <f>$C$8*Data!L332/Data!L331</f>
        <v>110.5135398013846</v>
      </c>
      <c r="N334" s="23">
        <f t="shared" si="28"/>
        <v>9937.4574926759124</v>
      </c>
      <c r="O334" s="23">
        <f t="shared" si="29"/>
        <v>-62.542507324087637</v>
      </c>
      <c r="P334" s="23">
        <f t="shared" si="30"/>
        <v>62.542507324087637</v>
      </c>
      <c r="Q334" s="48">
        <f t="shared" si="31"/>
        <v>2.3219269379482817E-3</v>
      </c>
      <c r="S334">
        <v>80</v>
      </c>
      <c r="T334" s="50">
        <v>-33.403954754152437</v>
      </c>
      <c r="U334" s="51">
        <f t="shared" si="32"/>
        <v>6.6316063157194338E-4</v>
      </c>
      <c r="V334" s="51">
        <f>SUM($U$5:U334)</f>
        <v>0.65012958647079599</v>
      </c>
      <c r="AB334" s="37"/>
    </row>
    <row r="335" spans="9:28" x14ac:dyDescent="0.3">
      <c r="I335">
        <v>331</v>
      </c>
      <c r="J335" s="23">
        <f>$C$5*Data!C333/Data!C332</f>
        <v>11258.288876932484</v>
      </c>
      <c r="K335" s="23">
        <f>$C$6*Data!F333/Data!F332</f>
        <v>9597.318141423606</v>
      </c>
      <c r="L335" s="23">
        <f>$C$7*Data!I333/Data!I332</f>
        <v>6294.7331944974021</v>
      </c>
      <c r="M335" s="23">
        <f>$C$8*Data!L333/Data!L332</f>
        <v>110.74065327337465</v>
      </c>
      <c r="N335" s="23">
        <f t="shared" si="28"/>
        <v>10063.239636382712</v>
      </c>
      <c r="O335" s="23">
        <f t="shared" si="29"/>
        <v>63.239636382711979</v>
      </c>
      <c r="P335" s="23">
        <f t="shared" si="30"/>
        <v>-63.239636382711979</v>
      </c>
      <c r="Q335" s="48">
        <f t="shared" si="31"/>
        <v>2.333594912510836E-3</v>
      </c>
      <c r="S335">
        <v>118</v>
      </c>
      <c r="T335" s="50">
        <v>-33.783181555247211</v>
      </c>
      <c r="U335" s="51">
        <f t="shared" si="32"/>
        <v>8.023090076918945E-4</v>
      </c>
      <c r="V335" s="51">
        <f>SUM($U$5:U335)</f>
        <v>0.65093189547848784</v>
      </c>
      <c r="AB335" s="37"/>
    </row>
    <row r="336" spans="9:28" x14ac:dyDescent="0.3">
      <c r="I336">
        <v>332</v>
      </c>
      <c r="J336" s="23">
        <f>$C$5*Data!C334/Data!C333</f>
        <v>11112.020449902331</v>
      </c>
      <c r="K336" s="23">
        <f>$C$6*Data!F334/Data!F333</f>
        <v>9552.6590269164608</v>
      </c>
      <c r="L336" s="23">
        <f>$C$7*Data!I334/Data!I333</f>
        <v>6187.7473917443513</v>
      </c>
      <c r="M336" s="23">
        <f>$C$8*Data!L334/Data!L333</f>
        <v>112.9842490918511</v>
      </c>
      <c r="N336" s="23">
        <f t="shared" si="28"/>
        <v>10018.719046196336</v>
      </c>
      <c r="O336" s="23">
        <f t="shared" si="29"/>
        <v>18.719046196336421</v>
      </c>
      <c r="P336" s="23">
        <f t="shared" si="30"/>
        <v>-18.719046196336421</v>
      </c>
      <c r="Q336" s="48">
        <f t="shared" si="31"/>
        <v>2.3453215201113928E-3</v>
      </c>
      <c r="S336">
        <v>456</v>
      </c>
      <c r="T336" s="50">
        <v>-33.959334209002918</v>
      </c>
      <c r="U336" s="51">
        <f t="shared" si="32"/>
        <v>4.3665694913789356E-3</v>
      </c>
      <c r="V336" s="51">
        <f>SUM($U$5:U336)</f>
        <v>0.65529846496986677</v>
      </c>
      <c r="AB336" s="37"/>
    </row>
    <row r="337" spans="9:28" x14ac:dyDescent="0.3">
      <c r="I337">
        <v>333</v>
      </c>
      <c r="J337" s="23">
        <f>$C$5*Data!C335/Data!C334</f>
        <v>11089.686805714029</v>
      </c>
      <c r="K337" s="23">
        <f>$C$6*Data!F335/Data!F334</f>
        <v>9647.9381850147001</v>
      </c>
      <c r="L337" s="23">
        <f>$C$7*Data!I335/Data!I334</f>
        <v>6211.9800467501182</v>
      </c>
      <c r="M337" s="23">
        <f>$C$8*Data!L335/Data!L334</f>
        <v>114.91700675472816</v>
      </c>
      <c r="N337" s="23">
        <f t="shared" si="28"/>
        <v>10078.559304646347</v>
      </c>
      <c r="O337" s="23">
        <f t="shared" si="29"/>
        <v>78.5593046463473</v>
      </c>
      <c r="P337" s="23">
        <f t="shared" si="30"/>
        <v>-78.5593046463473</v>
      </c>
      <c r="Q337" s="48">
        <f t="shared" si="31"/>
        <v>2.3571070553883348E-3</v>
      </c>
      <c r="S337">
        <v>267</v>
      </c>
      <c r="T337" s="50">
        <v>-34.128894425808539</v>
      </c>
      <c r="U337" s="51">
        <f t="shared" si="32"/>
        <v>1.6931780784409892E-3</v>
      </c>
      <c r="V337" s="51">
        <f>SUM($U$5:U337)</f>
        <v>0.65699164304830771</v>
      </c>
      <c r="AB337" s="37"/>
    </row>
    <row r="338" spans="9:28" x14ac:dyDescent="0.3">
      <c r="I338">
        <v>334</v>
      </c>
      <c r="J338" s="23">
        <f>$C$5*Data!C336/Data!C335</f>
        <v>11137.766252639869</v>
      </c>
      <c r="K338" s="23">
        <f>$C$6*Data!F336/Data!F335</f>
        <v>9624.8266190701324</v>
      </c>
      <c r="L338" s="23">
        <f>$C$7*Data!I336/Data!I335</f>
        <v>6283.1683829776748</v>
      </c>
      <c r="M338" s="23">
        <f>$C$8*Data!L336/Data!L335</f>
        <v>113.28692584080522</v>
      </c>
      <c r="N338" s="23">
        <f t="shared" si="28"/>
        <v>10071.370085995064</v>
      </c>
      <c r="O338" s="23">
        <f t="shared" si="29"/>
        <v>71.370085995064073</v>
      </c>
      <c r="P338" s="23">
        <f t="shared" si="30"/>
        <v>-71.370085995064073</v>
      </c>
      <c r="Q338" s="48">
        <f t="shared" si="31"/>
        <v>2.368951814460638E-3</v>
      </c>
      <c r="S338">
        <v>129</v>
      </c>
      <c r="T338" s="50">
        <v>-34.153395280160112</v>
      </c>
      <c r="U338" s="51">
        <f t="shared" si="32"/>
        <v>8.4778900510002852E-4</v>
      </c>
      <c r="V338" s="51">
        <f>SUM($U$5:U338)</f>
        <v>0.65783943205340778</v>
      </c>
      <c r="AB338" s="37"/>
    </row>
    <row r="339" spans="9:28" x14ac:dyDescent="0.3">
      <c r="I339">
        <v>335</v>
      </c>
      <c r="J339" s="23">
        <f>$C$5*Data!C337/Data!C336</f>
        <v>11073.42328749732</v>
      </c>
      <c r="K339" s="23">
        <f>$C$6*Data!F337/Data!F336</f>
        <v>9818.2609233929652</v>
      </c>
      <c r="L339" s="23">
        <f>$C$7*Data!I337/Data!I336</f>
        <v>6245.0943943953471</v>
      </c>
      <c r="M339" s="23">
        <f>$C$8*Data!L337/Data!L336</f>
        <v>115.75916475801826</v>
      </c>
      <c r="N339" s="23">
        <f t="shared" si="28"/>
        <v>10146.153188199114</v>
      </c>
      <c r="O339" s="23">
        <f t="shared" si="29"/>
        <v>146.15318819911408</v>
      </c>
      <c r="P339" s="23">
        <f t="shared" si="30"/>
        <v>-146.15318819911408</v>
      </c>
      <c r="Q339" s="48">
        <f t="shared" si="31"/>
        <v>2.380856094935315E-3</v>
      </c>
      <c r="S339">
        <v>122</v>
      </c>
      <c r="T339" s="50">
        <v>-34.202845761765275</v>
      </c>
      <c r="U339" s="51">
        <f t="shared" si="32"/>
        <v>8.1855778856214888E-4</v>
      </c>
      <c r="V339" s="51">
        <f>SUM($U$5:U339)</f>
        <v>0.65865798984196988</v>
      </c>
      <c r="AB339" s="37"/>
    </row>
    <row r="340" spans="9:28" x14ac:dyDescent="0.3">
      <c r="I340">
        <v>336</v>
      </c>
      <c r="J340" s="23">
        <f>$C$5*Data!C338/Data!C337</f>
        <v>11018.203601973282</v>
      </c>
      <c r="K340" s="23">
        <f>$C$6*Data!F338/Data!F337</f>
        <v>9673.2410684390597</v>
      </c>
      <c r="L340" s="23">
        <f>$C$7*Data!I338/Data!I337</f>
        <v>6187.5751722987879</v>
      </c>
      <c r="M340" s="23">
        <f>$C$8*Data!L338/Data!L337</f>
        <v>114.14971029637813</v>
      </c>
      <c r="N340" s="23">
        <f t="shared" si="28"/>
        <v>10042.986773908604</v>
      </c>
      <c r="O340" s="23">
        <f t="shared" si="29"/>
        <v>42.986773908603936</v>
      </c>
      <c r="P340" s="23">
        <f t="shared" si="30"/>
        <v>-42.986773908603936</v>
      </c>
      <c r="Q340" s="48">
        <f t="shared" si="31"/>
        <v>2.3928201959148893E-3</v>
      </c>
      <c r="S340">
        <v>462</v>
      </c>
      <c r="T340" s="50">
        <v>-34.357751776678924</v>
      </c>
      <c r="U340" s="51">
        <f t="shared" si="32"/>
        <v>4.4998899384275318E-3</v>
      </c>
      <c r="V340" s="51">
        <f>SUM($U$5:U340)</f>
        <v>0.66315787978039742</v>
      </c>
      <c r="AB340" s="37"/>
    </row>
    <row r="341" spans="9:28" x14ac:dyDescent="0.3">
      <c r="I341">
        <v>337</v>
      </c>
      <c r="J341" s="23">
        <f>$C$5*Data!C339/Data!C338</f>
        <v>10999.601679764401</v>
      </c>
      <c r="K341" s="23">
        <f>$C$6*Data!F339/Data!F338</f>
        <v>9433.7775541570263</v>
      </c>
      <c r="L341" s="23">
        <f>$C$7*Data!I339/Data!I338</f>
        <v>6206.2645719028642</v>
      </c>
      <c r="M341" s="23">
        <f>$C$8*Data!L339/Data!L338</f>
        <v>112.88863297550763</v>
      </c>
      <c r="N341" s="23">
        <f t="shared" si="28"/>
        <v>9942.0619203576971</v>
      </c>
      <c r="O341" s="23">
        <f t="shared" si="29"/>
        <v>-57.93807964230291</v>
      </c>
      <c r="P341" s="23">
        <f t="shared" si="30"/>
        <v>57.93807964230291</v>
      </c>
      <c r="Q341" s="48">
        <f t="shared" si="31"/>
        <v>2.4048444180049138E-3</v>
      </c>
      <c r="S341">
        <v>172</v>
      </c>
      <c r="T341" s="50">
        <v>-34.640081170209669</v>
      </c>
      <c r="U341" s="51">
        <f t="shared" si="32"/>
        <v>1.0517083158019217E-3</v>
      </c>
      <c r="V341" s="51">
        <f>SUM($U$5:U341)</f>
        <v>0.66420958809619934</v>
      </c>
      <c r="AB341" s="37"/>
    </row>
    <row r="342" spans="9:28" x14ac:dyDescent="0.3">
      <c r="I342">
        <v>338</v>
      </c>
      <c r="J342" s="23">
        <f>$C$5*Data!C340/Data!C339</f>
        <v>11067.221590478664</v>
      </c>
      <c r="K342" s="23">
        <f>$C$6*Data!F340/Data!F339</f>
        <v>9595.0647843927454</v>
      </c>
      <c r="L342" s="23">
        <f>$C$7*Data!I340/Data!I339</f>
        <v>6158.465068702405</v>
      </c>
      <c r="M342" s="23">
        <f>$C$8*Data!L340/Data!L339</f>
        <v>112.48841526691132</v>
      </c>
      <c r="N342" s="23">
        <f t="shared" si="28"/>
        <v>10002.200785906969</v>
      </c>
      <c r="O342" s="23">
        <f t="shared" si="29"/>
        <v>2.2007859069690312</v>
      </c>
      <c r="P342" s="23">
        <f t="shared" si="30"/>
        <v>-2.2007859069690312</v>
      </c>
      <c r="Q342" s="48">
        <f t="shared" si="31"/>
        <v>2.4169290633215207E-3</v>
      </c>
      <c r="S342">
        <v>215</v>
      </c>
      <c r="T342" s="50">
        <v>-35.975568635960371</v>
      </c>
      <c r="U342" s="51">
        <f t="shared" si="32"/>
        <v>1.3046764877499321E-3</v>
      </c>
      <c r="V342" s="51">
        <f>SUM($U$5:U342)</f>
        <v>0.66551426458394924</v>
      </c>
      <c r="AB342" s="37"/>
    </row>
    <row r="343" spans="9:28" x14ac:dyDescent="0.3">
      <c r="I343">
        <v>339</v>
      </c>
      <c r="J343" s="23">
        <f>$C$5*Data!C341/Data!C340</f>
        <v>11004.297815709655</v>
      </c>
      <c r="K343" s="23">
        <f>$C$6*Data!F341/Data!F340</f>
        <v>9537.8698683941984</v>
      </c>
      <c r="L343" s="23">
        <f>$C$7*Data!I341/Data!I340</f>
        <v>6156.5221136627115</v>
      </c>
      <c r="M343" s="23">
        <f>$C$8*Data!L341/Data!L340</f>
        <v>112.56316642872447</v>
      </c>
      <c r="N343" s="23">
        <f t="shared" si="28"/>
        <v>9962.5033640928032</v>
      </c>
      <c r="O343" s="23">
        <f t="shared" si="29"/>
        <v>-37.496635907196833</v>
      </c>
      <c r="P343" s="23">
        <f t="shared" si="30"/>
        <v>37.496635907196833</v>
      </c>
      <c r="Q343" s="48">
        <f t="shared" si="31"/>
        <v>2.429074435499016E-3</v>
      </c>
      <c r="S343">
        <v>407</v>
      </c>
      <c r="T343" s="50">
        <v>-36.498168872129099</v>
      </c>
      <c r="U343" s="51">
        <f t="shared" si="32"/>
        <v>3.4156340366362425E-3</v>
      </c>
      <c r="V343" s="51">
        <f>SUM($U$5:U343)</f>
        <v>0.66892989862058549</v>
      </c>
      <c r="AB343" s="37"/>
    </row>
    <row r="344" spans="9:28" x14ac:dyDescent="0.3">
      <c r="I344">
        <v>340</v>
      </c>
      <c r="J344" s="23">
        <f>$C$5*Data!C342/Data!C341</f>
        <v>11032.329798310315</v>
      </c>
      <c r="K344" s="23">
        <f>$C$6*Data!F342/Data!F341</f>
        <v>9638.4173442244573</v>
      </c>
      <c r="L344" s="23">
        <f>$C$7*Data!I342/Data!I341</f>
        <v>6331.6457506930974</v>
      </c>
      <c r="M344" s="23">
        <f>$C$8*Data!L342/Data!L341</f>
        <v>114.44530860857174</v>
      </c>
      <c r="N344" s="23">
        <f t="shared" si="28"/>
        <v>10065.706545562492</v>
      </c>
      <c r="O344" s="23">
        <f t="shared" si="29"/>
        <v>65.706545562492465</v>
      </c>
      <c r="P344" s="23">
        <f t="shared" si="30"/>
        <v>-65.706545562492465</v>
      </c>
      <c r="Q344" s="48">
        <f t="shared" si="31"/>
        <v>2.4412808396975039E-3</v>
      </c>
      <c r="S344">
        <v>214</v>
      </c>
      <c r="T344" s="50">
        <v>-36.875677484218613</v>
      </c>
      <c r="U344" s="51">
        <f t="shared" si="32"/>
        <v>1.2981531053111825E-3</v>
      </c>
      <c r="V344" s="51">
        <f>SUM($U$5:U344)</f>
        <v>0.67022805172589672</v>
      </c>
      <c r="AB344" s="37"/>
    </row>
    <row r="345" spans="9:28" x14ac:dyDescent="0.3">
      <c r="I345">
        <v>341</v>
      </c>
      <c r="J345" s="23">
        <f>$C$5*Data!C343/Data!C342</f>
        <v>11129.165763936688</v>
      </c>
      <c r="K345" s="23">
        <f>$C$6*Data!F343/Data!F342</f>
        <v>9695.6638926018004</v>
      </c>
      <c r="L345" s="23">
        <f>$C$7*Data!I343/Data!I342</f>
        <v>6175.4797578481875</v>
      </c>
      <c r="M345" s="23">
        <f>$C$8*Data!L343/Data!L342</f>
        <v>111.86555488375194</v>
      </c>
      <c r="N345" s="23">
        <f t="shared" si="28"/>
        <v>10047.821081958227</v>
      </c>
      <c r="O345" s="23">
        <f t="shared" si="29"/>
        <v>47.821081958227296</v>
      </c>
      <c r="P345" s="23">
        <f t="shared" si="30"/>
        <v>-47.821081958227296</v>
      </c>
      <c r="Q345" s="48">
        <f t="shared" si="31"/>
        <v>2.4535485826105564E-3</v>
      </c>
      <c r="S345">
        <v>187</v>
      </c>
      <c r="T345" s="50">
        <v>-37.80919532673397</v>
      </c>
      <c r="U345" s="51">
        <f t="shared" si="32"/>
        <v>1.1338330098965477E-3</v>
      </c>
      <c r="V345" s="51">
        <f>SUM($U$5:U345)</f>
        <v>0.67136188473579328</v>
      </c>
      <c r="AB345" s="37"/>
    </row>
    <row r="346" spans="9:28" x14ac:dyDescent="0.3">
      <c r="I346">
        <v>342</v>
      </c>
      <c r="J346" s="23">
        <f>$C$5*Data!C344/Data!C343</f>
        <v>11054.9626519543</v>
      </c>
      <c r="K346" s="23">
        <f>$C$6*Data!F344/Data!F343</f>
        <v>9845.4472429140369</v>
      </c>
      <c r="L346" s="23">
        <f>$C$7*Data!I344/Data!I343</f>
        <v>6245.1317336190668</v>
      </c>
      <c r="M346" s="23">
        <f>$C$8*Data!L344/Data!L343</f>
        <v>111.35641508519255</v>
      </c>
      <c r="N346" s="23">
        <f t="shared" si="28"/>
        <v>10069.907869799681</v>
      </c>
      <c r="O346" s="23">
        <f t="shared" si="29"/>
        <v>69.907869799681066</v>
      </c>
      <c r="P346" s="23">
        <f t="shared" si="30"/>
        <v>-69.907869799681066</v>
      </c>
      <c r="Q346" s="48">
        <f t="shared" si="31"/>
        <v>2.4658779724729212E-3</v>
      </c>
      <c r="S346">
        <v>48</v>
      </c>
      <c r="T346" s="50">
        <v>-38.648464319790946</v>
      </c>
      <c r="U346" s="51">
        <f t="shared" si="32"/>
        <v>5.6488145918672211E-4</v>
      </c>
      <c r="V346" s="51">
        <f>SUM($U$5:U346)</f>
        <v>0.67192676619498004</v>
      </c>
      <c r="AB346" s="37"/>
    </row>
    <row r="347" spans="9:28" x14ac:dyDescent="0.3">
      <c r="I347">
        <v>343</v>
      </c>
      <c r="J347" s="23">
        <f>$C$5*Data!C345/Data!C344</f>
        <v>11126.462994618745</v>
      </c>
      <c r="K347" s="23">
        <f>$C$6*Data!F345/Data!F344</f>
        <v>9718.4546352549678</v>
      </c>
      <c r="L347" s="23">
        <f>$C$7*Data!I345/Data!I344</f>
        <v>6227.370193472334</v>
      </c>
      <c r="M347" s="23">
        <f>$C$8*Data!L345/Data!L344</f>
        <v>115.31304673442443</v>
      </c>
      <c r="N347" s="23">
        <f t="shared" si="28"/>
        <v>10123.445054474132</v>
      </c>
      <c r="O347" s="23">
        <f t="shared" si="29"/>
        <v>123.44505447413212</v>
      </c>
      <c r="P347" s="23">
        <f t="shared" si="30"/>
        <v>-123.44505447413212</v>
      </c>
      <c r="Q347" s="48">
        <f t="shared" si="31"/>
        <v>2.4782693190682627E-3</v>
      </c>
      <c r="S347">
        <v>77</v>
      </c>
      <c r="T347" s="50">
        <v>-39.16113813710399</v>
      </c>
      <c r="U347" s="51">
        <f t="shared" si="32"/>
        <v>6.5326287625065314E-4</v>
      </c>
      <c r="V347" s="51">
        <f>SUM($U$5:U347)</f>
        <v>0.67258002907123071</v>
      </c>
      <c r="AB347" s="37"/>
    </row>
    <row r="348" spans="9:28" x14ac:dyDescent="0.3">
      <c r="I348">
        <v>344</v>
      </c>
      <c r="J348" s="23">
        <f>$C$5*Data!C346/Data!C345</f>
        <v>11008.180769721532</v>
      </c>
      <c r="K348" s="23">
        <f>$C$6*Data!F346/Data!F345</f>
        <v>9574.1022136230022</v>
      </c>
      <c r="L348" s="23">
        <f>$C$7*Data!I346/Data!I345</f>
        <v>6207.4247777778337</v>
      </c>
      <c r="M348" s="23">
        <f>$C$8*Data!L346/Data!L345</f>
        <v>113.36626680904142</v>
      </c>
      <c r="N348" s="23">
        <f t="shared" si="28"/>
        <v>9997.6814084307189</v>
      </c>
      <c r="O348" s="23">
        <f t="shared" si="29"/>
        <v>-2.318591569281125</v>
      </c>
      <c r="P348" s="23">
        <f t="shared" si="30"/>
        <v>2.318591569281125</v>
      </c>
      <c r="Q348" s="48">
        <f t="shared" si="31"/>
        <v>2.490722933736947E-3</v>
      </c>
      <c r="S348">
        <v>354</v>
      </c>
      <c r="T348" s="50">
        <v>-39.368034350552989</v>
      </c>
      <c r="U348" s="51">
        <f t="shared" si="32"/>
        <v>2.6187534481597889E-3</v>
      </c>
      <c r="V348" s="51">
        <f>SUM($U$5:U348)</f>
        <v>0.67519878251939047</v>
      </c>
      <c r="AB348" s="37"/>
    </row>
    <row r="349" spans="9:28" x14ac:dyDescent="0.3">
      <c r="I349">
        <v>345</v>
      </c>
      <c r="J349" s="23">
        <f>$C$5*Data!C347/Data!C346</f>
        <v>11002.971038508485</v>
      </c>
      <c r="K349" s="23">
        <f>$C$6*Data!F347/Data!F346</f>
        <v>9613.1446889804774</v>
      </c>
      <c r="L349" s="23">
        <f>$C$7*Data!I347/Data!I346</f>
        <v>6192.8532248183901</v>
      </c>
      <c r="M349" s="23">
        <f>$C$8*Data!L347/Data!L346</f>
        <v>111.30100024580251</v>
      </c>
      <c r="N349" s="23">
        <f t="shared" si="28"/>
        <v>9969.0305325569225</v>
      </c>
      <c r="O349" s="23">
        <f t="shared" si="29"/>
        <v>-30.969467443077519</v>
      </c>
      <c r="P349" s="23">
        <f t="shared" si="30"/>
        <v>30.969467443077519</v>
      </c>
      <c r="Q349" s="48">
        <f t="shared" si="31"/>
        <v>2.503239129383866E-3</v>
      </c>
      <c r="S349">
        <v>388</v>
      </c>
      <c r="T349" s="50">
        <v>-39.490674680917436</v>
      </c>
      <c r="U349" s="51">
        <f t="shared" si="32"/>
        <v>3.1053450716822533E-3</v>
      </c>
      <c r="V349" s="51">
        <f>SUM($U$5:U349)</f>
        <v>0.67830412759107273</v>
      </c>
      <c r="AB349" s="37"/>
    </row>
    <row r="350" spans="9:28" x14ac:dyDescent="0.3">
      <c r="I350">
        <v>346</v>
      </c>
      <c r="J350" s="23">
        <f>$C$5*Data!C348/Data!C347</f>
        <v>10917.39013812102</v>
      </c>
      <c r="K350" s="23">
        <f>$C$6*Data!F348/Data!F347</f>
        <v>9489.7958407317474</v>
      </c>
      <c r="L350" s="23">
        <f>$C$7*Data!I348/Data!I347</f>
        <v>6195.8788932616062</v>
      </c>
      <c r="M350" s="23">
        <f>$C$8*Data!L348/Data!L347</f>
        <v>114.06166447872965</v>
      </c>
      <c r="N350" s="23">
        <f t="shared" si="28"/>
        <v>9948.8518981269262</v>
      </c>
      <c r="O350" s="23">
        <f t="shared" si="29"/>
        <v>-51.148101873073756</v>
      </c>
      <c r="P350" s="23">
        <f t="shared" si="30"/>
        <v>51.148101873073756</v>
      </c>
      <c r="Q350" s="48">
        <f t="shared" si="31"/>
        <v>2.515818220486298E-3</v>
      </c>
      <c r="S350">
        <v>51</v>
      </c>
      <c r="T350" s="50">
        <v>-39.990846268887253</v>
      </c>
      <c r="U350" s="51">
        <f t="shared" si="32"/>
        <v>5.734401247283078E-4</v>
      </c>
      <c r="V350" s="51">
        <f>SUM($U$5:U350)</f>
        <v>0.67887756771580099</v>
      </c>
      <c r="AB350" s="37"/>
    </row>
    <row r="351" spans="9:28" x14ac:dyDescent="0.3">
      <c r="I351">
        <v>347</v>
      </c>
      <c r="J351" s="23">
        <f>$C$5*Data!C349/Data!C348</f>
        <v>11008.459506279436</v>
      </c>
      <c r="K351" s="23">
        <f>$C$6*Data!F349/Data!F348</f>
        <v>9612.1596851016529</v>
      </c>
      <c r="L351" s="23">
        <f>$C$7*Data!I349/Data!I348</f>
        <v>6210.682369373746</v>
      </c>
      <c r="M351" s="23">
        <f>$C$8*Data!L349/Data!L348</f>
        <v>112.40754794775332</v>
      </c>
      <c r="N351" s="23">
        <f t="shared" si="28"/>
        <v>9993.2058058249968</v>
      </c>
      <c r="O351" s="23">
        <f t="shared" si="29"/>
        <v>-6.7941941750032129</v>
      </c>
      <c r="P351" s="23">
        <f t="shared" si="30"/>
        <v>6.7941941750032129</v>
      </c>
      <c r="Q351" s="48">
        <f t="shared" si="31"/>
        <v>2.5284605231018068E-3</v>
      </c>
      <c r="S351">
        <v>196</v>
      </c>
      <c r="T351" s="50">
        <v>-40.625824018541607</v>
      </c>
      <c r="U351" s="51">
        <f t="shared" si="32"/>
        <v>1.1861547981773543E-3</v>
      </c>
      <c r="V351" s="51">
        <f>SUM($U$5:U351)</f>
        <v>0.6800637225139784</v>
      </c>
      <c r="AB351" s="37"/>
    </row>
    <row r="352" spans="9:28" x14ac:dyDescent="0.3">
      <c r="I352">
        <v>348</v>
      </c>
      <c r="J352" s="23">
        <f>$C$5*Data!C350/Data!C349</f>
        <v>11064.199271948308</v>
      </c>
      <c r="K352" s="23">
        <f>$C$6*Data!F350/Data!F349</f>
        <v>9735.7704437767879</v>
      </c>
      <c r="L352" s="23">
        <f>$C$7*Data!I350/Data!I349</f>
        <v>6263.8540877229971</v>
      </c>
      <c r="M352" s="23">
        <f>$C$8*Data!L350/Data!L349</f>
        <v>111.694189429598</v>
      </c>
      <c r="N352" s="23">
        <f t="shared" si="28"/>
        <v>10047.992830127421</v>
      </c>
      <c r="O352" s="23">
        <f t="shared" si="29"/>
        <v>47.992830127421257</v>
      </c>
      <c r="P352" s="23">
        <f t="shared" si="30"/>
        <v>-47.992830127421257</v>
      </c>
      <c r="Q352" s="48">
        <f t="shared" si="31"/>
        <v>2.5411663548761875E-3</v>
      </c>
      <c r="S352">
        <v>29</v>
      </c>
      <c r="T352" s="50">
        <v>-40.800685004453044</v>
      </c>
      <c r="U352" s="51">
        <f t="shared" si="32"/>
        <v>5.1356551567148501E-4</v>
      </c>
      <c r="V352" s="51">
        <f>SUM($U$5:U352)</f>
        <v>0.6805772880296499</v>
      </c>
      <c r="AB352" s="37"/>
    </row>
    <row r="353" spans="9:28" x14ac:dyDescent="0.3">
      <c r="I353">
        <v>349</v>
      </c>
      <c r="J353" s="23">
        <f>$C$5*Data!C351/Data!C350</f>
        <v>11085.518988721427</v>
      </c>
      <c r="K353" s="23">
        <f>$C$6*Data!F351/Data!F350</f>
        <v>9573.4678632375944</v>
      </c>
      <c r="L353" s="23">
        <f>$C$7*Data!I351/Data!I350</f>
        <v>6265.5526980958211</v>
      </c>
      <c r="M353" s="23">
        <f>$C$8*Data!L351/Data!L350</f>
        <v>114.01868838245305</v>
      </c>
      <c r="N353" s="23">
        <f t="shared" si="28"/>
        <v>10046.490236621385</v>
      </c>
      <c r="O353" s="23">
        <f t="shared" si="29"/>
        <v>46.490236621384611</v>
      </c>
      <c r="P353" s="23">
        <f t="shared" si="30"/>
        <v>-46.490236621384611</v>
      </c>
      <c r="Q353" s="48">
        <f t="shared" si="31"/>
        <v>2.553936035051445E-3</v>
      </c>
      <c r="S353">
        <v>79</v>
      </c>
      <c r="T353" s="50">
        <v>-41.554448926759505</v>
      </c>
      <c r="U353" s="51">
        <f t="shared" si="32"/>
        <v>6.5984482841408378E-4</v>
      </c>
      <c r="V353" s="51">
        <f>SUM($U$5:U353)</f>
        <v>0.68123713285806398</v>
      </c>
      <c r="AB353" s="37"/>
    </row>
    <row r="354" spans="9:28" x14ac:dyDescent="0.3">
      <c r="I354">
        <v>350</v>
      </c>
      <c r="J354" s="23">
        <f>$C$5*Data!C352/Data!C351</f>
        <v>11106.624560961613</v>
      </c>
      <c r="K354" s="23">
        <f>$C$6*Data!F352/Data!F351</f>
        <v>9711.8784413187022</v>
      </c>
      <c r="L354" s="23">
        <f>$C$7*Data!I352/Data!I351</f>
        <v>6156.1301948392293</v>
      </c>
      <c r="M354" s="23">
        <f>$C$8*Data!L352/Data!L351</f>
        <v>112.6826845915823</v>
      </c>
      <c r="N354" s="23">
        <f t="shared" si="28"/>
        <v>10056.072363333433</v>
      </c>
      <c r="O354" s="23">
        <f t="shared" si="29"/>
        <v>56.072363333432804</v>
      </c>
      <c r="P354" s="23">
        <f t="shared" si="30"/>
        <v>-56.072363333432804</v>
      </c>
      <c r="Q354" s="48">
        <f t="shared" si="31"/>
        <v>2.5667698844738145E-3</v>
      </c>
      <c r="S354">
        <v>124</v>
      </c>
      <c r="T354" s="50">
        <v>-41.630820383274113</v>
      </c>
      <c r="U354" s="51">
        <f t="shared" si="32"/>
        <v>8.2680517013423798E-4</v>
      </c>
      <c r="V354" s="51">
        <f>SUM($U$5:U354)</f>
        <v>0.6820639380281982</v>
      </c>
      <c r="AB354" s="37"/>
    </row>
    <row r="355" spans="9:28" x14ac:dyDescent="0.3">
      <c r="I355">
        <v>351</v>
      </c>
      <c r="J355" s="23">
        <f>$C$5*Data!C353/Data!C352</f>
        <v>11054.33398055633</v>
      </c>
      <c r="K355" s="23">
        <f>$C$6*Data!F353/Data!F352</f>
        <v>9593.1096425586729</v>
      </c>
      <c r="L355" s="23">
        <f>$C$7*Data!I353/Data!I352</f>
        <v>6246.3663031253918</v>
      </c>
      <c r="M355" s="23">
        <f>$C$8*Data!L353/Data!L352</f>
        <v>115.35955438545017</v>
      </c>
      <c r="N355" s="23">
        <f t="shared" si="28"/>
        <v>10061.986227575675</v>
      </c>
      <c r="O355" s="23">
        <f t="shared" si="29"/>
        <v>61.986227575675002</v>
      </c>
      <c r="P355" s="23">
        <f t="shared" si="30"/>
        <v>-61.986227575675002</v>
      </c>
      <c r="Q355" s="48">
        <f t="shared" si="31"/>
        <v>2.5796682256018231E-3</v>
      </c>
      <c r="S355">
        <v>209</v>
      </c>
      <c r="T355" s="50">
        <v>-41.854274050367167</v>
      </c>
      <c r="U355" s="51">
        <f t="shared" si="32"/>
        <v>1.2660221973160208E-3</v>
      </c>
      <c r="V355" s="51">
        <f>SUM($U$5:U355)</f>
        <v>0.68332996022551418</v>
      </c>
      <c r="AB355" s="37"/>
    </row>
    <row r="356" spans="9:28" x14ac:dyDescent="0.3">
      <c r="I356">
        <v>352</v>
      </c>
      <c r="J356" s="23">
        <f>$C$5*Data!C354/Data!C353</f>
        <v>11106.625415869379</v>
      </c>
      <c r="K356" s="23">
        <f>$C$6*Data!F354/Data!F353</f>
        <v>9580.1460627057913</v>
      </c>
      <c r="L356" s="23">
        <f>$C$7*Data!I354/Data!I353</f>
        <v>6203.2606508347235</v>
      </c>
      <c r="M356" s="23">
        <f>$C$8*Data!L354/Data!L353</f>
        <v>112.07580795553083</v>
      </c>
      <c r="N356" s="23">
        <f t="shared" si="28"/>
        <v>10011.748956064723</v>
      </c>
      <c r="O356" s="23">
        <f t="shared" si="29"/>
        <v>11.748956064722734</v>
      </c>
      <c r="P356" s="23">
        <f t="shared" si="30"/>
        <v>-11.748956064722734</v>
      </c>
      <c r="Q356" s="48">
        <f t="shared" si="31"/>
        <v>2.5926313825143949E-3</v>
      </c>
      <c r="S356">
        <v>60</v>
      </c>
      <c r="T356" s="50">
        <v>-42.253586212715163</v>
      </c>
      <c r="U356" s="51">
        <f t="shared" si="32"/>
        <v>5.9990205742551468E-4</v>
      </c>
      <c r="V356" s="51">
        <f>SUM($U$5:U356)</f>
        <v>0.68392986228293973</v>
      </c>
      <c r="AB356" s="37"/>
    </row>
    <row r="357" spans="9:28" x14ac:dyDescent="0.3">
      <c r="I357">
        <v>353</v>
      </c>
      <c r="J357" s="23">
        <f>$C$5*Data!C355/Data!C354</f>
        <v>11002.155245145625</v>
      </c>
      <c r="K357" s="23">
        <f>$C$6*Data!F355/Data!F354</f>
        <v>9592.917630788912</v>
      </c>
      <c r="L357" s="23">
        <f>$C$7*Data!I355/Data!I354</f>
        <v>6170.8145537149421</v>
      </c>
      <c r="M357" s="23">
        <f>$C$8*Data!L355/Data!L354</f>
        <v>112.24084451708964</v>
      </c>
      <c r="N357" s="23">
        <f t="shared" si="28"/>
        <v>9975.5196926592507</v>
      </c>
      <c r="O357" s="23">
        <f t="shared" si="29"/>
        <v>-24.480307340749278</v>
      </c>
      <c r="P357" s="23">
        <f t="shared" si="30"/>
        <v>24.480307340749278</v>
      </c>
      <c r="Q357" s="48">
        <f t="shared" si="31"/>
        <v>2.6056596809189898E-3</v>
      </c>
      <c r="S357">
        <v>479</v>
      </c>
      <c r="T357" s="50">
        <v>-42.643079682384268</v>
      </c>
      <c r="U357" s="51">
        <f t="shared" si="32"/>
        <v>4.900151629090777E-3</v>
      </c>
      <c r="V357" s="51">
        <f>SUM($U$5:U357)</f>
        <v>0.68883001391203047</v>
      </c>
      <c r="AB357" s="37"/>
    </row>
    <row r="358" spans="9:28" x14ac:dyDescent="0.3">
      <c r="I358">
        <v>354</v>
      </c>
      <c r="J358" s="23">
        <f>$C$5*Data!C356/Data!C355</f>
        <v>10968.76344119042</v>
      </c>
      <c r="K358" s="23">
        <f>$C$6*Data!F356/Data!F355</f>
        <v>9452.0572149997461</v>
      </c>
      <c r="L358" s="23">
        <f>$C$7*Data!I356/Data!I355</f>
        <v>6152.4041510169864</v>
      </c>
      <c r="M358" s="23">
        <f>$C$8*Data!L356/Data!L355</f>
        <v>112.31052714739373</v>
      </c>
      <c r="N358" s="23">
        <f t="shared" si="28"/>
        <v>9917.6482104171555</v>
      </c>
      <c r="O358" s="23">
        <f t="shared" si="29"/>
        <v>-82.351789582844503</v>
      </c>
      <c r="P358" s="23">
        <f t="shared" si="30"/>
        <v>82.351789582844503</v>
      </c>
      <c r="Q358" s="48">
        <f t="shared" si="31"/>
        <v>2.6187534481597889E-3</v>
      </c>
      <c r="S358">
        <v>54</v>
      </c>
      <c r="T358" s="50">
        <v>-42.755986519845464</v>
      </c>
      <c r="U358" s="51">
        <f t="shared" si="32"/>
        <v>5.8212846483198313E-4</v>
      </c>
      <c r="V358" s="51">
        <f>SUM($U$5:U358)</f>
        <v>0.68941214237686244</v>
      </c>
      <c r="AB358" s="37"/>
    </row>
    <row r="359" spans="9:28" x14ac:dyDescent="0.3">
      <c r="I359">
        <v>355</v>
      </c>
      <c r="J359" s="23">
        <f>$C$5*Data!C357/Data!C356</f>
        <v>11035.689406397203</v>
      </c>
      <c r="K359" s="23">
        <f>$C$6*Data!F357/Data!F356</f>
        <v>9526.9089083087729</v>
      </c>
      <c r="L359" s="23">
        <f>$C$7*Data!I357/Data!I356</f>
        <v>6144.7845460309654</v>
      </c>
      <c r="M359" s="23">
        <f>$C$8*Data!L357/Data!L356</f>
        <v>113.12366077232024</v>
      </c>
      <c r="N359" s="23">
        <f t="shared" si="28"/>
        <v>9978.5131644265348</v>
      </c>
      <c r="O359" s="23">
        <f t="shared" si="29"/>
        <v>-21.486835573465214</v>
      </c>
      <c r="P359" s="23">
        <f t="shared" si="30"/>
        <v>21.486835573465214</v>
      </c>
      <c r="Q359" s="48">
        <f t="shared" si="31"/>
        <v>2.6319130132259187E-3</v>
      </c>
      <c r="S359">
        <v>251</v>
      </c>
      <c r="T359" s="50">
        <v>-42.876090784016924</v>
      </c>
      <c r="U359" s="51">
        <f t="shared" si="32"/>
        <v>1.5626867470240799E-3</v>
      </c>
      <c r="V359" s="51">
        <f>SUM($U$5:U359)</f>
        <v>0.69097482912388652</v>
      </c>
      <c r="AB359" s="37"/>
    </row>
    <row r="360" spans="9:28" x14ac:dyDescent="0.3">
      <c r="I360">
        <v>356</v>
      </c>
      <c r="J360" s="23">
        <f>$C$5*Data!C358/Data!C357</f>
        <v>11071.777089470168</v>
      </c>
      <c r="K360" s="23">
        <f>$C$6*Data!F358/Data!F357</f>
        <v>9630.084773743225</v>
      </c>
      <c r="L360" s="23">
        <f>$C$7*Data!I358/Data!I357</f>
        <v>6166.7163836196141</v>
      </c>
      <c r="M360" s="23">
        <f>$C$8*Data!L358/Data!L357</f>
        <v>112.29304729207342</v>
      </c>
      <c r="N360" s="23">
        <f t="shared" si="28"/>
        <v>10012.665358205828</v>
      </c>
      <c r="O360" s="23">
        <f t="shared" si="29"/>
        <v>12.665358205827943</v>
      </c>
      <c r="P360" s="23">
        <f t="shared" si="30"/>
        <v>-12.665358205827943</v>
      </c>
      <c r="Q360" s="48">
        <f t="shared" si="31"/>
        <v>2.6451387067597172E-3</v>
      </c>
      <c r="S360">
        <v>174</v>
      </c>
      <c r="T360" s="50">
        <v>-43.574626298803196</v>
      </c>
      <c r="U360" s="51">
        <f t="shared" si="32"/>
        <v>1.0623048062442077E-3</v>
      </c>
      <c r="V360" s="51">
        <f>SUM($U$5:U360)</f>
        <v>0.69203713393013078</v>
      </c>
      <c r="AB360" s="37"/>
    </row>
    <row r="361" spans="9:28" x14ac:dyDescent="0.3">
      <c r="I361">
        <v>357</v>
      </c>
      <c r="J361" s="23">
        <f>$C$5*Data!C359/Data!C358</f>
        <v>11047.247907147465</v>
      </c>
      <c r="K361" s="23">
        <f>$C$6*Data!F359/Data!F358</f>
        <v>9677.1992218339801</v>
      </c>
      <c r="L361" s="23">
        <f>$C$7*Data!I359/Data!I358</f>
        <v>6203.4119669161209</v>
      </c>
      <c r="M361" s="23">
        <f>$C$8*Data!L359/Data!L358</f>
        <v>113.06753990024599</v>
      </c>
      <c r="N361" s="23">
        <f t="shared" si="28"/>
        <v>10038.134639167014</v>
      </c>
      <c r="O361" s="23">
        <f t="shared" si="29"/>
        <v>38.134639167014029</v>
      </c>
      <c r="P361" s="23">
        <f t="shared" si="30"/>
        <v>-38.134639167014029</v>
      </c>
      <c r="Q361" s="48">
        <f t="shared" si="31"/>
        <v>2.6584308610650424E-3</v>
      </c>
      <c r="S361">
        <v>210</v>
      </c>
      <c r="T361" s="50">
        <v>-43.592971778736683</v>
      </c>
      <c r="U361" s="51">
        <f t="shared" si="32"/>
        <v>1.2723841179055487E-3</v>
      </c>
      <c r="V361" s="51">
        <f>SUM($U$5:U361)</f>
        <v>0.69330951804803631</v>
      </c>
      <c r="AB361" s="37"/>
    </row>
    <row r="362" spans="9:28" x14ac:dyDescent="0.3">
      <c r="I362">
        <v>358</v>
      </c>
      <c r="J362" s="23">
        <f>$C$5*Data!C360/Data!C359</f>
        <v>11072.983843203221</v>
      </c>
      <c r="K362" s="23">
        <f>$C$6*Data!F360/Data!F359</f>
        <v>9613.3429304185611</v>
      </c>
      <c r="L362" s="23">
        <f>$C$7*Data!I360/Data!I359</f>
        <v>6197.6236310082568</v>
      </c>
      <c r="M362" s="23">
        <f>$C$8*Data!L360/Data!L359</f>
        <v>112.14544831087773</v>
      </c>
      <c r="N362" s="23">
        <f t="shared" si="28"/>
        <v>10010.239649408226</v>
      </c>
      <c r="O362" s="23">
        <f t="shared" si="29"/>
        <v>10.239649408225887</v>
      </c>
      <c r="P362" s="23">
        <f t="shared" si="30"/>
        <v>-10.239649408225887</v>
      </c>
      <c r="Q362" s="48">
        <f t="shared" si="31"/>
        <v>2.6717898101156208E-3</v>
      </c>
      <c r="S362">
        <v>176</v>
      </c>
      <c r="T362" s="50">
        <v>-44.188821497291428</v>
      </c>
      <c r="U362" s="51">
        <f t="shared" si="32"/>
        <v>1.0730080616592589E-3</v>
      </c>
      <c r="V362" s="51">
        <f>SUM($U$5:U362)</f>
        <v>0.69438252610969553</v>
      </c>
      <c r="AB362" s="37"/>
    </row>
    <row r="363" spans="9:28" x14ac:dyDescent="0.3">
      <c r="I363">
        <v>359</v>
      </c>
      <c r="J363" s="23">
        <f>$C$5*Data!C361/Data!C360</f>
        <v>11023.998439695455</v>
      </c>
      <c r="K363" s="23">
        <f>$C$6*Data!F361/Data!F360</f>
        <v>9627.9721119111873</v>
      </c>
      <c r="L363" s="23">
        <f>$C$7*Data!I361/Data!I360</f>
        <v>6241.4672812443168</v>
      </c>
      <c r="M363" s="23">
        <f>$C$8*Data!L361/Data!L360</f>
        <v>113.94718996153286</v>
      </c>
      <c r="N363" s="23">
        <f t="shared" si="28"/>
        <v>10036.044709850335</v>
      </c>
      <c r="O363" s="23">
        <f t="shared" si="29"/>
        <v>36.044709850335494</v>
      </c>
      <c r="P363" s="23">
        <f t="shared" si="30"/>
        <v>-36.044709850335494</v>
      </c>
      <c r="Q363" s="48">
        <f t="shared" si="31"/>
        <v>2.6852158895634376E-3</v>
      </c>
      <c r="S363">
        <v>26</v>
      </c>
      <c r="T363" s="50">
        <v>-44.431147138187953</v>
      </c>
      <c r="U363" s="51">
        <f t="shared" si="32"/>
        <v>5.0590048615439863E-4</v>
      </c>
      <c r="V363" s="51">
        <f>SUM($U$5:U363)</f>
        <v>0.69488842659584993</v>
      </c>
      <c r="AB363" s="37"/>
    </row>
    <row r="364" spans="9:28" x14ac:dyDescent="0.3">
      <c r="I364">
        <v>360</v>
      </c>
      <c r="J364" s="23">
        <f>$C$5*Data!C362/Data!C361</f>
        <v>10984.543348046882</v>
      </c>
      <c r="K364" s="23">
        <f>$C$6*Data!F362/Data!F361</f>
        <v>9621.6628378507248</v>
      </c>
      <c r="L364" s="23">
        <f>$C$7*Data!I362/Data!I361</f>
        <v>6215.0579592558743</v>
      </c>
      <c r="M364" s="23">
        <f>$C$8*Data!L362/Data!L361</f>
        <v>113.62426885161497</v>
      </c>
      <c r="N364" s="23">
        <f t="shared" si="28"/>
        <v>10009.770725055621</v>
      </c>
      <c r="O364" s="23">
        <f t="shared" si="29"/>
        <v>9.7707250556213694</v>
      </c>
      <c r="P364" s="23">
        <f t="shared" si="30"/>
        <v>-9.7707250556213694</v>
      </c>
      <c r="Q364" s="48">
        <f t="shared" si="31"/>
        <v>2.6987094367471732E-3</v>
      </c>
      <c r="S364">
        <v>108</v>
      </c>
      <c r="T364" s="50">
        <v>-44.488959818489093</v>
      </c>
      <c r="U364" s="51">
        <f t="shared" si="32"/>
        <v>7.6308422497970211E-4</v>
      </c>
      <c r="V364" s="51">
        <f>SUM($U$5:U364)</f>
        <v>0.69565151082082965</v>
      </c>
      <c r="AB364" s="37"/>
    </row>
    <row r="365" spans="9:28" x14ac:dyDescent="0.3">
      <c r="I365">
        <v>361</v>
      </c>
      <c r="J365" s="23">
        <f>$C$5*Data!C363/Data!C362</f>
        <v>10950.072242189352</v>
      </c>
      <c r="K365" s="23">
        <f>$C$6*Data!F363/Data!F362</f>
        <v>9591.0265204020088</v>
      </c>
      <c r="L365" s="23">
        <f>$C$7*Data!I363/Data!I362</f>
        <v>6125.4631663819</v>
      </c>
      <c r="M365" s="23">
        <f>$C$8*Data!L363/Data!L362</f>
        <v>110.86707567519414</v>
      </c>
      <c r="N365" s="23">
        <f t="shared" si="28"/>
        <v>9924.3602457705838</v>
      </c>
      <c r="O365" s="23">
        <f t="shared" si="29"/>
        <v>-75.639754229416212</v>
      </c>
      <c r="P365" s="23">
        <f t="shared" si="30"/>
        <v>75.639754229416212</v>
      </c>
      <c r="Q365" s="48">
        <f t="shared" si="31"/>
        <v>2.7122707907006765E-3</v>
      </c>
      <c r="S365">
        <v>212</v>
      </c>
      <c r="T365" s="50">
        <v>-45.074079105233977</v>
      </c>
      <c r="U365" s="51">
        <f t="shared" si="32"/>
        <v>1.2852040280857035E-3</v>
      </c>
      <c r="V365" s="51">
        <f>SUM($U$5:U365)</f>
        <v>0.6969367148489154</v>
      </c>
      <c r="AB365" s="37"/>
    </row>
    <row r="366" spans="9:28" x14ac:dyDescent="0.3">
      <c r="I366">
        <v>362</v>
      </c>
      <c r="J366" s="23">
        <f>$C$5*Data!C364/Data!C363</f>
        <v>11061.540992474454</v>
      </c>
      <c r="K366" s="23">
        <f>$C$6*Data!F364/Data!F363</f>
        <v>9555.7451845414944</v>
      </c>
      <c r="L366" s="23">
        <f>$C$7*Data!I364/Data!I363</f>
        <v>6152.8542023866385</v>
      </c>
      <c r="M366" s="23">
        <f>$C$8*Data!L364/Data!L363</f>
        <v>112.93570610181371</v>
      </c>
      <c r="N366" s="23">
        <f t="shared" si="28"/>
        <v>9994.875956270902</v>
      </c>
      <c r="O366" s="23">
        <f t="shared" si="29"/>
        <v>-5.1240437290980481</v>
      </c>
      <c r="P366" s="23">
        <f t="shared" si="30"/>
        <v>5.1240437290980481</v>
      </c>
      <c r="Q366" s="48">
        <f t="shared" si="31"/>
        <v>2.7259002921614841E-3</v>
      </c>
      <c r="S366">
        <v>156</v>
      </c>
      <c r="T366" s="50">
        <v>-45.905282390114735</v>
      </c>
      <c r="U366" s="51">
        <f t="shared" si="32"/>
        <v>9.7065433799611888E-4</v>
      </c>
      <c r="V366" s="51">
        <f>SUM($U$5:U366)</f>
        <v>0.69790736918691154</v>
      </c>
      <c r="AB366" s="37"/>
    </row>
    <row r="367" spans="9:28" x14ac:dyDescent="0.3">
      <c r="I367">
        <v>363</v>
      </c>
      <c r="J367" s="23">
        <f>$C$5*Data!C365/Data!C364</f>
        <v>10953.979661476404</v>
      </c>
      <c r="K367" s="23">
        <f>$C$6*Data!F365/Data!F364</f>
        <v>9702.3476380279299</v>
      </c>
      <c r="L367" s="23">
        <f>$C$7*Data!I365/Data!I364</f>
        <v>6246.1003100417938</v>
      </c>
      <c r="M367" s="23">
        <f>$C$8*Data!L365/Data!L364</f>
        <v>111.77281908654903</v>
      </c>
      <c r="N367" s="23">
        <f t="shared" si="28"/>
        <v>9996.0789918032278</v>
      </c>
      <c r="O367" s="23">
        <f t="shared" si="29"/>
        <v>-3.9210081967721635</v>
      </c>
      <c r="P367" s="23">
        <f t="shared" si="30"/>
        <v>3.9210081967721635</v>
      </c>
      <c r="Q367" s="48">
        <f t="shared" si="31"/>
        <v>2.7395982835793807E-3</v>
      </c>
      <c r="S367">
        <v>66</v>
      </c>
      <c r="T367" s="50">
        <v>-46.517793514769437</v>
      </c>
      <c r="U367" s="51">
        <f t="shared" si="32"/>
        <v>6.1821831476190818E-4</v>
      </c>
      <c r="V367" s="51">
        <f>SUM($U$5:U367)</f>
        <v>0.69852558750167348</v>
      </c>
      <c r="AB367" s="37"/>
    </row>
    <row r="368" spans="9:28" x14ac:dyDescent="0.3">
      <c r="I368">
        <v>364</v>
      </c>
      <c r="J368" s="23">
        <f>$C$5*Data!C366/Data!C365</f>
        <v>11053.238045542837</v>
      </c>
      <c r="K368" s="23">
        <f>$C$6*Data!F366/Data!F365</f>
        <v>9468.3615569913309</v>
      </c>
      <c r="L368" s="23">
        <f>$C$7*Data!I366/Data!I365</f>
        <v>6183.8031872684687</v>
      </c>
      <c r="M368" s="23">
        <f>$C$8*Data!L366/Data!L365</f>
        <v>115.89362427304891</v>
      </c>
      <c r="N368" s="23">
        <f t="shared" si="28"/>
        <v>10021.981601183754</v>
      </c>
      <c r="O368" s="23">
        <f t="shared" si="29"/>
        <v>21.98160118375381</v>
      </c>
      <c r="P368" s="23">
        <f t="shared" si="30"/>
        <v>-21.98160118375381</v>
      </c>
      <c r="Q368" s="48">
        <f t="shared" si="31"/>
        <v>2.7533651091250061E-3</v>
      </c>
      <c r="S368">
        <v>230</v>
      </c>
      <c r="T368" s="50">
        <v>-47.126729810268444</v>
      </c>
      <c r="U368" s="51">
        <f t="shared" si="32"/>
        <v>1.4065546947005121E-3</v>
      </c>
      <c r="V368" s="51">
        <f>SUM($U$5:U368)</f>
        <v>0.69993214219637401</v>
      </c>
      <c r="AB368" s="37"/>
    </row>
    <row r="369" spans="9:28" x14ac:dyDescent="0.3">
      <c r="I369">
        <v>365</v>
      </c>
      <c r="J369" s="23">
        <f>$C$5*Data!C367/Data!C366</f>
        <v>11097.533367078988</v>
      </c>
      <c r="K369" s="23">
        <f>$C$6*Data!F367/Data!F366</f>
        <v>9632.1179447758022</v>
      </c>
      <c r="L369" s="23">
        <f>$C$7*Data!I367/Data!I366</f>
        <v>6299.1690975498077</v>
      </c>
      <c r="M369" s="23">
        <f>$C$8*Data!L367/Data!L366</f>
        <v>114.36397216714367</v>
      </c>
      <c r="N369" s="23">
        <f t="shared" si="28"/>
        <v>10080.721208106334</v>
      </c>
      <c r="O369" s="23">
        <f t="shared" si="29"/>
        <v>80.721208106333506</v>
      </c>
      <c r="P369" s="23">
        <f t="shared" si="30"/>
        <v>-80.721208106333506</v>
      </c>
      <c r="Q369" s="48">
        <f t="shared" si="31"/>
        <v>2.7672011146984989E-3</v>
      </c>
      <c r="S369">
        <v>301</v>
      </c>
      <c r="T369" s="50">
        <v>-47.275092825513639</v>
      </c>
      <c r="U369" s="51">
        <f t="shared" si="32"/>
        <v>2.0077881730568826E-3</v>
      </c>
      <c r="V369" s="51">
        <f>SUM($U$5:U369)</f>
        <v>0.70193993036943092</v>
      </c>
      <c r="AB369" s="37"/>
    </row>
    <row r="370" spans="9:28" x14ac:dyDescent="0.3">
      <c r="I370">
        <v>366</v>
      </c>
      <c r="J370" s="23">
        <f>$C$5*Data!C368/Data!C367</f>
        <v>11073.733048421644</v>
      </c>
      <c r="K370" s="23">
        <f>$C$6*Data!F368/Data!F367</f>
        <v>9619.3091822724546</v>
      </c>
      <c r="L370" s="23">
        <f>$C$7*Data!I368/Data!I367</f>
        <v>6181.4223306669701</v>
      </c>
      <c r="M370" s="23">
        <f>$C$8*Data!L368/Data!L367</f>
        <v>114.67941643413025</v>
      </c>
      <c r="N370" s="23">
        <f t="shared" si="28"/>
        <v>10054.682773939592</v>
      </c>
      <c r="O370" s="23">
        <f t="shared" si="29"/>
        <v>54.682773939592153</v>
      </c>
      <c r="P370" s="23">
        <f t="shared" si="30"/>
        <v>-54.682773939592153</v>
      </c>
      <c r="Q370" s="48">
        <f t="shared" si="31"/>
        <v>2.7811066479381898E-3</v>
      </c>
      <c r="S370">
        <v>274</v>
      </c>
      <c r="T370" s="50">
        <v>-48.730538840065492</v>
      </c>
      <c r="U370" s="51">
        <f t="shared" si="32"/>
        <v>1.7536425389099788E-3</v>
      </c>
      <c r="V370" s="51">
        <f>SUM($U$5:U370)</f>
        <v>0.70369357290834089</v>
      </c>
      <c r="AB370" s="37"/>
    </row>
    <row r="371" spans="9:28" x14ac:dyDescent="0.3">
      <c r="I371">
        <v>367</v>
      </c>
      <c r="J371" s="23">
        <f>$C$5*Data!C369/Data!C368</f>
        <v>10964.057496323943</v>
      </c>
      <c r="K371" s="23">
        <f>$C$6*Data!F369/Data!F368</f>
        <v>9623.5453089359926</v>
      </c>
      <c r="L371" s="23">
        <f>$C$7*Data!I369/Data!I368</f>
        <v>6114.1963227096703</v>
      </c>
      <c r="M371" s="23">
        <f>$C$8*Data!L369/Data!L368</f>
        <v>113.946179725177</v>
      </c>
      <c r="N371" s="23">
        <f t="shared" si="28"/>
        <v>9992.3640662381003</v>
      </c>
      <c r="O371" s="23">
        <f t="shared" si="29"/>
        <v>-7.6359337618996506</v>
      </c>
      <c r="P371" s="23">
        <f t="shared" si="30"/>
        <v>7.6359337618996506</v>
      </c>
      <c r="Q371" s="48">
        <f t="shared" si="31"/>
        <v>2.7950820582293367E-3</v>
      </c>
      <c r="S371">
        <v>169</v>
      </c>
      <c r="T371" s="50">
        <v>-48.761662085873468</v>
      </c>
      <c r="U371" s="51">
        <f t="shared" si="32"/>
        <v>1.0360114377250386E-3</v>
      </c>
      <c r="V371" s="51">
        <f>SUM($U$5:U371)</f>
        <v>0.70472958434606592</v>
      </c>
      <c r="AB371" s="37"/>
    </row>
    <row r="372" spans="9:28" x14ac:dyDescent="0.3">
      <c r="I372">
        <v>368</v>
      </c>
      <c r="J372" s="23">
        <f>$C$5*Data!C370/Data!C369</f>
        <v>11103.487572547067</v>
      </c>
      <c r="K372" s="23">
        <f>$C$6*Data!F370/Data!F369</f>
        <v>9533.9075826304688</v>
      </c>
      <c r="L372" s="23">
        <f>$C$7*Data!I370/Data!I369</f>
        <v>6236.0996173218418</v>
      </c>
      <c r="M372" s="23">
        <f>$C$8*Data!L370/Data!L369</f>
        <v>111.79378697083129</v>
      </c>
      <c r="N372" s="23">
        <f t="shared" si="28"/>
        <v>9996.4574053569868</v>
      </c>
      <c r="O372" s="23">
        <f t="shared" si="29"/>
        <v>-3.5425946430132171</v>
      </c>
      <c r="P372" s="23">
        <f t="shared" si="30"/>
        <v>3.5425946430132171</v>
      </c>
      <c r="Q372" s="48">
        <f t="shared" si="31"/>
        <v>2.8091276967129012E-3</v>
      </c>
      <c r="S372">
        <v>414</v>
      </c>
      <c r="T372" s="50">
        <v>-48.954795306113738</v>
      </c>
      <c r="U372" s="51">
        <f t="shared" si="32"/>
        <v>3.5376084891846041E-3</v>
      </c>
      <c r="V372" s="51">
        <f>SUM($U$5:U372)</f>
        <v>0.70826719283525053</v>
      </c>
      <c r="AB372" s="37"/>
    </row>
    <row r="373" spans="9:28" x14ac:dyDescent="0.3">
      <c r="I373">
        <v>369</v>
      </c>
      <c r="J373" s="23">
        <f>$C$5*Data!C371/Data!C370</f>
        <v>11004.247090448936</v>
      </c>
      <c r="K373" s="23">
        <f>$C$6*Data!F371/Data!F370</f>
        <v>9501.4138330373225</v>
      </c>
      <c r="L373" s="23">
        <f>$C$7*Data!I371/Data!I370</f>
        <v>6185.8366805075811</v>
      </c>
      <c r="M373" s="23">
        <f>$C$8*Data!L371/Data!L370</f>
        <v>113.25967401608247</v>
      </c>
      <c r="N373" s="23">
        <f t="shared" si="28"/>
        <v>9968.1671818375689</v>
      </c>
      <c r="O373" s="23">
        <f t="shared" si="29"/>
        <v>-31.832818162431067</v>
      </c>
      <c r="P373" s="23">
        <f t="shared" si="30"/>
        <v>31.832818162431067</v>
      </c>
      <c r="Q373" s="48">
        <f t="shared" si="31"/>
        <v>2.8232439162943724E-3</v>
      </c>
      <c r="S373">
        <v>355</v>
      </c>
      <c r="T373" s="50">
        <v>-49.039497274665337</v>
      </c>
      <c r="U373" s="51">
        <f t="shared" si="32"/>
        <v>2.6319130132259187E-3</v>
      </c>
      <c r="V373" s="51">
        <f>SUM($U$5:U373)</f>
        <v>0.71089910584847649</v>
      </c>
      <c r="AB373" s="37"/>
    </row>
    <row r="374" spans="9:28" x14ac:dyDescent="0.3">
      <c r="I374">
        <v>370</v>
      </c>
      <c r="J374" s="23">
        <f>$C$5*Data!C372/Data!C371</f>
        <v>10993.637911040301</v>
      </c>
      <c r="K374" s="23">
        <f>$C$6*Data!F372/Data!F371</f>
        <v>9613.5913058935566</v>
      </c>
      <c r="L374" s="23">
        <f>$C$7*Data!I372/Data!I371</f>
        <v>6076.9132335151835</v>
      </c>
      <c r="M374" s="23">
        <f>$C$8*Data!L372/Data!L371</f>
        <v>112.72700355237031</v>
      </c>
      <c r="N374" s="23">
        <f t="shared" si="28"/>
        <v>9972.3630152642909</v>
      </c>
      <c r="O374" s="23">
        <f t="shared" si="29"/>
        <v>-27.63698473570912</v>
      </c>
      <c r="P374" s="23">
        <f t="shared" si="30"/>
        <v>27.63698473570912</v>
      </c>
      <c r="Q374" s="48">
        <f t="shared" si="31"/>
        <v>2.8374310716526353E-3</v>
      </c>
      <c r="S374">
        <v>277</v>
      </c>
      <c r="T374" s="50">
        <v>-49.126327506590314</v>
      </c>
      <c r="U374" s="51">
        <f t="shared" si="32"/>
        <v>1.7802124319838924E-3</v>
      </c>
      <c r="V374" s="51">
        <f>SUM($U$5:U374)</f>
        <v>0.71267931828046038</v>
      </c>
      <c r="AB374" s="37"/>
    </row>
    <row r="375" spans="9:28" x14ac:dyDescent="0.3">
      <c r="I375">
        <v>371</v>
      </c>
      <c r="J375" s="23">
        <f>$C$5*Data!C373/Data!C372</f>
        <v>10902.079077439899</v>
      </c>
      <c r="K375" s="23">
        <f>$C$6*Data!F373/Data!F372</f>
        <v>9474.1292089815779</v>
      </c>
      <c r="L375" s="23">
        <f>$C$7*Data!I373/Data!I372</f>
        <v>6228.4312579464013</v>
      </c>
      <c r="M375" s="23">
        <f>$C$8*Data!L373/Data!L372</f>
        <v>114.59578965443156</v>
      </c>
      <c r="N375" s="23">
        <f t="shared" si="28"/>
        <v>9953.1180026024267</v>
      </c>
      <c r="O375" s="23">
        <f t="shared" si="29"/>
        <v>-46.881997397573286</v>
      </c>
      <c r="P375" s="23">
        <f t="shared" si="30"/>
        <v>46.881997397573286</v>
      </c>
      <c r="Q375" s="48">
        <f t="shared" si="31"/>
        <v>2.8516895192488801E-3</v>
      </c>
      <c r="S375">
        <v>37</v>
      </c>
      <c r="T375" s="50">
        <v>-49.14354850359814</v>
      </c>
      <c r="U375" s="51">
        <f t="shared" si="32"/>
        <v>5.3457815595305512E-4</v>
      </c>
      <c r="V375" s="51">
        <f>SUM($U$5:U375)</f>
        <v>0.71321389643641342</v>
      </c>
      <c r="AB375" s="37"/>
    </row>
    <row r="376" spans="9:28" x14ac:dyDescent="0.3">
      <c r="I376">
        <v>372</v>
      </c>
      <c r="J376" s="23">
        <f>$C$5*Data!C374/Data!C373</f>
        <v>10922.874754856053</v>
      </c>
      <c r="K376" s="23">
        <f>$C$6*Data!F374/Data!F373</f>
        <v>9526.6143523992887</v>
      </c>
      <c r="L376" s="23">
        <f>$C$7*Data!I374/Data!I373</f>
        <v>6195.0190032995606</v>
      </c>
      <c r="M376" s="23">
        <f>$C$8*Data!L374/Data!L373</f>
        <v>110.69384937959776</v>
      </c>
      <c r="N376" s="23">
        <f t="shared" si="28"/>
        <v>9902.5082097872146</v>
      </c>
      <c r="O376" s="23">
        <f t="shared" si="29"/>
        <v>-97.491790212785418</v>
      </c>
      <c r="P376" s="23">
        <f t="shared" si="30"/>
        <v>97.491790212785418</v>
      </c>
      <c r="Q376" s="48">
        <f t="shared" si="31"/>
        <v>2.8660196173355577E-3</v>
      </c>
      <c r="S376">
        <v>386</v>
      </c>
      <c r="T376" s="50">
        <v>-49.309537910001382</v>
      </c>
      <c r="U376" s="51">
        <f t="shared" si="32"/>
        <v>3.0743692545922223E-3</v>
      </c>
      <c r="V376" s="51">
        <f>SUM($U$5:U376)</f>
        <v>0.71628826569100568</v>
      </c>
      <c r="AB376" s="37"/>
    </row>
    <row r="377" spans="9:28" x14ac:dyDescent="0.3">
      <c r="I377">
        <v>373</v>
      </c>
      <c r="J377" s="23">
        <f>$C$5*Data!C375/Data!C374</f>
        <v>10941.789202696194</v>
      </c>
      <c r="K377" s="23">
        <f>$C$6*Data!F375/Data!F374</f>
        <v>9374.5357869590298</v>
      </c>
      <c r="L377" s="23">
        <f>$C$7*Data!I375/Data!I374</f>
        <v>6003.413242814564</v>
      </c>
      <c r="M377" s="23">
        <f>$C$8*Data!L375/Data!L374</f>
        <v>113.45347170297077</v>
      </c>
      <c r="N377" s="23">
        <f t="shared" si="28"/>
        <v>9879.8650701594979</v>
      </c>
      <c r="O377" s="23">
        <f t="shared" si="29"/>
        <v>-120.13492984050208</v>
      </c>
      <c r="P377" s="23">
        <f t="shared" si="30"/>
        <v>120.13492984050208</v>
      </c>
      <c r="Q377" s="48">
        <f t="shared" si="31"/>
        <v>2.8804217259653844E-3</v>
      </c>
      <c r="S377">
        <v>470</v>
      </c>
      <c r="T377" s="50">
        <v>-49.350959462975879</v>
      </c>
      <c r="U377" s="51">
        <f t="shared" si="32"/>
        <v>4.6840038746196926E-3</v>
      </c>
      <c r="V377" s="51">
        <f>SUM($U$5:U377)</f>
        <v>0.72097226956562532</v>
      </c>
      <c r="AB377" s="37"/>
    </row>
    <row r="378" spans="9:28" x14ac:dyDescent="0.3">
      <c r="I378">
        <v>374</v>
      </c>
      <c r="J378" s="23">
        <f>$C$5*Data!C376/Data!C375</f>
        <v>10693.847079749967</v>
      </c>
      <c r="K378" s="23">
        <f>$C$6*Data!F376/Data!F375</f>
        <v>9326.2726824077254</v>
      </c>
      <c r="L378" s="23">
        <f>$C$7*Data!I376/Data!I375</f>
        <v>6104.6051390100829</v>
      </c>
      <c r="M378" s="23">
        <f>$C$8*Data!L376/Data!L375</f>
        <v>112.43249206863231</v>
      </c>
      <c r="N378" s="23">
        <f t="shared" si="28"/>
        <v>9773.0236742228517</v>
      </c>
      <c r="O378" s="23">
        <f t="shared" si="29"/>
        <v>-226.9763257771483</v>
      </c>
      <c r="P378" s="23">
        <f t="shared" si="30"/>
        <v>226.9763257771483</v>
      </c>
      <c r="Q378" s="48">
        <f t="shared" si="31"/>
        <v>2.8948962070003866E-3</v>
      </c>
      <c r="S378">
        <v>474</v>
      </c>
      <c r="T378" s="50">
        <v>-50.812771020027867</v>
      </c>
      <c r="U378" s="51">
        <f t="shared" si="32"/>
        <v>4.7788667663789053E-3</v>
      </c>
      <c r="V378" s="51">
        <f>SUM($U$5:U378)</f>
        <v>0.72575113633200428</v>
      </c>
      <c r="AB378" s="37"/>
    </row>
    <row r="379" spans="9:28" x14ac:dyDescent="0.3">
      <c r="I379">
        <v>375</v>
      </c>
      <c r="J379" s="23">
        <f>$C$5*Data!C377/Data!C376</f>
        <v>11165.534347004133</v>
      </c>
      <c r="K379" s="23">
        <f>$C$6*Data!F377/Data!F376</f>
        <v>9535.6281853359833</v>
      </c>
      <c r="L379" s="23">
        <f>$C$7*Data!I377/Data!I376</f>
        <v>6201.5229305402318</v>
      </c>
      <c r="M379" s="23">
        <f>$C$8*Data!L377/Data!L376</f>
        <v>111.27964079888734</v>
      </c>
      <c r="N379" s="23">
        <f t="shared" si="28"/>
        <v>10004.821597090993</v>
      </c>
      <c r="O379" s="23">
        <f t="shared" si="29"/>
        <v>4.8215970909932366</v>
      </c>
      <c r="P379" s="23">
        <f t="shared" si="30"/>
        <v>-4.8215970909932366</v>
      </c>
      <c r="Q379" s="48">
        <f t="shared" si="31"/>
        <v>2.9094434241209921E-3</v>
      </c>
      <c r="S379">
        <v>190</v>
      </c>
      <c r="T379" s="50">
        <v>-51.633162864827682</v>
      </c>
      <c r="U379" s="51">
        <f t="shared" si="32"/>
        <v>1.1510120079923341E-3</v>
      </c>
      <c r="V379" s="51">
        <f>SUM($U$5:U379)</f>
        <v>0.72690214833999656</v>
      </c>
      <c r="AB379" s="37"/>
    </row>
    <row r="380" spans="9:28" x14ac:dyDescent="0.3">
      <c r="I380">
        <v>376</v>
      </c>
      <c r="J380" s="23">
        <f>$C$5*Data!C378/Data!C377</f>
        <v>11030.512552267721</v>
      </c>
      <c r="K380" s="23">
        <f>$C$6*Data!F378/Data!F377</f>
        <v>9607.5813014065698</v>
      </c>
      <c r="L380" s="23">
        <f>$C$7*Data!I378/Data!I377</f>
        <v>6242.2195628132713</v>
      </c>
      <c r="M380" s="23">
        <f>$C$8*Data!L378/Data!L377</f>
        <v>115.90397685462682</v>
      </c>
      <c r="N380" s="23">
        <f t="shared" si="28"/>
        <v>10066.845870180441</v>
      </c>
      <c r="O380" s="23">
        <f t="shared" si="29"/>
        <v>66.845870180441125</v>
      </c>
      <c r="P380" s="23">
        <f t="shared" si="30"/>
        <v>-66.845870180441125</v>
      </c>
      <c r="Q380" s="48">
        <f t="shared" si="31"/>
        <v>2.9240637428351673E-3</v>
      </c>
      <c r="S380">
        <v>234</v>
      </c>
      <c r="T380" s="50">
        <v>-51.636043203981899</v>
      </c>
      <c r="U380" s="51">
        <f t="shared" si="32"/>
        <v>1.4350409746713244E-3</v>
      </c>
      <c r="V380" s="51">
        <f>SUM($U$5:U380)</f>
        <v>0.72833718931466784</v>
      </c>
      <c r="AB380" s="37"/>
    </row>
    <row r="381" spans="9:28" x14ac:dyDescent="0.3">
      <c r="I381">
        <v>377</v>
      </c>
      <c r="J381" s="23">
        <f>$C$5*Data!C379/Data!C378</f>
        <v>11228.859236166152</v>
      </c>
      <c r="K381" s="23">
        <f>$C$6*Data!F379/Data!F378</f>
        <v>9645.5918390780298</v>
      </c>
      <c r="L381" s="23">
        <f>$C$7*Data!I379/Data!I378</f>
        <v>6312.7634854519893</v>
      </c>
      <c r="M381" s="23">
        <f>$C$8*Data!L379/Data!L378</f>
        <v>110.92300555771359</v>
      </c>
      <c r="N381" s="23">
        <f t="shared" si="28"/>
        <v>10073.785546109199</v>
      </c>
      <c r="O381" s="23">
        <f t="shared" si="29"/>
        <v>73.785546109198549</v>
      </c>
      <c r="P381" s="23">
        <f t="shared" si="30"/>
        <v>-73.785546109198549</v>
      </c>
      <c r="Q381" s="48">
        <f t="shared" si="31"/>
        <v>2.9387575304876045E-3</v>
      </c>
      <c r="S381">
        <v>478</v>
      </c>
      <c r="T381" s="50">
        <v>-51.849046228880979</v>
      </c>
      <c r="U381" s="51">
        <f t="shared" si="32"/>
        <v>4.8756508709453233E-3</v>
      </c>
      <c r="V381" s="51">
        <f>SUM($U$5:U381)</f>
        <v>0.73321284018561317</v>
      </c>
      <c r="AB381" s="37"/>
    </row>
    <row r="382" spans="9:28" x14ac:dyDescent="0.3">
      <c r="I382">
        <v>378</v>
      </c>
      <c r="J382" s="23">
        <f>$C$5*Data!C380/Data!C379</f>
        <v>10949.131366062496</v>
      </c>
      <c r="K382" s="23">
        <f>$C$6*Data!F380/Data!F379</f>
        <v>9533.2050523669022</v>
      </c>
      <c r="L382" s="23">
        <f>$C$7*Data!I380/Data!I379</f>
        <v>6106.8398302645828</v>
      </c>
      <c r="M382" s="23">
        <f>$C$8*Data!L380/Data!L379</f>
        <v>111.97915201422416</v>
      </c>
      <c r="N382" s="23">
        <f t="shared" si="28"/>
        <v>9922.6596214931978</v>
      </c>
      <c r="O382" s="23">
        <f t="shared" si="29"/>
        <v>-77.340378506802153</v>
      </c>
      <c r="P382" s="23">
        <f t="shared" si="30"/>
        <v>77.340378506802153</v>
      </c>
      <c r="Q382" s="48">
        <f t="shared" si="31"/>
        <v>2.9535251562689494E-3</v>
      </c>
      <c r="S382">
        <v>19</v>
      </c>
      <c r="T382" s="50">
        <v>-51.870780668539737</v>
      </c>
      <c r="U382" s="51">
        <f t="shared" si="32"/>
        <v>4.8845736461302757E-4</v>
      </c>
      <c r="V382" s="51">
        <f>SUM($U$5:U382)</f>
        <v>0.73370129755022617</v>
      </c>
      <c r="AB382" s="37"/>
    </row>
    <row r="383" spans="9:28" x14ac:dyDescent="0.3">
      <c r="I383">
        <v>379</v>
      </c>
      <c r="J383" s="23">
        <f>$C$5*Data!C381/Data!C380</f>
        <v>10886.297736548142</v>
      </c>
      <c r="K383" s="23">
        <f>$C$6*Data!F381/Data!F380</f>
        <v>9557.4933592184134</v>
      </c>
      <c r="L383" s="23">
        <f>$C$7*Data!I381/Data!I380</f>
        <v>6203.9837551629716</v>
      </c>
      <c r="M383" s="23">
        <f>$C$8*Data!L381/Data!L380</f>
        <v>112.49665017663999</v>
      </c>
      <c r="N383" s="23">
        <f t="shared" si="28"/>
        <v>9932.2880097723319</v>
      </c>
      <c r="O383" s="23">
        <f t="shared" si="29"/>
        <v>-67.711990227668139</v>
      </c>
      <c r="P383" s="23">
        <f t="shared" si="30"/>
        <v>67.711990227668139</v>
      </c>
      <c r="Q383" s="48">
        <f t="shared" si="31"/>
        <v>2.9683669912250747E-3</v>
      </c>
      <c r="S383">
        <v>16</v>
      </c>
      <c r="T383" s="50">
        <v>-51.929993037734675</v>
      </c>
      <c r="U383" s="51">
        <f t="shared" si="32"/>
        <v>4.8116707738900765E-4</v>
      </c>
      <c r="V383" s="51">
        <f>SUM($U$5:U383)</f>
        <v>0.73418246462761516</v>
      </c>
      <c r="AB383" s="37"/>
    </row>
    <row r="384" spans="9:28" x14ac:dyDescent="0.3">
      <c r="I384">
        <v>380</v>
      </c>
      <c r="J384" s="23">
        <f>$C$5*Data!C382/Data!C381</f>
        <v>11188.842375881415</v>
      </c>
      <c r="K384" s="23">
        <f>$C$6*Data!F382/Data!F381</f>
        <v>9397.8913347646394</v>
      </c>
      <c r="L384" s="23">
        <f>$C$7*Data!I382/Data!I381</f>
        <v>6242.2499687499694</v>
      </c>
      <c r="M384" s="23">
        <f>$C$8*Data!L382/Data!L381</f>
        <v>112.64022459991459</v>
      </c>
      <c r="N384" s="23">
        <f t="shared" si="28"/>
        <v>10000.924613172814</v>
      </c>
      <c r="O384" s="23">
        <f t="shared" si="29"/>
        <v>0.92461317281413358</v>
      </c>
      <c r="P384" s="23">
        <f t="shared" si="30"/>
        <v>-0.92461317281413358</v>
      </c>
      <c r="Q384" s="48">
        <f t="shared" si="31"/>
        <v>2.983283408266407E-3</v>
      </c>
      <c r="S384">
        <v>189</v>
      </c>
      <c r="T384" s="50">
        <v>-52.192617955526657</v>
      </c>
      <c r="U384" s="51">
        <f t="shared" si="32"/>
        <v>1.1452569479523725E-3</v>
      </c>
      <c r="V384" s="51">
        <f>SUM($U$5:U384)</f>
        <v>0.73532772157556758</v>
      </c>
      <c r="AB384" s="37"/>
    </row>
    <row r="385" spans="9:28" x14ac:dyDescent="0.3">
      <c r="I385">
        <v>381</v>
      </c>
      <c r="J385" s="23">
        <f>$C$5*Data!C383/Data!C382</f>
        <v>10699.193522450285</v>
      </c>
      <c r="K385" s="23">
        <f>$C$6*Data!F383/Data!F382</f>
        <v>9607.8644308592229</v>
      </c>
      <c r="L385" s="23">
        <f>$C$7*Data!I383/Data!I382</f>
        <v>6042.896661650766</v>
      </c>
      <c r="M385" s="23">
        <f>$C$8*Data!L383/Data!L382</f>
        <v>113.06806631599093</v>
      </c>
      <c r="N385" s="23">
        <f t="shared" si="28"/>
        <v>9864.2767898754919</v>
      </c>
      <c r="O385" s="23">
        <f t="shared" si="29"/>
        <v>-135.72321012450811</v>
      </c>
      <c r="P385" s="23">
        <f t="shared" si="30"/>
        <v>135.72321012450811</v>
      </c>
      <c r="Q385" s="48">
        <f t="shared" si="31"/>
        <v>2.9982747821772938E-3</v>
      </c>
      <c r="S385">
        <v>421</v>
      </c>
      <c r="T385" s="50">
        <v>-52.625510077576109</v>
      </c>
      <c r="U385" s="51">
        <f t="shared" si="32"/>
        <v>3.66393872660772E-3</v>
      </c>
      <c r="V385" s="51">
        <f>SUM($U$5:U385)</f>
        <v>0.73899166030217533</v>
      </c>
      <c r="AB385" s="37"/>
    </row>
    <row r="386" spans="9:28" x14ac:dyDescent="0.3">
      <c r="I386">
        <v>382</v>
      </c>
      <c r="J386" s="23">
        <f>$C$5*Data!C384/Data!C383</f>
        <v>11049.221310053577</v>
      </c>
      <c r="K386" s="23">
        <f>$C$6*Data!F384/Data!F383</f>
        <v>9673.1931456858219</v>
      </c>
      <c r="L386" s="23">
        <f>$C$7*Data!I384/Data!I383</f>
        <v>6136.8487364466619</v>
      </c>
      <c r="M386" s="23">
        <f>$C$8*Data!L384/Data!L383</f>
        <v>111.63824754583075</v>
      </c>
      <c r="N386" s="23">
        <f t="shared" si="28"/>
        <v>10001.526478364503</v>
      </c>
      <c r="O386" s="23">
        <f t="shared" si="29"/>
        <v>1.5264783645034186</v>
      </c>
      <c r="P386" s="23">
        <f t="shared" si="30"/>
        <v>-1.5264783645034186</v>
      </c>
      <c r="Q386" s="48">
        <f t="shared" si="31"/>
        <v>3.013341489625421E-3</v>
      </c>
      <c r="S386">
        <v>181</v>
      </c>
      <c r="T386" s="50">
        <v>-52.638077186262308</v>
      </c>
      <c r="U386" s="51">
        <f t="shared" si="32"/>
        <v>1.1002403830042806E-3</v>
      </c>
      <c r="V386" s="51">
        <f>SUM($U$5:U386)</f>
        <v>0.7400919006851796</v>
      </c>
      <c r="AB386" s="37"/>
    </row>
    <row r="387" spans="9:28" x14ac:dyDescent="0.3">
      <c r="I387">
        <v>383</v>
      </c>
      <c r="J387" s="23">
        <f>$C$5*Data!C385/Data!C384</f>
        <v>11181.065611587122</v>
      </c>
      <c r="K387" s="23">
        <f>$C$6*Data!F385/Data!F384</f>
        <v>9689.7994804935715</v>
      </c>
      <c r="L387" s="23">
        <f>$C$7*Data!I385/Data!I384</f>
        <v>6262.7463964951494</v>
      </c>
      <c r="M387" s="23">
        <f>$C$8*Data!L385/Data!L384</f>
        <v>113.1217607217682</v>
      </c>
      <c r="N387" s="23">
        <f t="shared" si="28"/>
        <v>10101.166484598416</v>
      </c>
      <c r="O387" s="23">
        <f t="shared" si="29"/>
        <v>101.16648459841599</v>
      </c>
      <c r="P387" s="23">
        <f t="shared" si="30"/>
        <v>-101.16648459841599</v>
      </c>
      <c r="Q387" s="48">
        <f t="shared" si="31"/>
        <v>3.0284839091712767E-3</v>
      </c>
      <c r="S387">
        <v>413</v>
      </c>
      <c r="T387" s="50">
        <v>-53.103458921050333</v>
      </c>
      <c r="U387" s="51">
        <f t="shared" si="32"/>
        <v>3.5199204467386814E-3</v>
      </c>
      <c r="V387" s="51">
        <f>SUM($U$5:U387)</f>
        <v>0.74361182113191826</v>
      </c>
      <c r="AB387" s="37"/>
    </row>
    <row r="388" spans="9:28" x14ac:dyDescent="0.3">
      <c r="I388">
        <v>384</v>
      </c>
      <c r="J388" s="23">
        <f>$C$5*Data!C386/Data!C385</f>
        <v>11155.491573110052</v>
      </c>
      <c r="K388" s="23">
        <f>$C$6*Data!F386/Data!F385</f>
        <v>9807.9127463940695</v>
      </c>
      <c r="L388" s="23">
        <f>$C$7*Data!I386/Data!I385</f>
        <v>6281.1103811850171</v>
      </c>
      <c r="M388" s="23">
        <f>$C$8*Data!L386/Data!L385</f>
        <v>111.00955703625262</v>
      </c>
      <c r="N388" s="23">
        <f t="shared" si="28"/>
        <v>10094.314899560126</v>
      </c>
      <c r="O388" s="23">
        <f t="shared" si="29"/>
        <v>94.314899560125923</v>
      </c>
      <c r="P388" s="23">
        <f t="shared" si="30"/>
        <v>-94.314899560125923</v>
      </c>
      <c r="Q388" s="48">
        <f t="shared" si="31"/>
        <v>3.0437024212776657E-3</v>
      </c>
      <c r="S388">
        <v>443</v>
      </c>
      <c r="T388" s="50">
        <v>-53.31587297360602</v>
      </c>
      <c r="U388" s="51">
        <f t="shared" si="32"/>
        <v>4.0911031139536178E-3</v>
      </c>
      <c r="V388" s="51">
        <f>SUM($U$5:U388)</f>
        <v>0.74770292424587192</v>
      </c>
      <c r="AB388" s="37"/>
    </row>
    <row r="389" spans="9:28" x14ac:dyDescent="0.3">
      <c r="I389">
        <v>385</v>
      </c>
      <c r="J389" s="23">
        <f>$C$5*Data!C387/Data!C386</f>
        <v>10934.823399665927</v>
      </c>
      <c r="K389" s="23">
        <f>$C$6*Data!F387/Data!F386</f>
        <v>9577.880870056284</v>
      </c>
      <c r="L389" s="23">
        <f>$C$7*Data!I387/Data!I386</f>
        <v>6155.8669948624183</v>
      </c>
      <c r="M389" s="23">
        <f>$C$8*Data!L387/Data!L386</f>
        <v>112.53097429895068</v>
      </c>
      <c r="N389" s="23">
        <f t="shared" ref="N389:N452" si="33">MMULT(J389:M389,$D$5:$D$8)</f>
        <v>9949.1177455637808</v>
      </c>
      <c r="O389" s="23">
        <f t="shared" si="29"/>
        <v>-50.882254436219228</v>
      </c>
      <c r="P389" s="23">
        <f t="shared" si="30"/>
        <v>50.882254436219228</v>
      </c>
      <c r="Q389" s="48">
        <f t="shared" si="31"/>
        <v>3.0589974083192611E-3</v>
      </c>
      <c r="S389">
        <v>426</v>
      </c>
      <c r="T389" s="50">
        <v>-53.925840280364355</v>
      </c>
      <c r="U389" s="51">
        <f t="shared" si="32"/>
        <v>3.7569273632794323E-3</v>
      </c>
      <c r="V389" s="51">
        <f>SUM($U$5:U389)</f>
        <v>0.75145985160915141</v>
      </c>
      <c r="AB389" s="37"/>
    </row>
    <row r="390" spans="9:28" x14ac:dyDescent="0.3">
      <c r="I390">
        <v>386</v>
      </c>
      <c r="J390" s="23">
        <f>$C$5*Data!C388/Data!C387</f>
        <v>11112.956709396056</v>
      </c>
      <c r="K390" s="23">
        <f>$C$6*Data!F388/Data!F387</f>
        <v>9613.9881599455493</v>
      </c>
      <c r="L390" s="23">
        <f>$C$7*Data!I388/Data!I387</f>
        <v>6289.6133992443629</v>
      </c>
      <c r="M390" s="23">
        <f>$C$8*Data!L388/Data!L387</f>
        <v>112.96412389783426</v>
      </c>
      <c r="N390" s="23">
        <f t="shared" si="33"/>
        <v>10054.296571668203</v>
      </c>
      <c r="O390" s="23">
        <f t="shared" ref="O390:O453" si="34">N390-$B$9</f>
        <v>54.296571668202887</v>
      </c>
      <c r="P390" s="23">
        <f t="shared" ref="P390:P453" si="35">-O390</f>
        <v>-54.296571668202887</v>
      </c>
      <c r="Q390" s="48">
        <f t="shared" ref="Q390:Q453" si="36">$Q$2^(500-I390)*(1-$Q$2)/(1-$Q$2^500)</f>
        <v>3.0743692545922223E-3</v>
      </c>
      <c r="S390">
        <v>308</v>
      </c>
      <c r="T390" s="50">
        <v>-53.929405415899964</v>
      </c>
      <c r="U390" s="51">
        <f t="shared" ref="U390:U453" si="37">$Q$2^(500-S390)*(1-$Q$2)/(1-$Q$2^500)</f>
        <v>2.0794875590610311E-3</v>
      </c>
      <c r="V390" s="51">
        <f>SUM($U$5:U390)</f>
        <v>0.75353933916821247</v>
      </c>
      <c r="AB390" s="37"/>
    </row>
    <row r="391" spans="9:28" x14ac:dyDescent="0.3">
      <c r="I391">
        <v>387</v>
      </c>
      <c r="J391" s="23">
        <f>$C$5*Data!C389/Data!C388</f>
        <v>11016.482010525073</v>
      </c>
      <c r="K391" s="23">
        <f>$C$6*Data!F389/Data!F388</f>
        <v>9519.0217113525487</v>
      </c>
      <c r="L391" s="23">
        <f>$C$7*Data!I389/Data!I388</f>
        <v>6166.0717718922915</v>
      </c>
      <c r="M391" s="23">
        <f>$C$8*Data!L389/Data!L388</f>
        <v>113.65167467183427</v>
      </c>
      <c r="N391" s="23">
        <f t="shared" si="33"/>
        <v>9981.8711780558478</v>
      </c>
      <c r="O391" s="23">
        <f t="shared" si="34"/>
        <v>-18.128821944152151</v>
      </c>
      <c r="P391" s="23">
        <f t="shared" si="35"/>
        <v>18.128821944152151</v>
      </c>
      <c r="Q391" s="48">
        <f t="shared" si="36"/>
        <v>3.0898183463238418E-3</v>
      </c>
      <c r="S391">
        <v>311</v>
      </c>
      <c r="T391" s="50">
        <v>-54.160290329495183</v>
      </c>
      <c r="U391" s="51">
        <f t="shared" si="37"/>
        <v>2.1109944145728328E-3</v>
      </c>
      <c r="V391" s="51">
        <f>SUM($U$5:U391)</f>
        <v>0.75565033358278533</v>
      </c>
      <c r="AB391" s="37"/>
    </row>
    <row r="392" spans="9:28" x14ac:dyDescent="0.3">
      <c r="I392">
        <v>388</v>
      </c>
      <c r="J392" s="23">
        <f>$C$5*Data!C390/Data!C389</f>
        <v>10736.07791855086</v>
      </c>
      <c r="K392" s="23">
        <f>$C$6*Data!F390/Data!F389</f>
        <v>9648.0326920592288</v>
      </c>
      <c r="L392" s="23">
        <f>$C$7*Data!I390/Data!I389</f>
        <v>6124.9897055613719</v>
      </c>
      <c r="M392" s="23">
        <f>$C$8*Data!L390/Data!L389</f>
        <v>112.21492077822576</v>
      </c>
      <c r="N392" s="23">
        <f t="shared" si="33"/>
        <v>9888.3314072286903</v>
      </c>
      <c r="O392" s="23">
        <f t="shared" si="34"/>
        <v>-111.6685927713097</v>
      </c>
      <c r="P392" s="23">
        <f t="shared" si="35"/>
        <v>111.6685927713097</v>
      </c>
      <c r="Q392" s="48">
        <f t="shared" si="36"/>
        <v>3.1053450716822533E-3</v>
      </c>
      <c r="S392">
        <v>33</v>
      </c>
      <c r="T392" s="50">
        <v>-54.388348120268347</v>
      </c>
      <c r="U392" s="51">
        <f t="shared" si="37"/>
        <v>5.2396651260242031E-4</v>
      </c>
      <c r="V392" s="51">
        <f>SUM($U$5:U392)</f>
        <v>0.75617430009538777</v>
      </c>
      <c r="AB392" s="37"/>
    </row>
    <row r="393" spans="9:28" x14ac:dyDescent="0.3">
      <c r="I393">
        <v>389</v>
      </c>
      <c r="J393" s="23">
        <f>$C$5*Data!C391/Data!C390</f>
        <v>11143.115152173839</v>
      </c>
      <c r="K393" s="23">
        <f>$C$6*Data!F391/Data!F390</f>
        <v>9416.9162806208024</v>
      </c>
      <c r="L393" s="23">
        <f>$C$7*Data!I391/Data!I390</f>
        <v>6262.3277499864935</v>
      </c>
      <c r="M393" s="23">
        <f>$C$8*Data!L391/Data!L390</f>
        <v>110.31766160829795</v>
      </c>
      <c r="N393" s="23">
        <f t="shared" si="33"/>
        <v>9952.3411943002156</v>
      </c>
      <c r="O393" s="23">
        <f t="shared" si="34"/>
        <v>-47.658805699784352</v>
      </c>
      <c r="P393" s="23">
        <f t="shared" si="35"/>
        <v>47.658805699784352</v>
      </c>
      <c r="Q393" s="48">
        <f t="shared" si="36"/>
        <v>3.1209498207861843E-3</v>
      </c>
      <c r="S393">
        <v>46</v>
      </c>
      <c r="T393" s="50">
        <v>-54.468400729452696</v>
      </c>
      <c r="U393" s="51">
        <f t="shared" si="37"/>
        <v>5.592467666313347E-4</v>
      </c>
      <c r="V393" s="51">
        <f>SUM($U$5:U393)</f>
        <v>0.7567335468620191</v>
      </c>
      <c r="AB393" s="37"/>
    </row>
    <row r="394" spans="9:28" x14ac:dyDescent="0.3">
      <c r="I394">
        <v>390</v>
      </c>
      <c r="J394" s="23">
        <f>$C$5*Data!C392/Data!C391</f>
        <v>10986.754349706771</v>
      </c>
      <c r="K394" s="23">
        <f>$C$6*Data!F392/Data!F391</f>
        <v>9593.8201256346092</v>
      </c>
      <c r="L394" s="23">
        <f>$C$7*Data!I392/Data!I391</f>
        <v>6212.3694104120686</v>
      </c>
      <c r="M394" s="23">
        <f>$C$8*Data!L392/Data!L391</f>
        <v>114.23113004932112</v>
      </c>
      <c r="N394" s="23">
        <f t="shared" si="33"/>
        <v>10012.196408355045</v>
      </c>
      <c r="O394" s="23">
        <f t="shared" si="34"/>
        <v>12.196408355044696</v>
      </c>
      <c r="P394" s="23">
        <f t="shared" si="35"/>
        <v>-12.196408355044696</v>
      </c>
      <c r="Q394" s="48">
        <f t="shared" si="36"/>
        <v>3.1366329857147584E-3</v>
      </c>
      <c r="S394">
        <v>260</v>
      </c>
      <c r="T394" s="50">
        <v>-54.56320213721483</v>
      </c>
      <c r="U394" s="51">
        <f t="shared" si="37"/>
        <v>1.634798393459984E-3</v>
      </c>
      <c r="V394" s="51">
        <f>SUM($U$5:U394)</f>
        <v>0.75836834525547914</v>
      </c>
      <c r="AB394" s="37"/>
    </row>
    <row r="395" spans="9:28" x14ac:dyDescent="0.3">
      <c r="I395">
        <v>391</v>
      </c>
      <c r="J395" s="23">
        <f>$C$5*Data!C393/Data!C392</f>
        <v>11094.204673977218</v>
      </c>
      <c r="K395" s="23">
        <f>$C$6*Data!F393/Data!F392</f>
        <v>9581.7228900367354</v>
      </c>
      <c r="L395" s="23">
        <f>$C$7*Data!I393/Data!I392</f>
        <v>6181.1657011783136</v>
      </c>
      <c r="M395" s="23">
        <f>$C$8*Data!L393/Data!L392</f>
        <v>114.40481368377415</v>
      </c>
      <c r="N395" s="23">
        <f t="shared" si="33"/>
        <v>10045.456983885204</v>
      </c>
      <c r="O395" s="23">
        <f t="shared" si="34"/>
        <v>45.456983885203954</v>
      </c>
      <c r="P395" s="23">
        <f t="shared" si="35"/>
        <v>-45.456983885203954</v>
      </c>
      <c r="Q395" s="48">
        <f t="shared" si="36"/>
        <v>3.1523949605173451E-3</v>
      </c>
      <c r="S395">
        <v>316</v>
      </c>
      <c r="T395" s="50">
        <v>-54.64850474900777</v>
      </c>
      <c r="U395" s="51">
        <f t="shared" si="37"/>
        <v>2.1645702266373727E-3</v>
      </c>
      <c r="V395" s="51">
        <f>SUM($U$5:U395)</f>
        <v>0.76053291548211654</v>
      </c>
      <c r="AB395" s="37"/>
    </row>
    <row r="396" spans="9:28" x14ac:dyDescent="0.3">
      <c r="I396">
        <v>392</v>
      </c>
      <c r="J396" s="23">
        <f>$C$5*Data!C394/Data!C393</f>
        <v>11161.900092478647</v>
      </c>
      <c r="K396" s="23">
        <f>$C$6*Data!F394/Data!F393</f>
        <v>9632.8854273500529</v>
      </c>
      <c r="L396" s="23">
        <f>$C$7*Data!I394/Data!I393</f>
        <v>6266.0953291730229</v>
      </c>
      <c r="M396" s="23">
        <f>$C$8*Data!L394/Data!L393</f>
        <v>112.59761309765349</v>
      </c>
      <c r="N396" s="23">
        <f t="shared" si="33"/>
        <v>10067.673864083054</v>
      </c>
      <c r="O396" s="23">
        <f t="shared" si="34"/>
        <v>67.673864083053559</v>
      </c>
      <c r="P396" s="23">
        <f t="shared" si="35"/>
        <v>-67.673864083053559</v>
      </c>
      <c r="Q396" s="48">
        <f t="shared" si="36"/>
        <v>3.1682361412234622E-3</v>
      </c>
      <c r="S396">
        <v>87</v>
      </c>
      <c r="T396" s="50">
        <v>-54.83099058980406</v>
      </c>
      <c r="U396" s="51">
        <f t="shared" si="37"/>
        <v>6.8684251731262851E-4</v>
      </c>
      <c r="V396" s="51">
        <f>SUM($U$5:U396)</f>
        <v>0.7612197579994292</v>
      </c>
      <c r="AB396" s="37"/>
    </row>
    <row r="397" spans="9:28" x14ac:dyDescent="0.3">
      <c r="I397">
        <v>393</v>
      </c>
      <c r="J397" s="23">
        <f>$C$5*Data!C395/Data!C394</f>
        <v>11029.144840444222</v>
      </c>
      <c r="K397" s="23">
        <f>$C$6*Data!F395/Data!F394</f>
        <v>9607.8276837700832</v>
      </c>
      <c r="L397" s="23">
        <f>$C$7*Data!I395/Data!I394</f>
        <v>6237.7387758804389</v>
      </c>
      <c r="M397" s="23">
        <f>$C$8*Data!L395/Data!L394</f>
        <v>114.59517533827805</v>
      </c>
      <c r="N397" s="23">
        <f t="shared" si="33"/>
        <v>10042.502698805905</v>
      </c>
      <c r="O397" s="23">
        <f t="shared" si="34"/>
        <v>42.502698805905311</v>
      </c>
      <c r="P397" s="23">
        <f t="shared" si="35"/>
        <v>-42.502698805905311</v>
      </c>
      <c r="Q397" s="48">
        <f t="shared" si="36"/>
        <v>3.1841569258527257E-3</v>
      </c>
      <c r="S397">
        <v>287</v>
      </c>
      <c r="T397" s="50">
        <v>-55.69907411186432</v>
      </c>
      <c r="U397" s="51">
        <f t="shared" si="37"/>
        <v>1.8717206083296556E-3</v>
      </c>
      <c r="V397" s="51">
        <f>SUM($U$5:U397)</f>
        <v>0.76309147860775883</v>
      </c>
      <c r="AB397" s="37"/>
    </row>
    <row r="398" spans="9:28" x14ac:dyDescent="0.3">
      <c r="I398">
        <v>394</v>
      </c>
      <c r="J398" s="23">
        <f>$C$5*Data!C396/Data!C395</f>
        <v>10946.017701774803</v>
      </c>
      <c r="K398" s="23">
        <f>$C$6*Data!F396/Data!F395</f>
        <v>9563.2599197298387</v>
      </c>
      <c r="L398" s="23">
        <f>$C$7*Data!I396/Data!I395</f>
        <v>6165.2331306419128</v>
      </c>
      <c r="M398" s="23">
        <f>$C$8*Data!L396/Data!L395</f>
        <v>111.66494820871311</v>
      </c>
      <c r="N398" s="23">
        <f t="shared" si="33"/>
        <v>9934.7696669235229</v>
      </c>
      <c r="O398" s="23">
        <f t="shared" si="34"/>
        <v>-65.230333076477109</v>
      </c>
      <c r="P398" s="23">
        <f t="shared" si="35"/>
        <v>65.230333076477109</v>
      </c>
      <c r="Q398" s="48">
        <f t="shared" si="36"/>
        <v>3.2001577144248499E-3</v>
      </c>
      <c r="S398">
        <v>18</v>
      </c>
      <c r="T398" s="50">
        <v>-56.357542835272397</v>
      </c>
      <c r="U398" s="51">
        <f t="shared" si="37"/>
        <v>4.8601507778996237E-4</v>
      </c>
      <c r="V398" s="51">
        <f>SUM($U$5:U398)</f>
        <v>0.76357749368554884</v>
      </c>
      <c r="AB398" s="37"/>
    </row>
    <row r="399" spans="9:28" x14ac:dyDescent="0.3">
      <c r="I399">
        <v>395</v>
      </c>
      <c r="J399" s="23">
        <f>$C$5*Data!C397/Data!C396</f>
        <v>11141.562044685628</v>
      </c>
      <c r="K399" s="23">
        <f>$C$6*Data!F397/Data!F396</f>
        <v>9562.9241996381079</v>
      </c>
      <c r="L399" s="23">
        <f>$C$7*Data!I397/Data!I396</f>
        <v>6175.3189730194181</v>
      </c>
      <c r="M399" s="23">
        <f>$C$8*Data!L397/Data!L396</f>
        <v>112.89387284577516</v>
      </c>
      <c r="N399" s="23">
        <f t="shared" si="33"/>
        <v>10029.041287294289</v>
      </c>
      <c r="O399" s="23">
        <f t="shared" si="34"/>
        <v>29.04128729428885</v>
      </c>
      <c r="P399" s="23">
        <f t="shared" si="35"/>
        <v>-29.04128729428885</v>
      </c>
      <c r="Q399" s="48">
        <f t="shared" si="36"/>
        <v>3.2162389089696979E-3</v>
      </c>
      <c r="S399">
        <v>101</v>
      </c>
      <c r="T399" s="50">
        <v>-56.5370993110173</v>
      </c>
      <c r="U399" s="51">
        <f t="shared" si="37"/>
        <v>7.3677357447251603E-4</v>
      </c>
      <c r="V399" s="51">
        <f>SUM($U$5:U399)</f>
        <v>0.76431426726002138</v>
      </c>
      <c r="AB399" s="37"/>
    </row>
    <row r="400" spans="9:28" x14ac:dyDescent="0.3">
      <c r="I400">
        <v>396</v>
      </c>
      <c r="J400" s="23">
        <f>$C$5*Data!C398/Data!C397</f>
        <v>11165.454947682198</v>
      </c>
      <c r="K400" s="23">
        <f>$C$6*Data!F398/Data!F397</f>
        <v>9974.2172428192443</v>
      </c>
      <c r="L400" s="23">
        <f>$C$7*Data!I398/Data!I397</f>
        <v>6257.5516716041911</v>
      </c>
      <c r="M400" s="23">
        <f>$C$8*Data!L398/Data!L397</f>
        <v>111.78371021239062</v>
      </c>
      <c r="N400" s="23">
        <f t="shared" si="33"/>
        <v>10159.825278561326</v>
      </c>
      <c r="O400" s="23">
        <f t="shared" si="34"/>
        <v>159.82527856132583</v>
      </c>
      <c r="P400" s="23">
        <f t="shared" si="35"/>
        <v>-159.82527856132583</v>
      </c>
      <c r="Q400" s="48">
        <f t="shared" si="36"/>
        <v>3.2324009135373845E-3</v>
      </c>
      <c r="S400">
        <v>72</v>
      </c>
      <c r="T400" s="50">
        <v>-56.734803804652984</v>
      </c>
      <c r="U400" s="51">
        <f t="shared" si="37"/>
        <v>6.3709380552425931E-4</v>
      </c>
      <c r="V400" s="51">
        <f>SUM($U$5:U400)</f>
        <v>0.76495136106554562</v>
      </c>
      <c r="AB400" s="37"/>
    </row>
    <row r="401" spans="9:28" x14ac:dyDescent="0.3">
      <c r="I401">
        <v>397</v>
      </c>
      <c r="J401" s="23">
        <f>$C$5*Data!C399/Data!C398</f>
        <v>11032.096744872197</v>
      </c>
      <c r="K401" s="23">
        <f>$C$6*Data!F399/Data!F398</f>
        <v>9597.1110144721588</v>
      </c>
      <c r="L401" s="23">
        <f>$C$7*Data!I399/Data!I398</f>
        <v>6289.3487965138684</v>
      </c>
      <c r="M401" s="23">
        <f>$C$8*Data!L399/Data!L398</f>
        <v>112.90363142283621</v>
      </c>
      <c r="N401" s="23">
        <f t="shared" si="33"/>
        <v>10018.562607575805</v>
      </c>
      <c r="O401" s="23">
        <f t="shared" si="34"/>
        <v>18.562607575804577</v>
      </c>
      <c r="P401" s="23">
        <f t="shared" si="35"/>
        <v>-18.562607575804577</v>
      </c>
      <c r="Q401" s="48">
        <f t="shared" si="36"/>
        <v>3.2486441342084275E-3</v>
      </c>
      <c r="S401">
        <v>15</v>
      </c>
      <c r="T401" s="50">
        <v>-57.041293595386378</v>
      </c>
      <c r="U401" s="51">
        <f t="shared" si="37"/>
        <v>4.7876124200206261E-4</v>
      </c>
      <c r="V401" s="51">
        <f>SUM($U$5:U401)</f>
        <v>0.7654301223075477</v>
      </c>
      <c r="AB401" s="37"/>
    </row>
    <row r="402" spans="9:28" x14ac:dyDescent="0.3">
      <c r="I402">
        <v>398</v>
      </c>
      <c r="J402" s="23">
        <f>$C$5*Data!C400/Data!C399</f>
        <v>11021.023814375971</v>
      </c>
      <c r="K402" s="23">
        <f>$C$6*Data!F400/Data!F399</f>
        <v>9663.3402675992511</v>
      </c>
      <c r="L402" s="23">
        <f>$C$7*Data!I400/Data!I399</f>
        <v>6234.7352610276248</v>
      </c>
      <c r="M402" s="23">
        <f>$C$8*Data!L400/Data!L399</f>
        <v>114.89294530919192</v>
      </c>
      <c r="N402" s="23">
        <f t="shared" si="33"/>
        <v>10061.697542276443</v>
      </c>
      <c r="O402" s="23">
        <f t="shared" si="34"/>
        <v>61.697542276442618</v>
      </c>
      <c r="P402" s="23">
        <f t="shared" si="35"/>
        <v>-61.697542276442618</v>
      </c>
      <c r="Q402" s="48">
        <f t="shared" si="36"/>
        <v>3.2649689791039473E-3</v>
      </c>
      <c r="S402">
        <v>235</v>
      </c>
      <c r="T402" s="50">
        <v>-57.361210607934481</v>
      </c>
      <c r="U402" s="51">
        <f t="shared" si="37"/>
        <v>1.4422522358505771E-3</v>
      </c>
      <c r="V402" s="51">
        <f>SUM($U$5:U402)</f>
        <v>0.76687237454339829</v>
      </c>
      <c r="AB402" s="37"/>
    </row>
    <row r="403" spans="9:28" x14ac:dyDescent="0.3">
      <c r="I403">
        <v>399</v>
      </c>
      <c r="J403" s="23">
        <f>$C$5*Data!C401/Data!C400</f>
        <v>11025.612458167969</v>
      </c>
      <c r="K403" s="23">
        <f>$C$6*Data!F401/Data!F400</f>
        <v>9596.5321020798492</v>
      </c>
      <c r="L403" s="23">
        <f>$C$7*Data!I401/Data!I400</f>
        <v>6216.7480731309806</v>
      </c>
      <c r="M403" s="23">
        <f>$C$8*Data!L401/Data!L400</f>
        <v>113.38865796211233</v>
      </c>
      <c r="N403" s="23">
        <f t="shared" si="33"/>
        <v>10012.917521512114</v>
      </c>
      <c r="O403" s="23">
        <f t="shared" si="34"/>
        <v>12.917521512114035</v>
      </c>
      <c r="P403" s="23">
        <f t="shared" si="35"/>
        <v>-12.917521512114035</v>
      </c>
      <c r="Q403" s="48">
        <f t="shared" si="36"/>
        <v>3.2813758583959264E-3</v>
      </c>
      <c r="S403">
        <v>368</v>
      </c>
      <c r="T403" s="50">
        <v>-57.59784257080355</v>
      </c>
      <c r="U403" s="51">
        <f t="shared" si="37"/>
        <v>2.8091276967129012E-3</v>
      </c>
      <c r="V403" s="51">
        <f>SUM($U$5:U403)</f>
        <v>0.76968150224011123</v>
      </c>
      <c r="AB403" s="37"/>
    </row>
    <row r="404" spans="9:28" x14ac:dyDescent="0.3">
      <c r="I404">
        <v>400</v>
      </c>
      <c r="J404" s="23">
        <f>$C$5*Data!C402/Data!C401</f>
        <v>11101.745979608826</v>
      </c>
      <c r="K404" s="23">
        <f>$C$6*Data!F402/Data!F401</f>
        <v>9600.718485126823</v>
      </c>
      <c r="L404" s="23">
        <f>$C$7*Data!I402/Data!I401</f>
        <v>6232.7235336285257</v>
      </c>
      <c r="M404" s="23">
        <f>$C$8*Data!L402/Data!L401</f>
        <v>112.74224535131123</v>
      </c>
      <c r="N404" s="23">
        <f t="shared" si="33"/>
        <v>10032.972840392664</v>
      </c>
      <c r="O404" s="23">
        <f t="shared" si="34"/>
        <v>32.972840392663784</v>
      </c>
      <c r="P404" s="23">
        <f t="shared" si="35"/>
        <v>-32.972840392663784</v>
      </c>
      <c r="Q404" s="48">
        <f t="shared" si="36"/>
        <v>3.297865184317514E-3</v>
      </c>
      <c r="S404">
        <v>247</v>
      </c>
      <c r="T404" s="50">
        <v>-58.087907901919607</v>
      </c>
      <c r="U404" s="51">
        <f t="shared" si="37"/>
        <v>1.5316666347289579E-3</v>
      </c>
      <c r="V404" s="51">
        <f>SUM($U$5:U404)</f>
        <v>0.77121316887484015</v>
      </c>
      <c r="AB404" s="37"/>
    </row>
    <row r="405" spans="9:28" x14ac:dyDescent="0.3">
      <c r="I405">
        <v>401</v>
      </c>
      <c r="J405" s="23">
        <f>$C$5*Data!C403/Data!C402</f>
        <v>11053.794195585397</v>
      </c>
      <c r="K405" s="23">
        <f>$C$6*Data!F403/Data!F402</f>
        <v>9770.9245853336906</v>
      </c>
      <c r="L405" s="23">
        <f>$C$7*Data!I403/Data!I402</f>
        <v>6239.8442816156448</v>
      </c>
      <c r="M405" s="23">
        <f>$C$8*Data!L403/Data!L402</f>
        <v>113.46875462378839</v>
      </c>
      <c r="N405" s="23">
        <f t="shared" si="33"/>
        <v>10082.787975343179</v>
      </c>
      <c r="O405" s="23">
        <f t="shared" si="34"/>
        <v>82.787975343178914</v>
      </c>
      <c r="P405" s="23">
        <f t="shared" si="35"/>
        <v>-82.787975343178914</v>
      </c>
      <c r="Q405" s="48">
        <f t="shared" si="36"/>
        <v>3.314437371173381E-3</v>
      </c>
      <c r="S405">
        <v>44</v>
      </c>
      <c r="T405" s="50">
        <v>-61.699657502689661</v>
      </c>
      <c r="U405" s="51">
        <f t="shared" si="37"/>
        <v>5.5366828013418711E-4</v>
      </c>
      <c r="V405" s="51">
        <f>SUM($U$5:U405)</f>
        <v>0.77176683715497429</v>
      </c>
      <c r="AB405" s="37"/>
    </row>
    <row r="406" spans="9:28" x14ac:dyDescent="0.3">
      <c r="I406">
        <v>402</v>
      </c>
      <c r="J406" s="23">
        <f>$C$5*Data!C404/Data!C403</f>
        <v>11014.075464296377</v>
      </c>
      <c r="K406" s="23">
        <f>$C$6*Data!F404/Data!F403</f>
        <v>9574.6501869273488</v>
      </c>
      <c r="L406" s="23">
        <f>$C$7*Data!I404/Data!I403</f>
        <v>6208.5865002349401</v>
      </c>
      <c r="M406" s="23">
        <f>$C$8*Data!L404/Data!L403</f>
        <v>113.54751272026652</v>
      </c>
      <c r="N406" s="23">
        <f t="shared" si="33"/>
        <v>10003.392199614309</v>
      </c>
      <c r="O406" s="23">
        <f t="shared" si="34"/>
        <v>3.3921996143089928</v>
      </c>
      <c r="P406" s="23">
        <f t="shared" si="35"/>
        <v>-3.3921996143089928</v>
      </c>
      <c r="Q406" s="48">
        <f t="shared" si="36"/>
        <v>3.3310928353501314E-3</v>
      </c>
      <c r="S406">
        <v>255</v>
      </c>
      <c r="T406" s="50">
        <v>-61.820294132339768</v>
      </c>
      <c r="U406" s="51">
        <f t="shared" si="37"/>
        <v>1.5943350948274936E-3</v>
      </c>
      <c r="V406" s="51">
        <f>SUM($U$5:U406)</f>
        <v>0.77336117224980183</v>
      </c>
      <c r="AB406" s="37"/>
    </row>
    <row r="407" spans="9:28" x14ac:dyDescent="0.3">
      <c r="I407">
        <v>403</v>
      </c>
      <c r="J407" s="23">
        <f>$C$5*Data!C405/Data!C404</f>
        <v>10987.499374341902</v>
      </c>
      <c r="K407" s="23">
        <f>$C$6*Data!F405/Data!F404</f>
        <v>9693.8355769237405</v>
      </c>
      <c r="L407" s="23">
        <f>$C$7*Data!I405/Data!I404</f>
        <v>6261.7736774361265</v>
      </c>
      <c r="M407" s="23">
        <f>$C$8*Data!L405/Data!L404</f>
        <v>113.61501703493259</v>
      </c>
      <c r="N407" s="23">
        <f t="shared" si="33"/>
        <v>10040.768016787828</v>
      </c>
      <c r="O407" s="23">
        <f t="shared" si="34"/>
        <v>40.768016787827946</v>
      </c>
      <c r="P407" s="23">
        <f t="shared" si="35"/>
        <v>-40.768016787827946</v>
      </c>
      <c r="Q407" s="48">
        <f t="shared" si="36"/>
        <v>3.3478319953267658E-3</v>
      </c>
      <c r="S407">
        <v>219</v>
      </c>
      <c r="T407" s="50">
        <v>-61.839156814225134</v>
      </c>
      <c r="U407" s="51">
        <f t="shared" si="37"/>
        <v>1.3310994770879289E-3</v>
      </c>
      <c r="V407" s="51">
        <f>SUM($U$5:U407)</f>
        <v>0.77469227172688981</v>
      </c>
      <c r="AB407" s="37"/>
    </row>
    <row r="408" spans="9:28" x14ac:dyDescent="0.3">
      <c r="I408">
        <v>404</v>
      </c>
      <c r="J408" s="23">
        <f>$C$5*Data!C406/Data!C405</f>
        <v>11050.516228665223</v>
      </c>
      <c r="K408" s="23">
        <f>$C$6*Data!F406/Data!F405</f>
        <v>9519.8291959798917</v>
      </c>
      <c r="L408" s="23">
        <f>$C$7*Data!I406/Data!I405</f>
        <v>6161.5333762430218</v>
      </c>
      <c r="M408" s="23">
        <f>$C$8*Data!L406/Data!L405</f>
        <v>112.86737988998311</v>
      </c>
      <c r="N408" s="23">
        <f t="shared" si="33"/>
        <v>9979.8396670161492</v>
      </c>
      <c r="O408" s="23">
        <f t="shared" si="34"/>
        <v>-20.160332983850822</v>
      </c>
      <c r="P408" s="23">
        <f t="shared" si="35"/>
        <v>20.160332983850822</v>
      </c>
      <c r="Q408" s="48">
        <f t="shared" si="36"/>
        <v>3.3646552716851911E-3</v>
      </c>
      <c r="S408">
        <v>109</v>
      </c>
      <c r="T408" s="50">
        <v>-61.854301423270954</v>
      </c>
      <c r="U408" s="51">
        <f t="shared" si="37"/>
        <v>7.669188190750773E-4</v>
      </c>
      <c r="V408" s="51">
        <f>SUM($U$5:U408)</f>
        <v>0.7754591905459649</v>
      </c>
      <c r="AB408" s="37"/>
    </row>
    <row r="409" spans="9:28" x14ac:dyDescent="0.3">
      <c r="I409">
        <v>405</v>
      </c>
      <c r="J409" s="23">
        <f>$C$5*Data!C407/Data!C406</f>
        <v>11025.837170584164</v>
      </c>
      <c r="K409" s="23">
        <f>$C$6*Data!F407/Data!F406</f>
        <v>9481.5794899041139</v>
      </c>
      <c r="L409" s="23">
        <f>$C$7*Data!I407/Data!I406</f>
        <v>6154.5694858909528</v>
      </c>
      <c r="M409" s="23">
        <f>$C$8*Data!L407/Data!L406</f>
        <v>111.74778014255774</v>
      </c>
      <c r="N409" s="23">
        <f t="shared" si="33"/>
        <v>9937.9599620337358</v>
      </c>
      <c r="O409" s="23">
        <f t="shared" si="34"/>
        <v>-62.040037966264208</v>
      </c>
      <c r="P409" s="23">
        <f t="shared" si="35"/>
        <v>62.040037966264208</v>
      </c>
      <c r="Q409" s="48">
        <f t="shared" si="36"/>
        <v>3.3815630871207956E-3</v>
      </c>
      <c r="S409">
        <v>295</v>
      </c>
      <c r="T409" s="50">
        <v>-62.108956579337246</v>
      </c>
      <c r="U409" s="51">
        <f t="shared" si="37"/>
        <v>1.948302447745039E-3</v>
      </c>
      <c r="V409" s="51">
        <f>SUM($U$5:U409)</f>
        <v>0.77740749299370993</v>
      </c>
      <c r="AB409" s="37"/>
    </row>
    <row r="410" spans="9:28" x14ac:dyDescent="0.3">
      <c r="I410">
        <v>406</v>
      </c>
      <c r="J410" s="23">
        <f>$C$5*Data!C408/Data!C407</f>
        <v>11022.280164067257</v>
      </c>
      <c r="K410" s="23">
        <f>$C$6*Data!F408/Data!F407</f>
        <v>9586.9549243212368</v>
      </c>
      <c r="L410" s="23">
        <f>$C$7*Data!I408/Data!I407</f>
        <v>6248.4388195263291</v>
      </c>
      <c r="M410" s="23">
        <f>$C$8*Data!L408/Data!L407</f>
        <v>113.23081913930723</v>
      </c>
      <c r="N410" s="23">
        <f t="shared" si="33"/>
        <v>10011.028375910928</v>
      </c>
      <c r="O410" s="23">
        <f t="shared" si="34"/>
        <v>11.028375910927934</v>
      </c>
      <c r="P410" s="23">
        <f t="shared" si="35"/>
        <v>-11.028375910927934</v>
      </c>
      <c r="Q410" s="48">
        <f t="shared" si="36"/>
        <v>3.3985558664530605E-3</v>
      </c>
      <c r="S410">
        <v>327</v>
      </c>
      <c r="T410" s="50">
        <v>-63.098206046608539</v>
      </c>
      <c r="U410" s="51">
        <f t="shared" si="37"/>
        <v>2.2872718881585367E-3</v>
      </c>
      <c r="V410" s="51">
        <f>SUM($U$5:U410)</f>
        <v>0.77969476488186851</v>
      </c>
      <c r="AB410" s="37"/>
    </row>
    <row r="411" spans="9:28" x14ac:dyDescent="0.3">
      <c r="I411">
        <v>407</v>
      </c>
      <c r="J411" s="23">
        <f>$C$5*Data!C409/Data!C408</f>
        <v>10968.100660819064</v>
      </c>
      <c r="K411" s="23">
        <f>$C$6*Data!F409/Data!F408</f>
        <v>9497.5738845297583</v>
      </c>
      <c r="L411" s="23">
        <f>$C$7*Data!I409/Data!I408</f>
        <v>6206.8657115479627</v>
      </c>
      <c r="M411" s="23">
        <f>$C$8*Data!L409/Data!L408</f>
        <v>114.87509831926496</v>
      </c>
      <c r="N411" s="23">
        <f t="shared" si="33"/>
        <v>9985.8775580652909</v>
      </c>
      <c r="O411" s="23">
        <f t="shared" si="34"/>
        <v>-14.122441934709059</v>
      </c>
      <c r="P411" s="23">
        <f t="shared" si="35"/>
        <v>14.122441934709059</v>
      </c>
      <c r="Q411" s="48">
        <f t="shared" si="36"/>
        <v>3.4156340366362425E-3</v>
      </c>
      <c r="S411">
        <v>5</v>
      </c>
      <c r="T411" s="50">
        <v>-63.635125298076673</v>
      </c>
      <c r="U411" s="51">
        <f t="shared" si="37"/>
        <v>4.553546673425368E-4</v>
      </c>
      <c r="V411" s="51">
        <f>SUM($U$5:U411)</f>
        <v>0.7801501195492111</v>
      </c>
      <c r="AB411" s="37"/>
    </row>
    <row r="412" spans="9:28" x14ac:dyDescent="0.3">
      <c r="I412">
        <v>408</v>
      </c>
      <c r="J412" s="23">
        <f>$C$5*Data!C410/Data!C409</f>
        <v>11020.991566712113</v>
      </c>
      <c r="K412" s="23">
        <f>$C$6*Data!F410/Data!F409</f>
        <v>9587.8284886718211</v>
      </c>
      <c r="L412" s="23">
        <f>$C$7*Data!I410/Data!I409</f>
        <v>6217.916960861915</v>
      </c>
      <c r="M412" s="23">
        <f>$C$8*Data!L410/Data!L409</f>
        <v>113.34966061841023</v>
      </c>
      <c r="N412" s="23">
        <f t="shared" si="33"/>
        <v>10008.017863976087</v>
      </c>
      <c r="O412" s="23">
        <f t="shared" si="34"/>
        <v>8.0178639760870283</v>
      </c>
      <c r="P412" s="23">
        <f t="shared" si="35"/>
        <v>-8.0178639760870283</v>
      </c>
      <c r="Q412" s="48">
        <f t="shared" si="36"/>
        <v>3.4327980267700926E-3</v>
      </c>
      <c r="S412">
        <v>433</v>
      </c>
      <c r="T412" s="50">
        <v>-64.430016567246639</v>
      </c>
      <c r="U412" s="51">
        <f t="shared" si="37"/>
        <v>3.8910896164613511E-3</v>
      </c>
      <c r="V412" s="51">
        <f>SUM($U$5:U412)</f>
        <v>0.78404120916567244</v>
      </c>
      <c r="AB412" s="37"/>
    </row>
    <row r="413" spans="9:28" x14ac:dyDescent="0.3">
      <c r="I413">
        <v>409</v>
      </c>
      <c r="J413" s="23">
        <f>$C$5*Data!C411/Data!C410</f>
        <v>10929.294252656393</v>
      </c>
      <c r="K413" s="23">
        <f>$C$6*Data!F411/Data!F410</f>
        <v>9522.4513053942446</v>
      </c>
      <c r="L413" s="23">
        <f>$C$7*Data!I411/Data!I410</f>
        <v>6122.8852106100803</v>
      </c>
      <c r="M413" s="23">
        <f>$C$8*Data!L411/Data!L410</f>
        <v>111.94324469067809</v>
      </c>
      <c r="N413" s="23">
        <f t="shared" si="33"/>
        <v>9914.0512510060962</v>
      </c>
      <c r="O413" s="23">
        <f t="shared" si="34"/>
        <v>-85.948748993903791</v>
      </c>
      <c r="P413" s="23">
        <f t="shared" si="35"/>
        <v>85.948748993903791</v>
      </c>
      <c r="Q413" s="48">
        <f t="shared" si="36"/>
        <v>3.4500482681106451E-3</v>
      </c>
      <c r="S413">
        <v>317</v>
      </c>
      <c r="T413" s="50">
        <v>-64.506650788591287</v>
      </c>
      <c r="U413" s="51">
        <f t="shared" si="37"/>
        <v>2.1754474639571588E-3</v>
      </c>
      <c r="V413" s="51">
        <f>SUM($U$5:U413)</f>
        <v>0.78621665662962958</v>
      </c>
      <c r="AB413" s="37"/>
    </row>
    <row r="414" spans="9:28" x14ac:dyDescent="0.3">
      <c r="I414">
        <v>410</v>
      </c>
      <c r="J414" s="23">
        <f>$C$5*Data!C412/Data!C411</f>
        <v>11089.940145273</v>
      </c>
      <c r="K414" s="23">
        <f>$C$6*Data!F412/Data!F411</f>
        <v>9621.3514433633682</v>
      </c>
      <c r="L414" s="23">
        <f>$C$7*Data!I412/Data!I411</f>
        <v>6172.6185842427358</v>
      </c>
      <c r="M414" s="23">
        <f>$C$8*Data!L412/Data!L411</f>
        <v>112.12244547696689</v>
      </c>
      <c r="N414" s="23">
        <f t="shared" si="33"/>
        <v>10014.455337339792</v>
      </c>
      <c r="O414" s="23">
        <f t="shared" si="34"/>
        <v>14.455337339792095</v>
      </c>
      <c r="P414" s="23">
        <f t="shared" si="35"/>
        <v>-14.455337339792095</v>
      </c>
      <c r="Q414" s="48">
        <f t="shared" si="36"/>
        <v>3.4673851940810506E-3</v>
      </c>
      <c r="S414">
        <v>244</v>
      </c>
      <c r="T414" s="50">
        <v>-65.244727420282288</v>
      </c>
      <c r="U414" s="51">
        <f t="shared" si="37"/>
        <v>1.5088063187472989E-3</v>
      </c>
      <c r="V414" s="51">
        <f>SUM($U$5:U414)</f>
        <v>0.78772546294837686</v>
      </c>
      <c r="AB414" s="37"/>
    </row>
    <row r="415" spans="9:28" x14ac:dyDescent="0.3">
      <c r="I415">
        <v>411</v>
      </c>
      <c r="J415" s="23">
        <f>$C$5*Data!C413/Data!C412</f>
        <v>10995.288337626858</v>
      </c>
      <c r="K415" s="23">
        <f>$C$6*Data!F413/Data!F412</f>
        <v>9477.2923480415393</v>
      </c>
      <c r="L415" s="23">
        <f>$C$7*Data!I413/Data!I412</f>
        <v>6174.8437923427227</v>
      </c>
      <c r="M415" s="23">
        <f>$C$8*Data!L413/Data!L412</f>
        <v>111.09407396260121</v>
      </c>
      <c r="N415" s="23">
        <f t="shared" si="33"/>
        <v>9917.2153607086693</v>
      </c>
      <c r="O415" s="23">
        <f t="shared" si="34"/>
        <v>-82.784639291330677</v>
      </c>
      <c r="P415" s="23">
        <f t="shared" si="35"/>
        <v>82.784639291330677</v>
      </c>
      <c r="Q415" s="48">
        <f t="shared" si="36"/>
        <v>3.4848092402824629E-3</v>
      </c>
      <c r="S415">
        <v>482</v>
      </c>
      <c r="T415" s="50">
        <v>-65.382288528113349</v>
      </c>
      <c r="U415" s="51">
        <f t="shared" si="37"/>
        <v>4.9743950977236898E-3</v>
      </c>
      <c r="V415" s="51">
        <f>SUM($U$5:U415)</f>
        <v>0.79269985804610055</v>
      </c>
      <c r="AB415" s="37"/>
    </row>
    <row r="416" spans="9:28" x14ac:dyDescent="0.3">
      <c r="I416">
        <v>412</v>
      </c>
      <c r="J416" s="23">
        <f>$C$5*Data!C414/Data!C413</f>
        <v>10963.462844330434</v>
      </c>
      <c r="K416" s="23">
        <f>$C$6*Data!F414/Data!F413</f>
        <v>9635.6334723669697</v>
      </c>
      <c r="L416" s="23">
        <f>$C$7*Data!I414/Data!I413</f>
        <v>6187.8062227846522</v>
      </c>
      <c r="M416" s="23">
        <f>$C$8*Data!L414/Data!L413</f>
        <v>112.66921344932058</v>
      </c>
      <c r="N416" s="23">
        <f t="shared" si="33"/>
        <v>9985.1608521363396</v>
      </c>
      <c r="O416" s="23">
        <f t="shared" si="34"/>
        <v>-14.839147863660401</v>
      </c>
      <c r="P416" s="23">
        <f t="shared" si="35"/>
        <v>14.839147863660401</v>
      </c>
      <c r="Q416" s="48">
        <f t="shared" si="36"/>
        <v>3.5023208445049878E-3</v>
      </c>
      <c r="S416">
        <v>211</v>
      </c>
      <c r="T416" s="50">
        <v>-65.823117159405228</v>
      </c>
      <c r="U416" s="51">
        <f t="shared" si="37"/>
        <v>1.2787780079452748E-3</v>
      </c>
      <c r="V416" s="51">
        <f>SUM($U$5:U416)</f>
        <v>0.79397863605404584</v>
      </c>
      <c r="AB416" s="37"/>
    </row>
    <row r="417" spans="9:28" x14ac:dyDescent="0.3">
      <c r="I417">
        <v>413</v>
      </c>
      <c r="J417" s="23">
        <f>$C$5*Data!C415/Data!C414</f>
        <v>11077.695022992613</v>
      </c>
      <c r="K417" s="23">
        <f>$C$6*Data!F415/Data!F414</f>
        <v>9567.7834641133304</v>
      </c>
      <c r="L417" s="23">
        <f>$C$7*Data!I415/Data!I414</f>
        <v>6236.7445265953484</v>
      </c>
      <c r="M417" s="23">
        <f>$C$8*Data!L415/Data!L414</f>
        <v>114.28919093847061</v>
      </c>
      <c r="N417" s="23">
        <f t="shared" si="33"/>
        <v>10042.023480715561</v>
      </c>
      <c r="O417" s="23">
        <f t="shared" si="34"/>
        <v>42.023480715561163</v>
      </c>
      <c r="P417" s="23">
        <f t="shared" si="35"/>
        <v>-42.023480715561163</v>
      </c>
      <c r="Q417" s="48">
        <f t="shared" si="36"/>
        <v>3.5199204467386814E-3</v>
      </c>
      <c r="S417">
        <v>198</v>
      </c>
      <c r="T417" s="50">
        <v>-66.175228287527716</v>
      </c>
      <c r="U417" s="51">
        <f t="shared" si="37"/>
        <v>1.1981059045754949E-3</v>
      </c>
      <c r="V417" s="51">
        <f>SUM($U$5:U417)</f>
        <v>0.79517674195862131</v>
      </c>
      <c r="AB417" s="37"/>
    </row>
    <row r="418" spans="9:28" x14ac:dyDescent="0.3">
      <c r="I418">
        <v>414</v>
      </c>
      <c r="J418" s="23">
        <f>$C$5*Data!C416/Data!C415</f>
        <v>10886.947474038536</v>
      </c>
      <c r="K418" s="23">
        <f>$C$6*Data!F416/Data!F415</f>
        <v>9650.7403153427331</v>
      </c>
      <c r="L418" s="23">
        <f>$C$7*Data!I416/Data!I415</f>
        <v>6231.9780648335445</v>
      </c>
      <c r="M418" s="23">
        <f>$C$8*Data!L416/Data!L415</f>
        <v>111.8425866112983</v>
      </c>
      <c r="N418" s="23">
        <f t="shared" si="33"/>
        <v>9954.5841120320911</v>
      </c>
      <c r="O418" s="23">
        <f t="shared" si="34"/>
        <v>-45.41588796790893</v>
      </c>
      <c r="P418" s="23">
        <f t="shared" si="35"/>
        <v>45.41588796790893</v>
      </c>
      <c r="Q418" s="48">
        <f t="shared" si="36"/>
        <v>3.5376084891846041E-3</v>
      </c>
      <c r="S418">
        <v>468</v>
      </c>
      <c r="T418" s="50">
        <v>-66.715413849906327</v>
      </c>
      <c r="U418" s="51">
        <f t="shared" si="37"/>
        <v>4.6372809359703608E-3</v>
      </c>
      <c r="V418" s="51">
        <f>SUM($U$5:U418)</f>
        <v>0.79981402289459169</v>
      </c>
      <c r="AB418" s="37"/>
    </row>
    <row r="419" spans="9:28" x14ac:dyDescent="0.3">
      <c r="I419">
        <v>415</v>
      </c>
      <c r="J419" s="23">
        <f>$C$5*Data!C417/Data!C416</f>
        <v>10824.729820920133</v>
      </c>
      <c r="K419" s="23">
        <f>$C$6*Data!F417/Data!F416</f>
        <v>9581.6568395677568</v>
      </c>
      <c r="L419" s="23">
        <f>$C$7*Data!I417/Data!I416</f>
        <v>6096.0824951616314</v>
      </c>
      <c r="M419" s="23">
        <f>$C$8*Data!L417/Data!L416</f>
        <v>111.24036990164103</v>
      </c>
      <c r="N419" s="23">
        <f t="shared" si="33"/>
        <v>9877.8232300989785</v>
      </c>
      <c r="O419" s="23">
        <f t="shared" si="34"/>
        <v>-122.17676990102154</v>
      </c>
      <c r="P419" s="23">
        <f t="shared" si="35"/>
        <v>122.17676990102154</v>
      </c>
      <c r="Q419" s="48">
        <f t="shared" si="36"/>
        <v>3.5553854162659339E-3</v>
      </c>
      <c r="S419">
        <v>432</v>
      </c>
      <c r="T419" s="50">
        <v>-68.949333618164019</v>
      </c>
      <c r="U419" s="51">
        <f t="shared" si="37"/>
        <v>3.8716341683790447E-3</v>
      </c>
      <c r="V419" s="51">
        <f>SUM($U$5:U419)</f>
        <v>0.80368565706297068</v>
      </c>
      <c r="AB419" s="37"/>
    </row>
    <row r="420" spans="9:28" x14ac:dyDescent="0.3">
      <c r="I420">
        <v>416</v>
      </c>
      <c r="J420" s="23">
        <f>$C$5*Data!C418/Data!C417</f>
        <v>11109.926901297891</v>
      </c>
      <c r="K420" s="23">
        <f>$C$6*Data!F418/Data!F417</f>
        <v>9624.8249972805315</v>
      </c>
      <c r="L420" s="23">
        <f>$C$7*Data!I418/Data!I417</f>
        <v>6045.8080525242522</v>
      </c>
      <c r="M420" s="23">
        <f>$C$8*Data!L418/Data!L417</f>
        <v>113.80874573168498</v>
      </c>
      <c r="N420" s="23">
        <f t="shared" si="33"/>
        <v>10032.235273064254</v>
      </c>
      <c r="O420" s="23">
        <f t="shared" si="34"/>
        <v>32.235273064254216</v>
      </c>
      <c r="P420" s="23">
        <f t="shared" si="35"/>
        <v>-32.235273064254216</v>
      </c>
      <c r="Q420" s="48">
        <f t="shared" si="36"/>
        <v>3.5732516746391297E-3</v>
      </c>
      <c r="S420">
        <v>232</v>
      </c>
      <c r="T420" s="50">
        <v>-69.73312924108177</v>
      </c>
      <c r="U420" s="51">
        <f t="shared" si="37"/>
        <v>1.420726440948978E-3</v>
      </c>
      <c r="V420" s="51">
        <f>SUM($U$5:U420)</f>
        <v>0.80510638350391961</v>
      </c>
      <c r="AB420" s="37"/>
    </row>
    <row r="421" spans="9:28" x14ac:dyDescent="0.3">
      <c r="I421">
        <v>417</v>
      </c>
      <c r="J421" s="23">
        <f>$C$5*Data!C419/Data!C418</f>
        <v>11178.759498368208</v>
      </c>
      <c r="K421" s="23">
        <f>$C$6*Data!F419/Data!F418</f>
        <v>9493.5392433738798</v>
      </c>
      <c r="L421" s="23">
        <f>$C$7*Data!I419/Data!I418</f>
        <v>6261.9207237153541</v>
      </c>
      <c r="M421" s="23">
        <f>$C$8*Data!L419/Data!L418</f>
        <v>111.90112006603761</v>
      </c>
      <c r="N421" s="23">
        <f t="shared" si="33"/>
        <v>10017.22611705885</v>
      </c>
      <c r="O421" s="23">
        <f t="shared" si="34"/>
        <v>17.226117058849923</v>
      </c>
      <c r="P421" s="23">
        <f t="shared" si="35"/>
        <v>-17.226117058849923</v>
      </c>
      <c r="Q421" s="48">
        <f t="shared" si="36"/>
        <v>3.591207713205155E-3</v>
      </c>
      <c r="S421">
        <v>40</v>
      </c>
      <c r="T421" s="50">
        <v>-69.73347489632215</v>
      </c>
      <c r="U421" s="51">
        <f t="shared" si="37"/>
        <v>5.4267768828542614E-4</v>
      </c>
      <c r="V421" s="51">
        <f>SUM($U$5:U421)</f>
        <v>0.80564906119220503</v>
      </c>
      <c r="AB421" s="37"/>
    </row>
    <row r="422" spans="9:28" x14ac:dyDescent="0.3">
      <c r="I422">
        <v>418</v>
      </c>
      <c r="J422" s="23">
        <f>$C$5*Data!C420/Data!C419</f>
        <v>10972.699966305445</v>
      </c>
      <c r="K422" s="23">
        <f>$C$6*Data!F420/Data!F419</f>
        <v>9626.8049629222442</v>
      </c>
      <c r="L422" s="23">
        <f>$C$7*Data!I420/Data!I419</f>
        <v>6248.6307658710557</v>
      </c>
      <c r="M422" s="23">
        <f>$C$8*Data!L420/Data!L419</f>
        <v>114.58321397270149</v>
      </c>
      <c r="N422" s="23">
        <f t="shared" si="33"/>
        <v>10029.493453907486</v>
      </c>
      <c r="O422" s="23">
        <f t="shared" si="34"/>
        <v>29.493453907485673</v>
      </c>
      <c r="P422" s="23">
        <f t="shared" si="35"/>
        <v>-29.493453907485673</v>
      </c>
      <c r="Q422" s="48">
        <f t="shared" si="36"/>
        <v>3.6092539831207595E-3</v>
      </c>
      <c r="S422">
        <v>458</v>
      </c>
      <c r="T422" s="50">
        <v>-70.121141757776059</v>
      </c>
      <c r="U422" s="51">
        <f t="shared" si="37"/>
        <v>4.4105648760172081E-3</v>
      </c>
      <c r="V422" s="51">
        <f>SUM($U$5:U422)</f>
        <v>0.81005962606822224</v>
      </c>
      <c r="AB422" s="37"/>
    </row>
    <row r="423" spans="9:28" x14ac:dyDescent="0.3">
      <c r="I423">
        <v>419</v>
      </c>
      <c r="J423" s="23">
        <f>$C$5*Data!C421/Data!C420</f>
        <v>10850.547718867349</v>
      </c>
      <c r="K423" s="23">
        <f>$C$6*Data!F421/Data!F420</f>
        <v>9521.8228643057955</v>
      </c>
      <c r="L423" s="23">
        <f>$C$7*Data!I421/Data!I420</f>
        <v>6141.3397273899309</v>
      </c>
      <c r="M423" s="23">
        <f>$C$8*Data!L421/Data!L420</f>
        <v>111.34905679239473</v>
      </c>
      <c r="N423" s="23">
        <f t="shared" si="33"/>
        <v>9877.7202333000332</v>
      </c>
      <c r="O423" s="23">
        <f t="shared" si="34"/>
        <v>-122.27976669996679</v>
      </c>
      <c r="P423" s="23">
        <f t="shared" si="35"/>
        <v>122.27976669996679</v>
      </c>
      <c r="Q423" s="48">
        <f t="shared" si="36"/>
        <v>3.6273909378098075E-3</v>
      </c>
      <c r="S423">
        <v>250</v>
      </c>
      <c r="T423" s="50">
        <v>-70.661347876699438</v>
      </c>
      <c r="U423" s="51">
        <f t="shared" si="37"/>
        <v>1.5548733132889597E-3</v>
      </c>
      <c r="V423" s="51">
        <f>SUM($U$5:U423)</f>
        <v>0.8116144993815112</v>
      </c>
      <c r="AB423" s="37"/>
    </row>
    <row r="424" spans="9:28" x14ac:dyDescent="0.3">
      <c r="I424">
        <v>420</v>
      </c>
      <c r="J424" s="23">
        <f>$C$5*Data!C422/Data!C421</f>
        <v>11122.410260283546</v>
      </c>
      <c r="K424" s="23">
        <f>$C$6*Data!F422/Data!F421</f>
        <v>9609.2876061016432</v>
      </c>
      <c r="L424" s="23">
        <f>$C$7*Data!I422/Data!I421</f>
        <v>6260.0919442733612</v>
      </c>
      <c r="M424" s="23">
        <f>$C$8*Data!L422/Data!L421</f>
        <v>112.62159376623788</v>
      </c>
      <c r="N424" s="23">
        <f t="shared" si="33"/>
        <v>10045.425148246119</v>
      </c>
      <c r="O424" s="23">
        <f t="shared" si="34"/>
        <v>45.425148246118624</v>
      </c>
      <c r="P424" s="23">
        <f t="shared" si="35"/>
        <v>-45.425148246118624</v>
      </c>
      <c r="Q424" s="48">
        <f t="shared" si="36"/>
        <v>3.6456190329746808E-3</v>
      </c>
      <c r="S424">
        <v>248</v>
      </c>
      <c r="T424" s="50">
        <v>-70.899575864106737</v>
      </c>
      <c r="U424" s="51">
        <f t="shared" si="37"/>
        <v>1.5393634519889022E-3</v>
      </c>
      <c r="V424" s="51">
        <f>SUM($U$5:U424)</f>
        <v>0.81315386283350011</v>
      </c>
      <c r="AB424" s="37"/>
    </row>
    <row r="425" spans="9:28" x14ac:dyDescent="0.3">
      <c r="I425">
        <v>421</v>
      </c>
      <c r="J425" s="23">
        <f>$C$5*Data!C423/Data!C422</f>
        <v>11092.774181445107</v>
      </c>
      <c r="K425" s="23">
        <f>$C$6*Data!F423/Data!F422</f>
        <v>9824.1417677924219</v>
      </c>
      <c r="L425" s="23">
        <f>$C$7*Data!I423/Data!I422</f>
        <v>6227.7253760100484</v>
      </c>
      <c r="M425" s="23">
        <f>$C$8*Data!L423/Data!L422</f>
        <v>113.40005196530825</v>
      </c>
      <c r="N425" s="23">
        <f t="shared" si="33"/>
        <v>10110.392260928016</v>
      </c>
      <c r="O425" s="23">
        <f t="shared" si="34"/>
        <v>110.39226092801619</v>
      </c>
      <c r="P425" s="23">
        <f t="shared" si="35"/>
        <v>-110.39226092801619</v>
      </c>
      <c r="Q425" s="48">
        <f t="shared" si="36"/>
        <v>3.66393872660772E-3</v>
      </c>
      <c r="S425">
        <v>315</v>
      </c>
      <c r="T425" s="50">
        <v>-71.381076541454604</v>
      </c>
      <c r="U425" s="51">
        <f t="shared" si="37"/>
        <v>2.153747375504186E-3</v>
      </c>
      <c r="V425" s="51">
        <f>SUM($U$5:U425)</f>
        <v>0.81530761020900433</v>
      </c>
      <c r="AB425" s="37"/>
    </row>
    <row r="426" spans="9:28" x14ac:dyDescent="0.3">
      <c r="I426">
        <v>422</v>
      </c>
      <c r="J426" s="23">
        <f>$C$5*Data!C424/Data!C423</f>
        <v>11142.630067535785</v>
      </c>
      <c r="K426" s="23">
        <f>$C$6*Data!F424/Data!F423</f>
        <v>9677.7713509512778</v>
      </c>
      <c r="L426" s="23">
        <f>$C$7*Data!I424/Data!I423</f>
        <v>6387.9788717638075</v>
      </c>
      <c r="M426" s="23">
        <f>$C$8*Data!L424/Data!L423</f>
        <v>114.76133746628781</v>
      </c>
      <c r="N426" s="23">
        <f t="shared" si="33"/>
        <v>10132.721372289445</v>
      </c>
      <c r="O426" s="23">
        <f t="shared" si="34"/>
        <v>132.72137228944484</v>
      </c>
      <c r="P426" s="23">
        <f t="shared" si="35"/>
        <v>-132.72137228944484</v>
      </c>
      <c r="Q426" s="48">
        <f t="shared" si="36"/>
        <v>3.6823504790027338E-3</v>
      </c>
      <c r="S426">
        <v>454</v>
      </c>
      <c r="T426" s="50">
        <v>-71.403934052552358</v>
      </c>
      <c r="U426" s="51">
        <f t="shared" si="37"/>
        <v>4.323012960702431E-3</v>
      </c>
      <c r="V426" s="51">
        <f>SUM($U$5:U426)</f>
        <v>0.81963062316970681</v>
      </c>
      <c r="AB426" s="37"/>
    </row>
    <row r="427" spans="9:28" x14ac:dyDescent="0.3">
      <c r="I427">
        <v>423</v>
      </c>
      <c r="J427" s="23">
        <f>$C$5*Data!C425/Data!C424</f>
        <v>11006.771091080171</v>
      </c>
      <c r="K427" s="23">
        <f>$C$6*Data!F425/Data!F424</f>
        <v>9593.412071803732</v>
      </c>
      <c r="L427" s="23">
        <f>$C$7*Data!I425/Data!I424</f>
        <v>6206.0074528341192</v>
      </c>
      <c r="M427" s="23">
        <f>$C$8*Data!L425/Data!L424</f>
        <v>115.28590858168958</v>
      </c>
      <c r="N427" s="23">
        <f t="shared" si="33"/>
        <v>10037.00516083149</v>
      </c>
      <c r="O427" s="23">
        <f t="shared" si="34"/>
        <v>37.005160831489775</v>
      </c>
      <c r="P427" s="23">
        <f t="shared" si="35"/>
        <v>-37.005160831489775</v>
      </c>
      <c r="Q427" s="48">
        <f t="shared" si="36"/>
        <v>3.7008547527665665E-3</v>
      </c>
      <c r="S427">
        <v>289</v>
      </c>
      <c r="T427" s="50">
        <v>-73.109402634596336</v>
      </c>
      <c r="U427" s="51">
        <f t="shared" si="37"/>
        <v>1.8905791352033085E-3</v>
      </c>
      <c r="V427" s="51">
        <f>SUM($U$5:U427)</f>
        <v>0.8215212023049101</v>
      </c>
      <c r="AB427" s="37"/>
    </row>
    <row r="428" spans="9:28" x14ac:dyDescent="0.3">
      <c r="I428">
        <v>424</v>
      </c>
      <c r="J428" s="23">
        <f>$C$5*Data!C426/Data!C425</f>
        <v>11131.792067904704</v>
      </c>
      <c r="K428" s="23">
        <f>$C$6*Data!F426/Data!F425</f>
        <v>9657.9780875406996</v>
      </c>
      <c r="L428" s="23">
        <f>$C$7*Data!I426/Data!I425</f>
        <v>6291.4651620264112</v>
      </c>
      <c r="M428" s="23">
        <f>$C$8*Data!L426/Data!L425</f>
        <v>111.95609355250126</v>
      </c>
      <c r="N428" s="23">
        <f t="shared" si="33"/>
        <v>10057.308360526808</v>
      </c>
      <c r="O428" s="23">
        <f t="shared" si="34"/>
        <v>57.308360526807519</v>
      </c>
      <c r="P428" s="23">
        <f t="shared" si="35"/>
        <v>-57.308360526807519</v>
      </c>
      <c r="Q428" s="48">
        <f t="shared" si="36"/>
        <v>3.7194520128307203E-3</v>
      </c>
      <c r="S428">
        <v>222</v>
      </c>
      <c r="T428" s="50">
        <v>-74.574024710238518</v>
      </c>
      <c r="U428" s="51">
        <f t="shared" si="37"/>
        <v>1.3512673106071543E-3</v>
      </c>
      <c r="V428" s="51">
        <f>SUM($U$5:U428)</f>
        <v>0.8228724696155173</v>
      </c>
      <c r="AB428" s="37"/>
    </row>
    <row r="429" spans="9:28" x14ac:dyDescent="0.3">
      <c r="I429">
        <v>425</v>
      </c>
      <c r="J429" s="23">
        <f>$C$5*Data!C427/Data!C426</f>
        <v>11000.020916486366</v>
      </c>
      <c r="K429" s="23">
        <f>$C$6*Data!F427/Data!F426</f>
        <v>9666.2195729697032</v>
      </c>
      <c r="L429" s="23">
        <f>$C$7*Data!I427/Data!I426</f>
        <v>6211.7393438497484</v>
      </c>
      <c r="M429" s="23">
        <f>$C$8*Data!L427/Data!L426</f>
        <v>113.27475752111336</v>
      </c>
      <c r="N429" s="23">
        <f t="shared" si="33"/>
        <v>10022.58077354846</v>
      </c>
      <c r="O429" s="23">
        <f t="shared" si="34"/>
        <v>22.580773548459547</v>
      </c>
      <c r="P429" s="23">
        <f t="shared" si="35"/>
        <v>-22.580773548459547</v>
      </c>
      <c r="Q429" s="48">
        <f t="shared" si="36"/>
        <v>3.738142726463035E-3</v>
      </c>
      <c r="S429">
        <v>310</v>
      </c>
      <c r="T429" s="50">
        <v>-74.876668628279731</v>
      </c>
      <c r="U429" s="51">
        <f t="shared" si="37"/>
        <v>2.100439442499968E-3</v>
      </c>
      <c r="V429" s="51">
        <f>SUM($U$5:U429)</f>
        <v>0.82497290905801723</v>
      </c>
      <c r="AB429" s="37"/>
    </row>
    <row r="430" spans="9:28" x14ac:dyDescent="0.3">
      <c r="I430">
        <v>426</v>
      </c>
      <c r="J430" s="23">
        <f>$C$5*Data!C428/Data!C427</f>
        <v>11052.512096243179</v>
      </c>
      <c r="K430" s="23">
        <f>$C$6*Data!F428/Data!F427</f>
        <v>9553.8055139739172</v>
      </c>
      <c r="L430" s="23">
        <f>$C$7*Data!I428/Data!I427</f>
        <v>6195.7857201066263</v>
      </c>
      <c r="M430" s="23">
        <f>$C$8*Data!L428/Data!L427</f>
        <v>111.9529330730841</v>
      </c>
      <c r="N430" s="23">
        <f t="shared" si="33"/>
        <v>9980.4954976882091</v>
      </c>
      <c r="O430" s="23">
        <f t="shared" si="34"/>
        <v>-19.50450231179093</v>
      </c>
      <c r="P430" s="23">
        <f t="shared" si="35"/>
        <v>19.50450231179093</v>
      </c>
      <c r="Q430" s="48">
        <f t="shared" si="36"/>
        <v>3.7569273632794323E-3</v>
      </c>
      <c r="S430">
        <v>34</v>
      </c>
      <c r="T430" s="50">
        <v>-76.53321535586656</v>
      </c>
      <c r="U430" s="51">
        <f t="shared" si="37"/>
        <v>5.2659951015318629E-4</v>
      </c>
      <c r="V430" s="51">
        <f>SUM($U$5:U430)</f>
        <v>0.82549950856817045</v>
      </c>
      <c r="AB430" s="37"/>
    </row>
    <row r="431" spans="9:28" x14ac:dyDescent="0.3">
      <c r="I431">
        <v>427</v>
      </c>
      <c r="J431" s="23">
        <f>$C$5*Data!C429/Data!C428</f>
        <v>10978.86074480336</v>
      </c>
      <c r="K431" s="23">
        <f>$C$6*Data!F429/Data!F428</f>
        <v>9626.7106311965163</v>
      </c>
      <c r="L431" s="23">
        <f>$C$7*Data!I429/Data!I428</f>
        <v>6214.0663818317698</v>
      </c>
      <c r="M431" s="23">
        <f>$C$8*Data!L429/Data!L428</f>
        <v>114.05392888153764</v>
      </c>
      <c r="N431" s="23">
        <f t="shared" si="33"/>
        <v>10016.742582179693</v>
      </c>
      <c r="O431" s="23">
        <f t="shared" si="34"/>
        <v>16.742582179693272</v>
      </c>
      <c r="P431" s="23">
        <f t="shared" si="35"/>
        <v>-16.742582179693272</v>
      </c>
      <c r="Q431" s="48">
        <f t="shared" si="36"/>
        <v>3.7758063952557101E-3</v>
      </c>
      <c r="S431">
        <v>61</v>
      </c>
      <c r="T431" s="50">
        <v>-78.696693547492032</v>
      </c>
      <c r="U431" s="51">
        <f t="shared" si="37"/>
        <v>6.0291664062865776E-4</v>
      </c>
      <c r="V431" s="51">
        <f>SUM($U$5:U431)</f>
        <v>0.82610242520879906</v>
      </c>
      <c r="AB431" s="37"/>
    </row>
    <row r="432" spans="9:28" x14ac:dyDescent="0.3">
      <c r="I432">
        <v>428</v>
      </c>
      <c r="J432" s="23">
        <f>$C$5*Data!C430/Data!C429</f>
        <v>11097.799366202005</v>
      </c>
      <c r="K432" s="23">
        <f>$C$6*Data!F430/Data!F429</f>
        <v>9621.6370931070833</v>
      </c>
      <c r="L432" s="23">
        <f>$C$7*Data!I430/Data!I429</f>
        <v>6285.9038521431257</v>
      </c>
      <c r="M432" s="23">
        <f>$C$8*Data!L430/Data!L429</f>
        <v>112.6443688792216</v>
      </c>
      <c r="N432" s="23">
        <f t="shared" si="33"/>
        <v>10044.919579372892</v>
      </c>
      <c r="O432" s="23">
        <f t="shared" si="34"/>
        <v>44.919579372892258</v>
      </c>
      <c r="P432" s="23">
        <f t="shared" si="35"/>
        <v>-44.919579372892258</v>
      </c>
      <c r="Q432" s="48">
        <f t="shared" si="36"/>
        <v>3.794780296739408E-3</v>
      </c>
      <c r="S432">
        <v>102</v>
      </c>
      <c r="T432" s="50">
        <v>-79.105912814644398</v>
      </c>
      <c r="U432" s="51">
        <f t="shared" si="37"/>
        <v>7.4047595424373469E-4</v>
      </c>
      <c r="V432" s="51">
        <f>SUM($U$5:U432)</f>
        <v>0.82684290116304282</v>
      </c>
      <c r="AB432" s="37"/>
    </row>
    <row r="433" spans="9:28" x14ac:dyDescent="0.3">
      <c r="I433">
        <v>429</v>
      </c>
      <c r="J433" s="23">
        <f>$C$5*Data!C431/Data!C430</f>
        <v>10982.725943113577</v>
      </c>
      <c r="K433" s="23">
        <f>$C$6*Data!F431/Data!F430</f>
        <v>9521.2430564497845</v>
      </c>
      <c r="L433" s="23">
        <f>$C$7*Data!I431/Data!I430</f>
        <v>6224.3020864475902</v>
      </c>
      <c r="M433" s="23">
        <f>$C$8*Data!L431/Data!L430</f>
        <v>111.88476259112099</v>
      </c>
      <c r="N433" s="23">
        <f t="shared" si="33"/>
        <v>9948.3842898015337</v>
      </c>
      <c r="O433" s="23">
        <f t="shared" si="34"/>
        <v>-51.615710198466331</v>
      </c>
      <c r="P433" s="23">
        <f t="shared" si="35"/>
        <v>51.615710198466331</v>
      </c>
      <c r="Q433" s="48">
        <f t="shared" si="36"/>
        <v>3.8138495444617164E-3</v>
      </c>
      <c r="S433">
        <v>199</v>
      </c>
      <c r="T433" s="50">
        <v>-79.640877844030911</v>
      </c>
      <c r="U433" s="51">
        <f t="shared" si="37"/>
        <v>1.2041265372618041E-3</v>
      </c>
      <c r="V433" s="51">
        <f>SUM($U$5:U433)</f>
        <v>0.82804702770030458</v>
      </c>
      <c r="AB433" s="37"/>
    </row>
    <row r="434" spans="9:28" x14ac:dyDescent="0.3">
      <c r="I434">
        <v>430</v>
      </c>
      <c r="J434" s="23">
        <f>$C$5*Data!C432/Data!C431</f>
        <v>11053.441447459976</v>
      </c>
      <c r="K434" s="23">
        <f>$C$6*Data!F432/Data!F431</f>
        <v>9683.4493853485765</v>
      </c>
      <c r="L434" s="23">
        <f>$C$7*Data!I432/Data!I431</f>
        <v>6212.0670197326399</v>
      </c>
      <c r="M434" s="23">
        <f>$C$8*Data!L432/Data!L431</f>
        <v>113.60105284418435</v>
      </c>
      <c r="N434" s="23">
        <f t="shared" si="33"/>
        <v>10053.189006605931</v>
      </c>
      <c r="O434" s="23">
        <f t="shared" si="34"/>
        <v>53.189006605931354</v>
      </c>
      <c r="P434" s="23">
        <f t="shared" si="35"/>
        <v>-53.189006605931354</v>
      </c>
      <c r="Q434" s="48">
        <f t="shared" si="36"/>
        <v>3.8330146175494639E-3</v>
      </c>
      <c r="S434">
        <v>24</v>
      </c>
      <c r="T434" s="50">
        <v>-82.827667048259173</v>
      </c>
      <c r="U434" s="51">
        <f t="shared" si="37"/>
        <v>5.0085412880500856E-4</v>
      </c>
      <c r="V434" s="51">
        <f>SUM($U$5:U434)</f>
        <v>0.82854788182910954</v>
      </c>
      <c r="AB434" s="37"/>
    </row>
    <row r="435" spans="9:28" x14ac:dyDescent="0.3">
      <c r="I435">
        <v>431</v>
      </c>
      <c r="J435" s="23">
        <f>$C$5*Data!C433/Data!C432</f>
        <v>11043.227273040551</v>
      </c>
      <c r="K435" s="23">
        <f>$C$6*Data!F433/Data!F432</f>
        <v>9553.12805845617</v>
      </c>
      <c r="L435" s="23">
        <f>$C$7*Data!I433/Data!I432</f>
        <v>6221.6548333510636</v>
      </c>
      <c r="M435" s="23">
        <f>$C$8*Data!L433/Data!L432</f>
        <v>112.02730853132923</v>
      </c>
      <c r="N435" s="23">
        <f t="shared" si="33"/>
        <v>9982.404875059965</v>
      </c>
      <c r="O435" s="23">
        <f t="shared" si="34"/>
        <v>-17.595124940035021</v>
      </c>
      <c r="P435" s="23">
        <f t="shared" si="35"/>
        <v>17.595124940035021</v>
      </c>
      <c r="Q435" s="48">
        <f t="shared" si="36"/>
        <v>3.8522759975371493E-3</v>
      </c>
      <c r="S435">
        <v>412</v>
      </c>
      <c r="T435" s="50">
        <v>-83.197260851640749</v>
      </c>
      <c r="U435" s="51">
        <f t="shared" si="37"/>
        <v>3.5023208445049878E-3</v>
      </c>
      <c r="V435" s="51">
        <f>SUM($U$5:U435)</f>
        <v>0.83205020267361451</v>
      </c>
      <c r="AB435" s="37"/>
    </row>
    <row r="436" spans="9:28" x14ac:dyDescent="0.3">
      <c r="I436">
        <v>432</v>
      </c>
      <c r="J436" s="23">
        <f>$C$5*Data!C434/Data!C433</f>
        <v>11066.94955019945</v>
      </c>
      <c r="K436" s="23">
        <f>$C$6*Data!F434/Data!F433</f>
        <v>9680.4882499300693</v>
      </c>
      <c r="L436" s="23">
        <f>$C$7*Data!I434/Data!I433</f>
        <v>6219.0114249971957</v>
      </c>
      <c r="M436" s="23">
        <f>$C$8*Data!L434/Data!L433</f>
        <v>112.18912823203385</v>
      </c>
      <c r="N436" s="23">
        <f t="shared" si="33"/>
        <v>10033.256625880989</v>
      </c>
      <c r="O436" s="23">
        <f t="shared" si="34"/>
        <v>33.256625880989304</v>
      </c>
      <c r="P436" s="23">
        <f t="shared" si="35"/>
        <v>-33.256625880989304</v>
      </c>
      <c r="Q436" s="48">
        <f t="shared" si="36"/>
        <v>3.8716341683790447E-3</v>
      </c>
      <c r="S436">
        <v>146</v>
      </c>
      <c r="T436" s="50">
        <v>-83.506856424844955</v>
      </c>
      <c r="U436" s="51">
        <f t="shared" si="37"/>
        <v>9.2319917404865589E-4</v>
      </c>
      <c r="V436" s="51">
        <f>SUM($U$5:U436)</f>
        <v>0.83297340184766322</v>
      </c>
      <c r="AB436" s="37"/>
    </row>
    <row r="437" spans="9:28" x14ac:dyDescent="0.3">
      <c r="I437">
        <v>433</v>
      </c>
      <c r="J437" s="23">
        <f>$C$5*Data!C435/Data!C434</f>
        <v>11083.577840692133</v>
      </c>
      <c r="K437" s="23">
        <f>$C$6*Data!F435/Data!F434</f>
        <v>9562.5929932793988</v>
      </c>
      <c r="L437" s="23">
        <f>$C$7*Data!I435/Data!I434</f>
        <v>6207.441182458967</v>
      </c>
      <c r="M437" s="23">
        <f>$C$8*Data!L435/Data!L434</f>
        <v>112.96469852989753</v>
      </c>
      <c r="N437" s="23">
        <f t="shared" si="33"/>
        <v>10014.331018736557</v>
      </c>
      <c r="O437" s="23">
        <f t="shared" si="34"/>
        <v>14.331018736556871</v>
      </c>
      <c r="P437" s="23">
        <f t="shared" si="35"/>
        <v>-14.331018736556871</v>
      </c>
      <c r="Q437" s="48">
        <f t="shared" si="36"/>
        <v>3.8910896164613511E-3</v>
      </c>
      <c r="S437">
        <v>409</v>
      </c>
      <c r="T437" s="50">
        <v>-83.888508856587578</v>
      </c>
      <c r="U437" s="51">
        <f t="shared" si="37"/>
        <v>3.4500482681106451E-3</v>
      </c>
      <c r="V437" s="51">
        <f>SUM($U$5:U437)</f>
        <v>0.8364234501157739</v>
      </c>
      <c r="AB437" s="37"/>
    </row>
    <row r="438" spans="9:28" x14ac:dyDescent="0.3">
      <c r="I438">
        <v>434</v>
      </c>
      <c r="J438" s="23">
        <f>$C$5*Data!C436/Data!C435</f>
        <v>11012.885179752921</v>
      </c>
      <c r="K438" s="23">
        <f>$C$6*Data!F436/Data!F435</f>
        <v>9557.2334168731613</v>
      </c>
      <c r="L438" s="23">
        <f>$C$7*Data!I436/Data!I435</f>
        <v>6184.3220012404527</v>
      </c>
      <c r="M438" s="23">
        <f>$C$8*Data!L436/Data!L435</f>
        <v>112.59237931995253</v>
      </c>
      <c r="N438" s="23">
        <f t="shared" si="33"/>
        <v>9976.6723889423502</v>
      </c>
      <c r="O438" s="23">
        <f t="shared" si="34"/>
        <v>-23.327611057649847</v>
      </c>
      <c r="P438" s="23">
        <f t="shared" si="35"/>
        <v>23.327611057649847</v>
      </c>
      <c r="Q438" s="48">
        <f t="shared" si="36"/>
        <v>3.9106428306144234E-3</v>
      </c>
      <c r="S438">
        <v>6</v>
      </c>
      <c r="T438" s="50">
        <v>-85.833581737253553</v>
      </c>
      <c r="U438" s="51">
        <f t="shared" si="37"/>
        <v>4.5764288175129331E-4</v>
      </c>
      <c r="V438" s="51">
        <f>SUM($U$5:U438)</f>
        <v>0.83688109299752522</v>
      </c>
      <c r="AB438" s="37"/>
    </row>
    <row r="439" spans="9:28" x14ac:dyDescent="0.3">
      <c r="I439">
        <v>435</v>
      </c>
      <c r="J439" s="23">
        <f>$C$5*Data!C437/Data!C436</f>
        <v>11057.918841261459</v>
      </c>
      <c r="K439" s="23">
        <f>$C$6*Data!F437/Data!F436</f>
        <v>9685.9376354612778</v>
      </c>
      <c r="L439" s="23">
        <f>$C$7*Data!I437/Data!I436</f>
        <v>6197.4818085903989</v>
      </c>
      <c r="M439" s="23">
        <f>$C$8*Data!L437/Data!L436</f>
        <v>115.05843911488164</v>
      </c>
      <c r="N439" s="23">
        <f t="shared" si="33"/>
        <v>10079.07429030293</v>
      </c>
      <c r="O439" s="23">
        <f t="shared" si="34"/>
        <v>79.074290302929512</v>
      </c>
      <c r="P439" s="23">
        <f t="shared" si="35"/>
        <v>-79.074290302929512</v>
      </c>
      <c r="Q439" s="48">
        <f t="shared" si="36"/>
        <v>3.930294302125048E-3</v>
      </c>
      <c r="S439">
        <v>347</v>
      </c>
      <c r="T439" s="50">
        <v>-85.98337029958202</v>
      </c>
      <c r="U439" s="51">
        <f t="shared" si="37"/>
        <v>2.5284605231018068E-3</v>
      </c>
      <c r="V439" s="51">
        <f>SUM($U$5:U439)</f>
        <v>0.83940955352062707</v>
      </c>
      <c r="AB439" s="37"/>
    </row>
    <row r="440" spans="9:28" x14ac:dyDescent="0.3">
      <c r="I440">
        <v>436</v>
      </c>
      <c r="J440" s="23">
        <f>$C$5*Data!C438/Data!C437</f>
        <v>10988.741849278646</v>
      </c>
      <c r="K440" s="23">
        <f>$C$6*Data!F438/Data!F437</f>
        <v>9669.1285120969933</v>
      </c>
      <c r="L440" s="23">
        <f>$C$7*Data!I438/Data!I437</f>
        <v>6185.6578994719857</v>
      </c>
      <c r="M440" s="23">
        <f>$C$8*Data!L438/Data!L437</f>
        <v>112.98983342427023</v>
      </c>
      <c r="N440" s="23">
        <f t="shared" si="33"/>
        <v>10010.139285442501</v>
      </c>
      <c r="O440" s="23">
        <f t="shared" si="34"/>
        <v>10.139285442501205</v>
      </c>
      <c r="P440" s="23">
        <f t="shared" si="35"/>
        <v>-10.139285442501205</v>
      </c>
      <c r="Q440" s="48">
        <f t="shared" si="36"/>
        <v>3.9500445247487928E-3</v>
      </c>
      <c r="S440">
        <v>7</v>
      </c>
      <c r="T440" s="50">
        <v>-86.960119385001235</v>
      </c>
      <c r="U440" s="51">
        <f t="shared" si="37"/>
        <v>4.5994259472491788E-4</v>
      </c>
      <c r="V440" s="51">
        <f>SUM($U$5:U440)</f>
        <v>0.839869496115352</v>
      </c>
      <c r="AB440" s="37"/>
    </row>
    <row r="441" spans="9:28" x14ac:dyDescent="0.3">
      <c r="I441">
        <v>437</v>
      </c>
      <c r="J441" s="23">
        <f>$C$5*Data!C439/Data!C438</f>
        <v>11128.5585825708</v>
      </c>
      <c r="K441" s="23">
        <f>$C$6*Data!F439/Data!F438</f>
        <v>9758.0765622525196</v>
      </c>
      <c r="L441" s="23">
        <f>$C$7*Data!I439/Data!I438</f>
        <v>6264.3726514178088</v>
      </c>
      <c r="M441" s="23">
        <f>$C$8*Data!L439/Data!L438</f>
        <v>113.57096476055783</v>
      </c>
      <c r="N441" s="23">
        <f t="shared" si="33"/>
        <v>10111.673379306301</v>
      </c>
      <c r="O441" s="23">
        <f t="shared" si="34"/>
        <v>111.67337930630129</v>
      </c>
      <c r="P441" s="23">
        <f t="shared" si="35"/>
        <v>-111.67337930630129</v>
      </c>
      <c r="Q441" s="48">
        <f t="shared" si="36"/>
        <v>3.9698939947224038E-3</v>
      </c>
      <c r="S441">
        <v>166</v>
      </c>
      <c r="T441" s="50">
        <v>-87.313202594199538</v>
      </c>
      <c r="U441" s="51">
        <f t="shared" si="37"/>
        <v>1.0205488375155628E-3</v>
      </c>
      <c r="V441" s="51">
        <f>SUM($U$5:U441)</f>
        <v>0.84089004495286757</v>
      </c>
      <c r="AB441" s="37"/>
    </row>
    <row r="442" spans="9:28" x14ac:dyDescent="0.3">
      <c r="I442">
        <v>438</v>
      </c>
      <c r="J442" s="23">
        <f>$C$5*Data!C440/Data!C439</f>
        <v>11062.886693830345</v>
      </c>
      <c r="K442" s="23">
        <f>$C$6*Data!F440/Data!F439</f>
        <v>9647.3274544350079</v>
      </c>
      <c r="L442" s="23">
        <f>$C$7*Data!I440/Data!I439</f>
        <v>6284.7880362527585</v>
      </c>
      <c r="M442" s="23">
        <f>$C$8*Data!L440/Data!L439</f>
        <v>112.56422504161227</v>
      </c>
      <c r="N442" s="23">
        <f t="shared" si="33"/>
        <v>10038.677124115684</v>
      </c>
      <c r="O442" s="23">
        <f t="shared" si="34"/>
        <v>38.67712411568391</v>
      </c>
      <c r="P442" s="23">
        <f t="shared" si="35"/>
        <v>-38.67712411568391</v>
      </c>
      <c r="Q442" s="48">
        <f t="shared" si="36"/>
        <v>3.989843210776286E-3</v>
      </c>
      <c r="S442">
        <v>363</v>
      </c>
      <c r="T442" s="50">
        <v>-87.375104154838482</v>
      </c>
      <c r="U442" s="51">
        <f t="shared" si="37"/>
        <v>2.7395982835793807E-3</v>
      </c>
      <c r="V442" s="51">
        <f>SUM($U$5:U442)</f>
        <v>0.84362964323644696</v>
      </c>
      <c r="AB442" s="37"/>
    </row>
    <row r="443" spans="9:28" x14ac:dyDescent="0.3">
      <c r="I443">
        <v>439</v>
      </c>
      <c r="J443" s="23">
        <f>$C$5*Data!C441/Data!C440</f>
        <v>11008.991149769578</v>
      </c>
      <c r="K443" s="23">
        <f>$C$6*Data!F441/Data!F440</f>
        <v>9601.7155797279866</v>
      </c>
      <c r="L443" s="23">
        <f>$C$7*Data!I441/Data!I440</f>
        <v>6217.8599284823449</v>
      </c>
      <c r="M443" s="23">
        <f>$C$8*Data!L441/Data!L440</f>
        <v>112.75199306446024</v>
      </c>
      <c r="N443" s="23">
        <f t="shared" si="33"/>
        <v>9997.3985087513283</v>
      </c>
      <c r="O443" s="23">
        <f t="shared" si="34"/>
        <v>-2.6014912486716639</v>
      </c>
      <c r="P443" s="23">
        <f t="shared" si="35"/>
        <v>2.6014912486716639</v>
      </c>
      <c r="Q443" s="48">
        <f t="shared" si="36"/>
        <v>4.0098926741470222E-3</v>
      </c>
      <c r="S443">
        <v>155</v>
      </c>
      <c r="T443" s="50">
        <v>-87.38756892881247</v>
      </c>
      <c r="U443" s="51">
        <f t="shared" si="37"/>
        <v>9.6580106630613828E-4</v>
      </c>
      <c r="V443" s="51">
        <f>SUM($U$5:U443)</f>
        <v>0.84459544430275313</v>
      </c>
      <c r="AB443" s="37"/>
    </row>
    <row r="444" spans="9:28" x14ac:dyDescent="0.3">
      <c r="I444">
        <v>440</v>
      </c>
      <c r="J444" s="23">
        <f>$C$5*Data!C442/Data!C441</f>
        <v>11029.802966204861</v>
      </c>
      <c r="K444" s="23">
        <f>$C$6*Data!F442/Data!F441</f>
        <v>9654.8829118903104</v>
      </c>
      <c r="L444" s="23">
        <f>$C$7*Data!I442/Data!I441</f>
        <v>6194.0431051643063</v>
      </c>
      <c r="M444" s="23">
        <f>$C$8*Data!L442/Data!L441</f>
        <v>113.2483708227379</v>
      </c>
      <c r="N444" s="23">
        <f t="shared" si="33"/>
        <v>10026.524383193824</v>
      </c>
      <c r="O444" s="23">
        <f t="shared" si="34"/>
        <v>26.524383193824178</v>
      </c>
      <c r="P444" s="23">
        <f t="shared" si="35"/>
        <v>-26.524383193824178</v>
      </c>
      <c r="Q444" s="48">
        <f t="shared" si="36"/>
        <v>4.0300428885899709E-3</v>
      </c>
      <c r="S444">
        <v>239</v>
      </c>
      <c r="T444" s="50">
        <v>-88.340040657720238</v>
      </c>
      <c r="U444" s="51">
        <f t="shared" si="37"/>
        <v>1.4714614810607096E-3</v>
      </c>
      <c r="V444" s="51">
        <f>SUM($U$5:U444)</f>
        <v>0.84606690578381383</v>
      </c>
      <c r="AB444" s="37"/>
    </row>
    <row r="445" spans="9:28" x14ac:dyDescent="0.3">
      <c r="I445">
        <v>441</v>
      </c>
      <c r="J445" s="23">
        <f>$C$5*Data!C443/Data!C442</f>
        <v>11052.151275290249</v>
      </c>
      <c r="K445" s="23">
        <f>$C$6*Data!F443/Data!F442</f>
        <v>9532.2994844896275</v>
      </c>
      <c r="L445" s="23">
        <f>$C$7*Data!I443/Data!I442</f>
        <v>6222.1608731099741</v>
      </c>
      <c r="M445" s="23">
        <f>$C$8*Data!L443/Data!L442</f>
        <v>112.88478908339584</v>
      </c>
      <c r="N445" s="23">
        <f t="shared" si="33"/>
        <v>9994.4166628580351</v>
      </c>
      <c r="O445" s="23">
        <f t="shared" si="34"/>
        <v>-5.5833371419648756</v>
      </c>
      <c r="P445" s="23">
        <f t="shared" si="35"/>
        <v>5.5833371419648756</v>
      </c>
      <c r="Q445" s="48">
        <f t="shared" si="36"/>
        <v>4.0502943603919301E-3</v>
      </c>
      <c r="S445">
        <v>270</v>
      </c>
      <c r="T445" s="50">
        <v>-89.261676532634738</v>
      </c>
      <c r="U445" s="51">
        <f t="shared" si="37"/>
        <v>1.7188318587873733E-3</v>
      </c>
      <c r="V445" s="51">
        <f>SUM($U$5:U445)</f>
        <v>0.84778573764260123</v>
      </c>
      <c r="AB445" s="37"/>
    </row>
    <row r="446" spans="9:28" x14ac:dyDescent="0.3">
      <c r="I446">
        <v>442</v>
      </c>
      <c r="J446" s="23">
        <f>$C$5*Data!C444/Data!C443</f>
        <v>11050.283923771056</v>
      </c>
      <c r="K446" s="23">
        <f>$C$6*Data!F444/Data!F443</f>
        <v>9348.3359426530224</v>
      </c>
      <c r="L446" s="23">
        <f>$C$7*Data!I444/Data!I443</f>
        <v>6169.7525205304319</v>
      </c>
      <c r="M446" s="23">
        <f>$C$8*Data!L444/Data!L443</f>
        <v>113.06698021790022</v>
      </c>
      <c r="N446" s="23">
        <f t="shared" si="33"/>
        <v>9931.0270555310417</v>
      </c>
      <c r="O446" s="23">
        <f t="shared" si="34"/>
        <v>-68.972944468958303</v>
      </c>
      <c r="P446" s="23">
        <f t="shared" si="35"/>
        <v>68.972944468958303</v>
      </c>
      <c r="Q446" s="48">
        <f t="shared" si="36"/>
        <v>4.0706475983838496E-3</v>
      </c>
      <c r="S446">
        <v>480</v>
      </c>
      <c r="T446" s="50">
        <v>-89.561242389332619</v>
      </c>
      <c r="U446" s="51">
        <f t="shared" si="37"/>
        <v>4.9247755066238966E-3</v>
      </c>
      <c r="V446" s="51">
        <f>SUM($U$5:U446)</f>
        <v>0.85271051314922508</v>
      </c>
      <c r="AB446" s="37"/>
    </row>
    <row r="447" spans="9:28" x14ac:dyDescent="0.3">
      <c r="I447">
        <v>443</v>
      </c>
      <c r="J447" s="23">
        <f>$C$5*Data!C445/Data!C444</f>
        <v>11000.42956948643</v>
      </c>
      <c r="K447" s="23">
        <f>$C$6*Data!F445/Data!F444</f>
        <v>9649.3581198733118</v>
      </c>
      <c r="L447" s="23">
        <f>$C$7*Data!I445/Data!I444</f>
        <v>6175.0682778981654</v>
      </c>
      <c r="M447" s="23">
        <f>$C$8*Data!L445/Data!L444</f>
        <v>113.75011657344572</v>
      </c>
      <c r="N447" s="23">
        <f t="shared" si="33"/>
        <v>10019.972206654866</v>
      </c>
      <c r="O447" s="23">
        <f t="shared" si="34"/>
        <v>19.972206654865658</v>
      </c>
      <c r="P447" s="23">
        <f t="shared" si="35"/>
        <v>-19.972206654865658</v>
      </c>
      <c r="Q447" s="48">
        <f t="shared" si="36"/>
        <v>4.0911031139536178E-3</v>
      </c>
      <c r="S447">
        <v>359</v>
      </c>
      <c r="T447" s="50">
        <v>-89.974467416182961</v>
      </c>
      <c r="U447" s="51">
        <f t="shared" si="37"/>
        <v>2.6852158895634376E-3</v>
      </c>
      <c r="V447" s="51">
        <f>SUM($U$5:U447)</f>
        <v>0.85539572903878847</v>
      </c>
      <c r="AB447" s="37"/>
    </row>
    <row r="448" spans="9:28" x14ac:dyDescent="0.3">
      <c r="I448">
        <v>444</v>
      </c>
      <c r="J448" s="23">
        <f>$C$5*Data!C446/Data!C445</f>
        <v>11039.305622575961</v>
      </c>
      <c r="K448" s="23">
        <f>$C$6*Data!F446/Data!F445</f>
        <v>9424.7438773943468</v>
      </c>
      <c r="L448" s="23">
        <f>$C$7*Data!I446/Data!I445</f>
        <v>6224.5792044321124</v>
      </c>
      <c r="M448" s="23">
        <f>$C$8*Data!L446/Data!L445</f>
        <v>113.37133260656294</v>
      </c>
      <c r="N448" s="23">
        <f t="shared" si="33"/>
        <v>9965.1583778935019</v>
      </c>
      <c r="O448" s="23">
        <f t="shared" si="34"/>
        <v>-34.841622106498107</v>
      </c>
      <c r="P448" s="23">
        <f t="shared" si="35"/>
        <v>34.841622106498107</v>
      </c>
      <c r="Q448" s="48">
        <f t="shared" si="36"/>
        <v>4.1116614210589117E-3</v>
      </c>
      <c r="S448">
        <v>457</v>
      </c>
      <c r="T448" s="50">
        <v>-92.288139743031934</v>
      </c>
      <c r="U448" s="51">
        <f t="shared" si="37"/>
        <v>4.3885120516371206E-3</v>
      </c>
      <c r="V448" s="51">
        <f>SUM($U$5:U448)</f>
        <v>0.85978424109042562</v>
      </c>
      <c r="AB448" s="37"/>
    </row>
    <row r="449" spans="9:28" x14ac:dyDescent="0.3">
      <c r="I449">
        <v>445</v>
      </c>
      <c r="J449" s="23">
        <f>$C$5*Data!C447/Data!C446</f>
        <v>11029.902576339304</v>
      </c>
      <c r="K449" s="23">
        <f>$C$6*Data!F447/Data!F446</f>
        <v>9510.3820166905862</v>
      </c>
      <c r="L449" s="23">
        <f>$C$7*Data!I447/Data!I446</f>
        <v>6182.7362799842394</v>
      </c>
      <c r="M449" s="23">
        <f>$C$8*Data!L447/Data!L446</f>
        <v>112.11839792940458</v>
      </c>
      <c r="N449" s="23">
        <f t="shared" si="33"/>
        <v>9959.548907595341</v>
      </c>
      <c r="O449" s="23">
        <f t="shared" si="34"/>
        <v>-40.451092404658993</v>
      </c>
      <c r="P449" s="23">
        <f t="shared" si="35"/>
        <v>40.451092404658993</v>
      </c>
      <c r="Q449" s="48">
        <f t="shared" si="36"/>
        <v>4.1323230362401127E-3</v>
      </c>
      <c r="S449">
        <v>200</v>
      </c>
      <c r="T449" s="50">
        <v>-92.301513271502699</v>
      </c>
      <c r="U449" s="51">
        <f t="shared" si="37"/>
        <v>1.2101774243837226E-3</v>
      </c>
      <c r="V449" s="51">
        <f>SUM($U$5:U449)</f>
        <v>0.86099441851480929</v>
      </c>
      <c r="AB449" s="37"/>
    </row>
    <row r="450" spans="9:28" x14ac:dyDescent="0.3">
      <c r="I450">
        <v>446</v>
      </c>
      <c r="J450" s="23">
        <f>$C$5*Data!C448/Data!C447</f>
        <v>11031.285936186614</v>
      </c>
      <c r="K450" s="23">
        <f>$C$6*Data!F448/Data!F447</f>
        <v>9600.9817757565597</v>
      </c>
      <c r="L450" s="23">
        <f>$C$7*Data!I448/Data!I447</f>
        <v>6164.1623328454571</v>
      </c>
      <c r="M450" s="23">
        <f>$C$8*Data!L448/Data!L447</f>
        <v>111.52515323088826</v>
      </c>
      <c r="N450" s="23">
        <f t="shared" si="33"/>
        <v>9974.8515977641873</v>
      </c>
      <c r="O450" s="23">
        <f t="shared" si="34"/>
        <v>-25.148402235812682</v>
      </c>
      <c r="P450" s="23">
        <f t="shared" si="35"/>
        <v>25.148402235812682</v>
      </c>
      <c r="Q450" s="48">
        <f t="shared" si="36"/>
        <v>4.1530884786332789E-3</v>
      </c>
      <c r="S450">
        <v>138</v>
      </c>
      <c r="T450" s="50">
        <v>-92.979971152588405</v>
      </c>
      <c r="U450" s="51">
        <f t="shared" si="37"/>
        <v>8.8691102434313297E-4</v>
      </c>
      <c r="V450" s="51">
        <f>SUM($U$5:U450)</f>
        <v>0.86188132953915242</v>
      </c>
      <c r="AB450" s="37"/>
    </row>
    <row r="451" spans="9:28" x14ac:dyDescent="0.3">
      <c r="I451">
        <v>447</v>
      </c>
      <c r="J451" s="23">
        <f>$C$5*Data!C449/Data!C448</f>
        <v>11106.880130091304</v>
      </c>
      <c r="K451" s="23">
        <f>$C$6*Data!F449/Data!F448</f>
        <v>9729.1395940816656</v>
      </c>
      <c r="L451" s="23">
        <f>$C$7*Data!I449/Data!I448</f>
        <v>6223.6794200592803</v>
      </c>
      <c r="M451" s="23">
        <f>$C$8*Data!L449/Data!L448</f>
        <v>111.40881182019157</v>
      </c>
      <c r="N451" s="23">
        <f t="shared" si="33"/>
        <v>10049.87165089243</v>
      </c>
      <c r="O451" s="23">
        <f t="shared" si="34"/>
        <v>49.871650892429898</v>
      </c>
      <c r="P451" s="23">
        <f t="shared" si="35"/>
        <v>-49.871650892429898</v>
      </c>
      <c r="Q451" s="48">
        <f t="shared" si="36"/>
        <v>4.1739582699831948E-3</v>
      </c>
      <c r="S451">
        <v>285</v>
      </c>
      <c r="T451" s="50">
        <v>-94.248271111107897</v>
      </c>
      <c r="U451" s="51">
        <f t="shared" si="37"/>
        <v>1.8530501952615671E-3</v>
      </c>
      <c r="V451" s="51">
        <f>SUM($U$5:U451)</f>
        <v>0.86373437973441403</v>
      </c>
      <c r="AB451" s="37"/>
    </row>
    <row r="452" spans="9:28" x14ac:dyDescent="0.3">
      <c r="I452">
        <v>448</v>
      </c>
      <c r="J452" s="23">
        <f>$C$5*Data!C450/Data!C449</f>
        <v>11027.605779762074</v>
      </c>
      <c r="K452" s="23">
        <f>$C$6*Data!F450/Data!F449</f>
        <v>9760.9064316459207</v>
      </c>
      <c r="L452" s="23">
        <f>$C$7*Data!I450/Data!I449</f>
        <v>6196.4962279998927</v>
      </c>
      <c r="M452" s="23">
        <f>$C$8*Data!L450/Data!L449</f>
        <v>113.51325756769138</v>
      </c>
      <c r="N452" s="23">
        <f t="shared" si="33"/>
        <v>10063.950998369681</v>
      </c>
      <c r="O452" s="23">
        <f t="shared" si="34"/>
        <v>63.950998369680747</v>
      </c>
      <c r="P452" s="23">
        <f t="shared" si="35"/>
        <v>-63.950998369680747</v>
      </c>
      <c r="Q452" s="48">
        <f t="shared" si="36"/>
        <v>4.1949329346564774E-3</v>
      </c>
      <c r="S452">
        <v>291</v>
      </c>
      <c r="T452" s="50">
        <v>-94.43648862853297</v>
      </c>
      <c r="U452" s="51">
        <f t="shared" si="37"/>
        <v>1.9096276712237655E-3</v>
      </c>
      <c r="V452" s="51">
        <f>SUM($U$5:U452)</f>
        <v>0.86564400740563774</v>
      </c>
      <c r="AB452" s="37"/>
    </row>
    <row r="453" spans="9:28" x14ac:dyDescent="0.3">
      <c r="I453">
        <v>449</v>
      </c>
      <c r="J453" s="23">
        <f>$C$5*Data!C451/Data!C450</f>
        <v>11015.528390774463</v>
      </c>
      <c r="K453" s="23">
        <f>$C$6*Data!F451/Data!F450</f>
        <v>9527.5491283862575</v>
      </c>
      <c r="L453" s="23">
        <f>$C$7*Data!I451/Data!I450</f>
        <v>6223.3503823870278</v>
      </c>
      <c r="M453" s="23">
        <f>$C$8*Data!L451/Data!L450</f>
        <v>113.09126988227881</v>
      </c>
      <c r="N453" s="23">
        <f t="shared" ref="N453:N486" si="38">MMULT(J453:M453,$D$5:$D$8)</f>
        <v>9983.4935357007307</v>
      </c>
      <c r="O453" s="23">
        <f t="shared" si="34"/>
        <v>-16.506464299269282</v>
      </c>
      <c r="P453" s="23">
        <f t="shared" si="35"/>
        <v>16.506464299269282</v>
      </c>
      <c r="Q453" s="48">
        <f t="shared" si="36"/>
        <v>4.2160129996547512E-3</v>
      </c>
      <c r="S453">
        <v>173</v>
      </c>
      <c r="T453" s="50">
        <v>-96.415462354798365</v>
      </c>
      <c r="U453" s="51">
        <f t="shared" si="37"/>
        <v>1.0569932822129867E-3</v>
      </c>
      <c r="V453" s="51">
        <f>SUM($U$5:U453)</f>
        <v>0.86670100068785072</v>
      </c>
      <c r="AB453" s="37"/>
    </row>
    <row r="454" spans="9:28" x14ac:dyDescent="0.3">
      <c r="I454">
        <v>450</v>
      </c>
      <c r="J454" s="23">
        <f>$C$5*Data!C452/Data!C451</f>
        <v>10980.659110828376</v>
      </c>
      <c r="K454" s="23">
        <f>$C$6*Data!F452/Data!F451</f>
        <v>9448.9794800637465</v>
      </c>
      <c r="L454" s="23">
        <f>$C$7*Data!I452/Data!I451</f>
        <v>6184.2600487205809</v>
      </c>
      <c r="M454" s="23">
        <f>$C$8*Data!L452/Data!L451</f>
        <v>112.52765747397255</v>
      </c>
      <c r="N454" s="23">
        <f t="shared" si="38"/>
        <v>9929.990241989246</v>
      </c>
      <c r="O454" s="23">
        <f t="shared" ref="O454:O486" si="39">N454-$B$9</f>
        <v>-70.009758010754013</v>
      </c>
      <c r="P454" s="23">
        <f t="shared" ref="P454:P486" si="40">-O454</f>
        <v>70.009758010754013</v>
      </c>
      <c r="Q454" s="48">
        <f t="shared" ref="Q454:Q504" si="41">$Q$2^(500-I454)*(1-$Q$2)/(1-$Q$2^500)</f>
        <v>4.2371989946278906E-3</v>
      </c>
      <c r="S454">
        <v>362</v>
      </c>
      <c r="T454" s="50">
        <v>-96.709907885089706</v>
      </c>
      <c r="U454" s="51">
        <f t="shared" ref="U454:U504" si="42">$Q$2^(500-S454)*(1-$Q$2)/(1-$Q$2^500)</f>
        <v>2.7259002921614841E-3</v>
      </c>
      <c r="V454" s="51">
        <f>SUM($U$5:U454)</f>
        <v>0.86942690098001219</v>
      </c>
      <c r="AB454" s="37"/>
    </row>
    <row r="455" spans="9:28" x14ac:dyDescent="0.3">
      <c r="I455">
        <v>451</v>
      </c>
      <c r="J455" s="23">
        <f>$C$5*Data!C453/Data!C452</f>
        <v>11004.614809725817</v>
      </c>
      <c r="K455" s="23">
        <f>$C$6*Data!F453/Data!F452</f>
        <v>9646.3980039357921</v>
      </c>
      <c r="L455" s="23">
        <f>$C$7*Data!I453/Data!I452</f>
        <v>6191.882432510215</v>
      </c>
      <c r="M455" s="23">
        <f>$C$8*Data!L453/Data!L452</f>
        <v>114.09325893771266</v>
      </c>
      <c r="N455" s="23">
        <f t="shared" si="38"/>
        <v>10029.360698986306</v>
      </c>
      <c r="O455" s="23">
        <f t="shared" si="39"/>
        <v>29.360698986305579</v>
      </c>
      <c r="P455" s="23">
        <f t="shared" si="40"/>
        <v>-29.360698986305579</v>
      </c>
      <c r="Q455" s="48">
        <f t="shared" si="41"/>
        <v>4.2584914518873267E-3</v>
      </c>
      <c r="S455">
        <v>471</v>
      </c>
      <c r="T455" s="50">
        <v>-101.13409368716384</v>
      </c>
      <c r="U455" s="51">
        <f t="shared" si="42"/>
        <v>4.7075415825323548E-3</v>
      </c>
      <c r="V455" s="51">
        <f>SUM($U$5:U455)</f>
        <v>0.87413444256254458</v>
      </c>
      <c r="AB455" s="37"/>
    </row>
    <row r="456" spans="9:28" x14ac:dyDescent="0.3">
      <c r="I456">
        <v>452</v>
      </c>
      <c r="J456" s="23">
        <f>$C$5*Data!C454/Data!C453</f>
        <v>11046.03227168494</v>
      </c>
      <c r="K456" s="23">
        <f>$C$6*Data!F454/Data!F453</f>
        <v>9743.5477446217301</v>
      </c>
      <c r="L456" s="23">
        <f>$C$7*Data!I454/Data!I453</f>
        <v>6208.2651377624316</v>
      </c>
      <c r="M456" s="23">
        <f>$C$8*Data!L454/Data!L453</f>
        <v>113.26249461733238</v>
      </c>
      <c r="N456" s="23">
        <f t="shared" si="38"/>
        <v>10062.666293150791</v>
      </c>
      <c r="O456" s="23">
        <f t="shared" si="39"/>
        <v>62.666293150790807</v>
      </c>
      <c r="P456" s="23">
        <f t="shared" si="40"/>
        <v>-62.666293150790807</v>
      </c>
      <c r="Q456" s="48">
        <f t="shared" si="41"/>
        <v>4.2798909064194245E-3</v>
      </c>
      <c r="S456">
        <v>145</v>
      </c>
      <c r="T456" s="50">
        <v>-103.59611941634466</v>
      </c>
      <c r="U456" s="51">
        <f t="shared" si="42"/>
        <v>9.1858317817841294E-4</v>
      </c>
      <c r="V456" s="51">
        <f>SUM($U$5:U456)</f>
        <v>0.87505302574072297</v>
      </c>
      <c r="AB456" s="37"/>
    </row>
    <row r="457" spans="9:28" x14ac:dyDescent="0.3">
      <c r="I457">
        <v>453</v>
      </c>
      <c r="J457" s="23">
        <f>$C$5*Data!C455/Data!C454</f>
        <v>11104.805817448581</v>
      </c>
      <c r="K457" s="23">
        <f>$C$6*Data!F455/Data!F454</f>
        <v>9571.760193208147</v>
      </c>
      <c r="L457" s="23">
        <f>$C$7*Data!I455/Data!I454</f>
        <v>6233.6517811362364</v>
      </c>
      <c r="M457" s="23">
        <f>$C$8*Data!L455/Data!L454</f>
        <v>115.46829537403244</v>
      </c>
      <c r="N457" s="23">
        <f t="shared" si="38"/>
        <v>10073.508171390426</v>
      </c>
      <c r="O457" s="23">
        <f t="shared" si="39"/>
        <v>73.508171390425559</v>
      </c>
      <c r="P457" s="23">
        <f t="shared" si="40"/>
        <v>-73.508171390425559</v>
      </c>
      <c r="Q457" s="48">
        <f t="shared" si="41"/>
        <v>4.3013978958989186E-3</v>
      </c>
      <c r="S457">
        <v>314</v>
      </c>
      <c r="T457" s="50">
        <v>-103.734615107016</v>
      </c>
      <c r="U457" s="51">
        <f t="shared" si="42"/>
        <v>2.1429786386266652E-3</v>
      </c>
      <c r="V457" s="51">
        <f>SUM($U$5:U457)</f>
        <v>0.87719600437934964</v>
      </c>
      <c r="AB457" s="37"/>
    </row>
    <row r="458" spans="9:28" x14ac:dyDescent="0.3">
      <c r="I458">
        <v>454</v>
      </c>
      <c r="J458" s="23">
        <f>$C$5*Data!C456/Data!C455</f>
        <v>11046.259708706482</v>
      </c>
      <c r="K458" s="23">
        <f>$C$6*Data!F456/Data!F455</f>
        <v>9614.1945217756147</v>
      </c>
      <c r="L458" s="23">
        <f>$C$7*Data!I456/Data!I455</f>
        <v>6172.1731213752164</v>
      </c>
      <c r="M458" s="23">
        <f>$C$8*Data!L456/Data!L455</f>
        <v>112.65827234683162</v>
      </c>
      <c r="N458" s="23">
        <f t="shared" si="38"/>
        <v>10005.793540525812</v>
      </c>
      <c r="O458" s="23">
        <f t="shared" si="39"/>
        <v>5.7935405258122046</v>
      </c>
      <c r="P458" s="23">
        <f t="shared" si="40"/>
        <v>-5.7935405258122046</v>
      </c>
      <c r="Q458" s="48">
        <f t="shared" si="41"/>
        <v>4.323012960702431E-3</v>
      </c>
      <c r="S458">
        <v>143</v>
      </c>
      <c r="T458" s="50">
        <v>-104.577393267964</v>
      </c>
      <c r="U458" s="51">
        <f t="shared" si="42"/>
        <v>9.0942031097608319E-4</v>
      </c>
      <c r="V458" s="51">
        <f>SUM($U$5:U458)</f>
        <v>0.87810542469032571</v>
      </c>
      <c r="AB458" s="37"/>
    </row>
    <row r="459" spans="9:28" x14ac:dyDescent="0.3">
      <c r="I459">
        <v>455</v>
      </c>
      <c r="J459" s="23">
        <f>$C$5*Data!C457/Data!C456</f>
        <v>11068.070754797795</v>
      </c>
      <c r="K459" s="23">
        <f>$C$6*Data!F457/Data!F456</f>
        <v>9578.4328893442289</v>
      </c>
      <c r="L459" s="23">
        <f>$C$7*Data!I457/Data!I456</f>
        <v>6218.4734112148717</v>
      </c>
      <c r="M459" s="23">
        <f>$C$8*Data!L457/Data!L456</f>
        <v>111.83072109143897</v>
      </c>
      <c r="N459" s="23">
        <f t="shared" si="38"/>
        <v>9995.3306214223267</v>
      </c>
      <c r="O459" s="23">
        <f t="shared" si="39"/>
        <v>-4.6693785776733421</v>
      </c>
      <c r="P459" s="23">
        <f t="shared" si="40"/>
        <v>4.6693785776733421</v>
      </c>
      <c r="Q459" s="48">
        <f t="shared" si="41"/>
        <v>4.3447366439220416E-3</v>
      </c>
      <c r="S459">
        <v>385</v>
      </c>
      <c r="T459" s="50">
        <v>-104.75020755703372</v>
      </c>
      <c r="U459" s="51">
        <f t="shared" si="42"/>
        <v>3.0589974083192611E-3</v>
      </c>
      <c r="V459" s="51">
        <f>SUM($U$5:U459)</f>
        <v>0.88116442209864498</v>
      </c>
      <c r="AB459" s="37"/>
    </row>
    <row r="460" spans="9:28" x14ac:dyDescent="0.3">
      <c r="I460">
        <v>456</v>
      </c>
      <c r="J460" s="23">
        <f>$C$5*Data!C458/Data!C457</f>
        <v>10977.848093393019</v>
      </c>
      <c r="K460" s="23">
        <f>$C$6*Data!F458/Data!F457</f>
        <v>9404.5573087948342</v>
      </c>
      <c r="L460" s="23">
        <f>$C$7*Data!I458/Data!I457</f>
        <v>6188.8957525465485</v>
      </c>
      <c r="M460" s="23">
        <f>$C$8*Data!L458/Data!L457</f>
        <v>111.08865649977751</v>
      </c>
      <c r="N460" s="23">
        <f t="shared" si="38"/>
        <v>9890.3264712877772</v>
      </c>
      <c r="O460" s="23">
        <f t="shared" si="39"/>
        <v>-109.67352871222283</v>
      </c>
      <c r="P460" s="23">
        <f t="shared" si="40"/>
        <v>109.67352871222283</v>
      </c>
      <c r="Q460" s="48">
        <f t="shared" si="41"/>
        <v>4.3665694913789356E-3</v>
      </c>
      <c r="S460">
        <v>76</v>
      </c>
      <c r="T460" s="50">
        <v>-105.52932995235642</v>
      </c>
      <c r="U460" s="51">
        <f t="shared" si="42"/>
        <v>6.4999656186939987E-4</v>
      </c>
      <c r="V460" s="51">
        <f>SUM($U$5:U460)</f>
        <v>0.88181441866051435</v>
      </c>
      <c r="AB460" s="37"/>
    </row>
    <row r="461" spans="9:28" x14ac:dyDescent="0.3">
      <c r="I461">
        <v>457</v>
      </c>
      <c r="J461" s="23">
        <f>$C$5*Data!C459/Data!C458</f>
        <v>10926.928372775243</v>
      </c>
      <c r="K461" s="23">
        <f>$C$6*Data!F459/Data!F458</f>
        <v>9635.6907394656719</v>
      </c>
      <c r="L461" s="23">
        <f>$C$7*Data!I459/Data!I458</f>
        <v>6185.4083858876229</v>
      </c>
      <c r="M461" s="23">
        <f>$C$8*Data!L459/Data!L458</f>
        <v>113.79259215039437</v>
      </c>
      <c r="N461" s="23">
        <f t="shared" si="38"/>
        <v>9991.4475093348719</v>
      </c>
      <c r="O461" s="23">
        <f t="shared" si="39"/>
        <v>-8.5524906651280617</v>
      </c>
      <c r="P461" s="23">
        <f t="shared" si="40"/>
        <v>8.5524906651280617</v>
      </c>
      <c r="Q461" s="48">
        <f t="shared" si="41"/>
        <v>4.3885120516371206E-3</v>
      </c>
      <c r="S461">
        <v>94</v>
      </c>
      <c r="T461" s="50">
        <v>-105.61996593252297</v>
      </c>
      <c r="U461" s="51">
        <f t="shared" si="42"/>
        <v>7.1137009817683939E-4</v>
      </c>
      <c r="V461" s="51">
        <f>SUM($U$5:U461)</f>
        <v>0.88252578875869114</v>
      </c>
      <c r="AB461" s="37"/>
    </row>
    <row r="462" spans="9:28" x14ac:dyDescent="0.3">
      <c r="I462">
        <v>458</v>
      </c>
      <c r="J462" s="23">
        <f>$C$5*Data!C460/Data!C459</f>
        <v>10948.894517400662</v>
      </c>
      <c r="K462" s="23">
        <f>$C$6*Data!F460/Data!F459</f>
        <v>9580.5060294208033</v>
      </c>
      <c r="L462" s="23">
        <f>$C$7*Data!I460/Data!I459</f>
        <v>6102.3753595465132</v>
      </c>
      <c r="M462" s="23">
        <f>$C$8*Data!L460/Data!L459</f>
        <v>111.12710912582951</v>
      </c>
      <c r="N462" s="23">
        <f t="shared" si="38"/>
        <v>9921.5311674235163</v>
      </c>
      <c r="O462" s="23">
        <f t="shared" si="39"/>
        <v>-78.468832576483692</v>
      </c>
      <c r="P462" s="23">
        <f t="shared" si="40"/>
        <v>78.468832576483692</v>
      </c>
      <c r="Q462" s="48">
        <f t="shared" si="41"/>
        <v>4.4105648760172081E-3</v>
      </c>
      <c r="S462">
        <v>268</v>
      </c>
      <c r="T462" s="50">
        <v>-106.24029863249598</v>
      </c>
      <c r="U462" s="51">
        <f t="shared" si="42"/>
        <v>1.7016865109959691E-3</v>
      </c>
      <c r="V462" s="51">
        <f>SUM($U$5:U462)</f>
        <v>0.88422747526968715</v>
      </c>
      <c r="AB462" s="37"/>
    </row>
    <row r="463" spans="9:28" x14ac:dyDescent="0.3">
      <c r="I463">
        <v>459</v>
      </c>
      <c r="J463" s="23">
        <f>$C$5*Data!C461/Data!C460</f>
        <v>11091.75874153523</v>
      </c>
      <c r="K463" s="23">
        <f>$C$6*Data!F461/Data!F460</f>
        <v>9480.318358357481</v>
      </c>
      <c r="L463" s="23">
        <f>$C$7*Data!I461/Data!I460</f>
        <v>6214.9754505556111</v>
      </c>
      <c r="M463" s="23">
        <f>$C$8*Data!L461/Data!L460</f>
        <v>111.84932391023584</v>
      </c>
      <c r="N463" s="23">
        <f t="shared" si="38"/>
        <v>9973.0317006950427</v>
      </c>
      <c r="O463" s="23">
        <f t="shared" si="39"/>
        <v>-26.968299304957327</v>
      </c>
      <c r="P463" s="23">
        <f t="shared" si="40"/>
        <v>26.968299304957327</v>
      </c>
      <c r="Q463" s="48">
        <f t="shared" si="41"/>
        <v>4.4327285186102584E-3</v>
      </c>
      <c r="S463">
        <v>162</v>
      </c>
      <c r="T463" s="50">
        <v>-107.42657340114602</v>
      </c>
      <c r="U463" s="51">
        <f t="shared" si="42"/>
        <v>1.0002904334543031E-3</v>
      </c>
      <c r="V463" s="51">
        <f>SUM($U$5:U463)</f>
        <v>0.88522776570314143</v>
      </c>
      <c r="AB463" s="37"/>
    </row>
    <row r="464" spans="9:28" x14ac:dyDescent="0.3">
      <c r="I464">
        <v>460</v>
      </c>
      <c r="J464" s="23">
        <f>$C$5*Data!C462/Data!C461</f>
        <v>11038.595858952815</v>
      </c>
      <c r="K464" s="23">
        <f>$C$6*Data!F462/Data!F461</f>
        <v>9656.7991045914932</v>
      </c>
      <c r="L464" s="23">
        <f>$C$7*Data!I462/Data!I461</f>
        <v>6291.3232735069178</v>
      </c>
      <c r="M464" s="23">
        <f>$C$8*Data!L462/Data!L461</f>
        <v>113.34175075786959</v>
      </c>
      <c r="N464" s="23">
        <f t="shared" si="38"/>
        <v>10047.658911320103</v>
      </c>
      <c r="O464" s="23">
        <f t="shared" si="39"/>
        <v>47.658911320102561</v>
      </c>
      <c r="P464" s="23">
        <f t="shared" si="40"/>
        <v>-47.658911320102561</v>
      </c>
      <c r="Q464" s="48">
        <f t="shared" si="41"/>
        <v>4.4550035362917167E-3</v>
      </c>
      <c r="S464">
        <v>397</v>
      </c>
      <c r="T464" s="50">
        <v>-109.59086693698191</v>
      </c>
      <c r="U464" s="51">
        <f t="shared" si="42"/>
        <v>3.2486441342084275E-3</v>
      </c>
      <c r="V464" s="51">
        <f>SUM($U$5:U464)</f>
        <v>0.88847640983734988</v>
      </c>
      <c r="AB464" s="37"/>
    </row>
    <row r="465" spans="9:28" x14ac:dyDescent="0.3">
      <c r="I465">
        <v>461</v>
      </c>
      <c r="J465" s="23">
        <f>$C$5*Data!C463/Data!C462</f>
        <v>11122.754500022784</v>
      </c>
      <c r="K465" s="23">
        <f>$C$6*Data!F463/Data!F462</f>
        <v>9702.9130905290931</v>
      </c>
      <c r="L465" s="23">
        <f>$C$7*Data!I463/Data!I462</f>
        <v>6181.0245742845564</v>
      </c>
      <c r="M465" s="23">
        <f>$C$8*Data!L463/Data!L462</f>
        <v>113.37931756512873</v>
      </c>
      <c r="N465" s="23">
        <f t="shared" si="38"/>
        <v>10075.488547441018</v>
      </c>
      <c r="O465" s="23">
        <f t="shared" si="39"/>
        <v>75.488547441018454</v>
      </c>
      <c r="P465" s="23">
        <f t="shared" si="40"/>
        <v>-75.488547441018454</v>
      </c>
      <c r="Q465" s="48">
        <f t="shared" si="41"/>
        <v>4.4773904887353945E-3</v>
      </c>
      <c r="S465">
        <v>300</v>
      </c>
      <c r="T465" s="50">
        <v>-109.82742441342816</v>
      </c>
      <c r="U465" s="51">
        <f t="shared" si="42"/>
        <v>1.9977492321915985E-3</v>
      </c>
      <c r="V465" s="51">
        <f>SUM($U$5:U465)</f>
        <v>0.89047415906954153</v>
      </c>
      <c r="AB465" s="37"/>
    </row>
    <row r="466" spans="9:28" x14ac:dyDescent="0.3">
      <c r="I466">
        <v>462</v>
      </c>
      <c r="J466" s="23">
        <f>$C$5*Data!C464/Data!C463</f>
        <v>10987.19919343312</v>
      </c>
      <c r="K466" s="23">
        <f>$C$6*Data!F464/Data!F463</f>
        <v>9610.9176790500569</v>
      </c>
      <c r="L466" s="23">
        <f>$C$7*Data!I464/Data!I463</f>
        <v>6248.9922098732277</v>
      </c>
      <c r="M466" s="23">
        <f>$C$8*Data!L464/Data!L463</f>
        <v>112.59436349229274</v>
      </c>
      <c r="N466" s="23">
        <f t="shared" si="38"/>
        <v>9994.5924199211295</v>
      </c>
      <c r="O466" s="23">
        <f t="shared" si="39"/>
        <v>-5.4075800788705237</v>
      </c>
      <c r="P466" s="23">
        <f t="shared" si="40"/>
        <v>5.4075800788705237</v>
      </c>
      <c r="Q466" s="48">
        <f t="shared" si="41"/>
        <v>4.4998899384275318E-3</v>
      </c>
      <c r="S466">
        <v>115</v>
      </c>
      <c r="T466" s="50">
        <v>-109.97030305324552</v>
      </c>
      <c r="U466" s="51">
        <f t="shared" si="42"/>
        <v>7.9033444546346729E-4</v>
      </c>
      <c r="V466" s="51">
        <f>SUM($U$5:U466)</f>
        <v>0.89126449351500503</v>
      </c>
      <c r="AB466" s="37"/>
    </row>
    <row r="467" spans="9:28" x14ac:dyDescent="0.3">
      <c r="I467">
        <v>463</v>
      </c>
      <c r="J467" s="23">
        <f>$C$5*Data!C465/Data!C464</f>
        <v>11009.969528000998</v>
      </c>
      <c r="K467" s="23">
        <f>$C$6*Data!F465/Data!F464</f>
        <v>9578.8427849847139</v>
      </c>
      <c r="L467" s="23">
        <f>$C$7*Data!I465/Data!I464</f>
        <v>6169.4650187435382</v>
      </c>
      <c r="M467" s="23">
        <f>$C$8*Data!L465/Data!L464</f>
        <v>112.7129444319195</v>
      </c>
      <c r="N467" s="23">
        <f t="shared" si="38"/>
        <v>9982.1083986945814</v>
      </c>
      <c r="O467" s="23">
        <f t="shared" si="39"/>
        <v>-17.89160130541859</v>
      </c>
      <c r="P467" s="23">
        <f t="shared" si="40"/>
        <v>17.89160130541859</v>
      </c>
      <c r="Q467" s="48">
        <f t="shared" si="41"/>
        <v>4.5225024506809364E-3</v>
      </c>
      <c r="S467">
        <v>402</v>
      </c>
      <c r="T467" s="50">
        <v>-110.3941495597519</v>
      </c>
      <c r="U467" s="51">
        <f t="shared" si="42"/>
        <v>3.3310928353501314E-3</v>
      </c>
      <c r="V467" s="51">
        <f>SUM($U$5:U467)</f>
        <v>0.89459558635035519</v>
      </c>
      <c r="AB467" s="37"/>
    </row>
    <row r="468" spans="9:28" x14ac:dyDescent="0.3">
      <c r="I468">
        <v>464</v>
      </c>
      <c r="J468" s="23">
        <f>$C$5*Data!C466/Data!C465</f>
        <v>11054.113891415442</v>
      </c>
      <c r="K468" s="23">
        <f>$C$6*Data!F466/Data!F465</f>
        <v>9675.7235282191996</v>
      </c>
      <c r="L468" s="23">
        <f>$C$7*Data!I466/Data!I465</f>
        <v>6196.6793808673474</v>
      </c>
      <c r="M468" s="23">
        <f>$C$8*Data!L466/Data!L465</f>
        <v>112.86939083981038</v>
      </c>
      <c r="N468" s="23">
        <f t="shared" si="38"/>
        <v>10035.566780533507</v>
      </c>
      <c r="O468" s="23">
        <f t="shared" si="39"/>
        <v>35.566780533506972</v>
      </c>
      <c r="P468" s="23">
        <f t="shared" si="40"/>
        <v>-35.566780533506972</v>
      </c>
      <c r="Q468" s="48">
        <f t="shared" si="41"/>
        <v>4.545228593649182E-3</v>
      </c>
      <c r="S468">
        <v>243</v>
      </c>
      <c r="T468" s="50">
        <v>-110.83699916832848</v>
      </c>
      <c r="U468" s="51">
        <f t="shared" si="42"/>
        <v>1.5012622871535622E-3</v>
      </c>
      <c r="V468" s="51">
        <f>SUM($U$5:U468)</f>
        <v>0.89609684863750871</v>
      </c>
      <c r="AB468" s="37"/>
    </row>
    <row r="469" spans="9:28" x14ac:dyDescent="0.3">
      <c r="I469">
        <v>465</v>
      </c>
      <c r="J469" s="23">
        <f>$C$5*Data!C467/Data!C466</f>
        <v>11116.576651082254</v>
      </c>
      <c r="K469" s="23">
        <f>$C$6*Data!F467/Data!F466</f>
        <v>9725.5330625056085</v>
      </c>
      <c r="L469" s="23">
        <f>$C$7*Data!I467/Data!I466</f>
        <v>6239.2565167693747</v>
      </c>
      <c r="M469" s="23">
        <f>$C$8*Data!L467/Data!L466</f>
        <v>113.5484222560117</v>
      </c>
      <c r="N469" s="23">
        <f t="shared" si="38"/>
        <v>10092.704740292766</v>
      </c>
      <c r="O469" s="23">
        <f t="shared" si="39"/>
        <v>92.704740292765564</v>
      </c>
      <c r="P469" s="23">
        <f t="shared" si="40"/>
        <v>-92.704740292765564</v>
      </c>
      <c r="Q469" s="48">
        <f t="shared" si="41"/>
        <v>4.5680689383408865E-3</v>
      </c>
      <c r="S469">
        <v>218</v>
      </c>
      <c r="T469" s="50">
        <v>-112.25882303735489</v>
      </c>
      <c r="U469" s="51">
        <f t="shared" si="42"/>
        <v>1.3244439797024893E-3</v>
      </c>
      <c r="V469" s="51">
        <f>SUM($U$5:U469)</f>
        <v>0.89742129261721115</v>
      </c>
      <c r="AB469" s="37"/>
    </row>
    <row r="470" spans="9:28" x14ac:dyDescent="0.3">
      <c r="I470">
        <v>466</v>
      </c>
      <c r="J470" s="23">
        <f>$C$5*Data!C468/Data!C467</f>
        <v>11022.860002627827</v>
      </c>
      <c r="K470" s="23">
        <f>$C$6*Data!F468/Data!F467</f>
        <v>9846.569460005092</v>
      </c>
      <c r="L470" s="23">
        <f>$C$7*Data!I468/Data!I467</f>
        <v>6219.4994969109139</v>
      </c>
      <c r="M470" s="23">
        <f>$C$8*Data!L468/Data!L467</f>
        <v>115.22150228123354</v>
      </c>
      <c r="N470" s="23">
        <f t="shared" si="38"/>
        <v>10122.990751097206</v>
      </c>
      <c r="O470" s="23">
        <f t="shared" si="39"/>
        <v>122.99075109720616</v>
      </c>
      <c r="P470" s="23">
        <f t="shared" si="40"/>
        <v>-122.99075109720616</v>
      </c>
      <c r="Q470" s="48">
        <f t="shared" si="41"/>
        <v>4.5910240586340568E-3</v>
      </c>
      <c r="S470">
        <v>123</v>
      </c>
      <c r="T470" s="50">
        <v>-113.43222126451474</v>
      </c>
      <c r="U470" s="51">
        <f t="shared" si="42"/>
        <v>8.2267114428356684E-4</v>
      </c>
      <c r="V470" s="51">
        <f>SUM($U$5:U470)</f>
        <v>0.89824396376149473</v>
      </c>
      <c r="AB470" s="37"/>
    </row>
    <row r="471" spans="9:28" x14ac:dyDescent="0.3">
      <c r="I471">
        <v>467</v>
      </c>
      <c r="J471" s="23">
        <f>$C$5*Data!C469/Data!C468</f>
        <v>11100.843317021503</v>
      </c>
      <c r="K471" s="23">
        <f>$C$6*Data!F469/Data!F468</f>
        <v>9537.603255455515</v>
      </c>
      <c r="L471" s="23">
        <f>$C$7*Data!I469/Data!I468</f>
        <v>6231.8411506123421</v>
      </c>
      <c r="M471" s="23">
        <f>$C$8*Data!L469/Data!L468</f>
        <v>112.4169731509066</v>
      </c>
      <c r="N471" s="23">
        <f t="shared" si="38"/>
        <v>10007.013120770072</v>
      </c>
      <c r="O471" s="23">
        <f t="shared" si="39"/>
        <v>7.013120770072419</v>
      </c>
      <c r="P471" s="23">
        <f t="shared" si="40"/>
        <v>-7.013120770072419</v>
      </c>
      <c r="Q471" s="48">
        <f t="shared" si="41"/>
        <v>4.614094531290509E-3</v>
      </c>
      <c r="S471">
        <v>307</v>
      </c>
      <c r="T471" s="50">
        <v>-114.00879925697154</v>
      </c>
      <c r="U471" s="51">
        <f t="shared" si="42"/>
        <v>2.0690901212657258E-3</v>
      </c>
      <c r="V471" s="51">
        <f>SUM($U$5:U471)</f>
        <v>0.90031305388276051</v>
      </c>
      <c r="AB471" s="37"/>
    </row>
    <row r="472" spans="9:28" x14ac:dyDescent="0.3">
      <c r="I472">
        <v>468</v>
      </c>
      <c r="J472" s="23">
        <f>$C$5*Data!C470/Data!C469</f>
        <v>11025.755613248906</v>
      </c>
      <c r="K472" s="23">
        <f>$C$6*Data!F470/Data!F469</f>
        <v>9717.0249770022074</v>
      </c>
      <c r="L472" s="23">
        <f>$C$7*Data!I470/Data!I469</f>
        <v>6231.1495040897635</v>
      </c>
      <c r="M472" s="23">
        <f>$C$8*Data!L470/Data!L469</f>
        <v>112.225879576248</v>
      </c>
      <c r="N472" s="23">
        <f t="shared" si="38"/>
        <v>10032.33396275879</v>
      </c>
      <c r="O472" s="23">
        <f t="shared" si="39"/>
        <v>32.333962758790221</v>
      </c>
      <c r="P472" s="23">
        <f t="shared" si="40"/>
        <v>-32.333962758790221</v>
      </c>
      <c r="Q472" s="48">
        <f t="shared" si="41"/>
        <v>4.6372809359703608E-3</v>
      </c>
      <c r="S472">
        <v>246</v>
      </c>
      <c r="T472" s="50">
        <v>-118.91029100954074</v>
      </c>
      <c r="U472" s="51">
        <f t="shared" si="42"/>
        <v>1.5240083015553129E-3</v>
      </c>
      <c r="V472" s="51">
        <f>SUM($U$5:U472)</f>
        <v>0.90183706218431581</v>
      </c>
      <c r="AB472" s="37"/>
    </row>
    <row r="473" spans="9:28" x14ac:dyDescent="0.3">
      <c r="I473">
        <v>469</v>
      </c>
      <c r="J473" s="23">
        <f>$C$5*Data!C471/Data!C470</f>
        <v>11017.295161406562</v>
      </c>
      <c r="K473" s="23">
        <f>$C$6*Data!F471/Data!F470</f>
        <v>9613.8619081712259</v>
      </c>
      <c r="L473" s="23">
        <f>$C$7*Data!I471/Data!I470</f>
        <v>6154.4129135093453</v>
      </c>
      <c r="M473" s="23">
        <f>$C$8*Data!L471/Data!L470</f>
        <v>111.74402214755887</v>
      </c>
      <c r="N473" s="23">
        <f t="shared" si="38"/>
        <v>9976.1068168833317</v>
      </c>
      <c r="O473" s="23">
        <f t="shared" si="39"/>
        <v>-23.893183116668297</v>
      </c>
      <c r="P473" s="23">
        <f t="shared" si="40"/>
        <v>23.893183116668297</v>
      </c>
      <c r="Q473" s="48">
        <f t="shared" si="41"/>
        <v>4.6605838552465943E-3</v>
      </c>
      <c r="S473">
        <v>357</v>
      </c>
      <c r="T473" s="50">
        <v>-120.3057466587743</v>
      </c>
      <c r="U473" s="51">
        <f t="shared" si="42"/>
        <v>2.6584308610650424E-3</v>
      </c>
      <c r="V473" s="51">
        <f>SUM($U$5:U473)</f>
        <v>0.9044954930453809</v>
      </c>
      <c r="AB473" s="37"/>
    </row>
    <row r="474" spans="9:28" x14ac:dyDescent="0.3">
      <c r="I474">
        <v>470</v>
      </c>
      <c r="J474" s="23">
        <f>$C$5*Data!C472/Data!C471</f>
        <v>11071.210581923873</v>
      </c>
      <c r="K474" s="23">
        <f>$C$6*Data!F472/Data!F471</f>
        <v>9571.0752694418698</v>
      </c>
      <c r="L474" s="23">
        <f>$C$7*Data!I472/Data!I471</f>
        <v>6164.1906823691479</v>
      </c>
      <c r="M474" s="23">
        <f>$C$8*Data!L472/Data!L471</f>
        <v>111.89174141871952</v>
      </c>
      <c r="N474" s="23">
        <f t="shared" si="38"/>
        <v>9986.4978000301271</v>
      </c>
      <c r="O474" s="23">
        <f t="shared" si="39"/>
        <v>-13.502199969872891</v>
      </c>
      <c r="P474" s="23">
        <f t="shared" si="40"/>
        <v>13.502199969872891</v>
      </c>
      <c r="Q474" s="48">
        <f t="shared" si="41"/>
        <v>4.6840038746196926E-3</v>
      </c>
      <c r="S474">
        <v>136</v>
      </c>
      <c r="T474" s="50">
        <v>-121.229195178792</v>
      </c>
      <c r="U474" s="51">
        <f t="shared" si="42"/>
        <v>8.7806408687531024E-4</v>
      </c>
      <c r="V474" s="51">
        <f>SUM($U$5:U474)</f>
        <v>0.9053735571322562</v>
      </c>
      <c r="AB474" s="37"/>
    </row>
    <row r="475" spans="9:28" x14ac:dyDescent="0.3">
      <c r="I475">
        <v>471</v>
      </c>
      <c r="J475" s="23">
        <f>$C$5*Data!C473/Data!C472</f>
        <v>11076.561675439198</v>
      </c>
      <c r="K475" s="23">
        <f>$C$6*Data!F473/Data!F472</f>
        <v>9624.3671340029541</v>
      </c>
      <c r="L475" s="23">
        <f>$C$7*Data!I473/Data!I472</f>
        <v>6195.612792074452</v>
      </c>
      <c r="M475" s="23">
        <f>$C$8*Data!L473/Data!L472</f>
        <v>112.88102776473534</v>
      </c>
      <c r="N475" s="23">
        <f t="shared" si="38"/>
        <v>10027.69849916282</v>
      </c>
      <c r="O475" s="23">
        <f t="shared" si="39"/>
        <v>27.698499162819644</v>
      </c>
      <c r="P475" s="23">
        <f t="shared" si="40"/>
        <v>-27.698499162819644</v>
      </c>
      <c r="Q475" s="48">
        <f t="shared" si="41"/>
        <v>4.7075415825323548E-3</v>
      </c>
      <c r="S475">
        <v>288</v>
      </c>
      <c r="T475" s="50">
        <v>-122.8295610603036</v>
      </c>
      <c r="U475" s="51">
        <f t="shared" si="42"/>
        <v>1.8811262395272918E-3</v>
      </c>
      <c r="V475" s="51">
        <f>SUM($U$5:U475)</f>
        <v>0.9072546833717835</v>
      </c>
      <c r="AB475" s="37"/>
    </row>
    <row r="476" spans="9:28" x14ac:dyDescent="0.3">
      <c r="I476">
        <v>472</v>
      </c>
      <c r="J476" s="23">
        <f>$C$5*Data!C474/Data!C473</f>
        <v>11031.606686515417</v>
      </c>
      <c r="K476" s="23">
        <f>$C$6*Data!F474/Data!F473</f>
        <v>9611.9745173667652</v>
      </c>
      <c r="L476" s="23">
        <f>$C$7*Data!I474/Data!I473</f>
        <v>6261.8640060210428</v>
      </c>
      <c r="M476" s="23">
        <f>$C$8*Data!L474/Data!L473</f>
        <v>113.01815850481498</v>
      </c>
      <c r="N476" s="23">
        <f t="shared" si="38"/>
        <v>10020.627131358326</v>
      </c>
      <c r="O476" s="23">
        <f t="shared" si="39"/>
        <v>20.627131358325641</v>
      </c>
      <c r="P476" s="23">
        <f t="shared" si="40"/>
        <v>-20.627131358325641</v>
      </c>
      <c r="Q476" s="48">
        <f t="shared" si="41"/>
        <v>4.7311975703842758E-3</v>
      </c>
      <c r="S476">
        <v>373</v>
      </c>
      <c r="T476" s="50">
        <v>-123.89287551661437</v>
      </c>
      <c r="U476" s="51">
        <f t="shared" si="42"/>
        <v>2.8804217259653844E-3</v>
      </c>
      <c r="V476" s="51">
        <f>SUM($U$5:U476)</f>
        <v>0.91013510509774886</v>
      </c>
      <c r="AB476" s="37"/>
    </row>
    <row r="477" spans="9:28" x14ac:dyDescent="0.3">
      <c r="I477">
        <v>473</v>
      </c>
      <c r="J477" s="23">
        <f>$C$5*Data!C475/Data!C474</f>
        <v>11019.905758052835</v>
      </c>
      <c r="K477" s="23">
        <f>$C$6*Data!F475/Data!F474</f>
        <v>9585.381727913018</v>
      </c>
      <c r="L477" s="23">
        <f>$C$7*Data!I475/Data!I474</f>
        <v>6237.2308593015014</v>
      </c>
      <c r="M477" s="23">
        <f>$C$8*Data!L475/Data!L474</f>
        <v>113.99938509899225</v>
      </c>
      <c r="N477" s="23">
        <f t="shared" si="38"/>
        <v>10021.491818802926</v>
      </c>
      <c r="O477" s="23">
        <f t="shared" si="39"/>
        <v>21.491818802925991</v>
      </c>
      <c r="P477" s="23">
        <f t="shared" si="40"/>
        <v>-21.491818802925991</v>
      </c>
      <c r="Q477" s="48">
        <f t="shared" si="41"/>
        <v>4.75497243254701E-3</v>
      </c>
      <c r="S477">
        <v>500</v>
      </c>
      <c r="T477" s="50">
        <v>-126.43896718726137</v>
      </c>
      <c r="U477" s="51">
        <f t="shared" si="42"/>
        <v>5.4440840715540397E-3</v>
      </c>
      <c r="V477" s="51">
        <f>SUM($U$5:U477)</f>
        <v>0.91557918916930292</v>
      </c>
      <c r="AB477" s="37"/>
    </row>
    <row r="478" spans="9:28" x14ac:dyDescent="0.3">
      <c r="I478">
        <v>474</v>
      </c>
      <c r="J478" s="23">
        <f>$C$5*Data!C476/Data!C475</f>
        <v>11078.582959766743</v>
      </c>
      <c r="K478" s="23">
        <f>$C$6*Data!F476/Data!F475</f>
        <v>9724.3436805529946</v>
      </c>
      <c r="L478" s="23">
        <f>$C$7*Data!I476/Data!I475</f>
        <v>6225.5777212957146</v>
      </c>
      <c r="M478" s="23">
        <f>$C$8*Data!L476/Data!L475</f>
        <v>111.63036606864301</v>
      </c>
      <c r="N478" s="23">
        <f t="shared" si="38"/>
        <v>10042.337281221786</v>
      </c>
      <c r="O478" s="23">
        <f t="shared" si="39"/>
        <v>42.337281221785815</v>
      </c>
      <c r="P478" s="23">
        <f t="shared" si="40"/>
        <v>-42.337281221785815</v>
      </c>
      <c r="Q478" s="48">
        <f t="shared" si="41"/>
        <v>4.7788667663789053E-3</v>
      </c>
      <c r="S478">
        <v>483</v>
      </c>
      <c r="T478" s="50">
        <v>-127.951464586984</v>
      </c>
      <c r="U478" s="51">
        <f t="shared" si="42"/>
        <v>4.9993920580137588E-3</v>
      </c>
      <c r="V478" s="51">
        <f>SUM($U$5:U478)</f>
        <v>0.92057858122731673</v>
      </c>
      <c r="AB478" s="37"/>
    </row>
    <row r="479" spans="9:28" x14ac:dyDescent="0.3">
      <c r="I479">
        <v>475</v>
      </c>
      <c r="J479" s="23">
        <f>$C$5*Data!C477/Data!C476</f>
        <v>11022.434583558012</v>
      </c>
      <c r="K479" s="23">
        <f>$C$6*Data!F477/Data!F476</f>
        <v>9631.8592779557403</v>
      </c>
      <c r="L479" s="23">
        <f>$C$7*Data!I477/Data!I476</f>
        <v>6173.1894832311646</v>
      </c>
      <c r="M479" s="23">
        <f>$C$8*Data!L477/Data!L476</f>
        <v>112.60199321507146</v>
      </c>
      <c r="N479" s="23">
        <f t="shared" si="38"/>
        <v>10001.833750782807</v>
      </c>
      <c r="O479" s="23">
        <f t="shared" si="39"/>
        <v>1.8337507828073285</v>
      </c>
      <c r="P479" s="23">
        <f t="shared" si="40"/>
        <v>-1.8337507828073285</v>
      </c>
      <c r="Q479" s="48">
        <f t="shared" si="41"/>
        <v>4.8028811722401052E-3</v>
      </c>
      <c r="S479">
        <v>496</v>
      </c>
      <c r="T479" s="50">
        <v>-129.78058522602987</v>
      </c>
      <c r="U479" s="51">
        <f t="shared" si="42"/>
        <v>5.3360162840942089E-3</v>
      </c>
      <c r="V479" s="51">
        <f>SUM($U$5:U479)</f>
        <v>0.92591459751141092</v>
      </c>
      <c r="AB479" s="37"/>
    </row>
    <row r="480" spans="9:28" x14ac:dyDescent="0.3">
      <c r="I480">
        <v>476</v>
      </c>
      <c r="J480" s="23">
        <f>$C$5*Data!C478/Data!C477</f>
        <v>10958.343426303994</v>
      </c>
      <c r="K480" s="23">
        <f>$C$6*Data!F478/Data!F477</f>
        <v>9555.9519449017098</v>
      </c>
      <c r="L480" s="23">
        <f>$C$7*Data!I478/Data!I477</f>
        <v>6232.098601960558</v>
      </c>
      <c r="M480" s="23">
        <f>$C$8*Data!L478/Data!L477</f>
        <v>112.59441156351824</v>
      </c>
      <c r="N480" s="23">
        <f t="shared" si="38"/>
        <v>9964.2196918544832</v>
      </c>
      <c r="O480" s="23">
        <f t="shared" si="39"/>
        <v>-35.780308145516756</v>
      </c>
      <c r="P480" s="23">
        <f t="shared" si="40"/>
        <v>35.780308145516756</v>
      </c>
      <c r="Q480" s="48">
        <f t="shared" si="41"/>
        <v>4.8270162535076436E-3</v>
      </c>
      <c r="S480">
        <v>236</v>
      </c>
      <c r="T480" s="50">
        <v>-131.00500554685641</v>
      </c>
      <c r="U480" s="51">
        <f t="shared" si="42"/>
        <v>1.4494997345231933E-3</v>
      </c>
      <c r="V480" s="51">
        <f>SUM($U$5:U480)</f>
        <v>0.92736409724593416</v>
      </c>
      <c r="AB480" s="37"/>
    </row>
    <row r="481" spans="9:28" x14ac:dyDescent="0.3">
      <c r="I481">
        <v>477</v>
      </c>
      <c r="J481" s="23">
        <f>$C$5*Data!C479/Data!C478</f>
        <v>11054.531226717563</v>
      </c>
      <c r="K481" s="23">
        <f>$C$6*Data!F479/Data!F478</f>
        <v>9660.1357478767222</v>
      </c>
      <c r="L481" s="23">
        <f>$C$7*Data!I479/Data!I478</f>
        <v>6123.1385054933708</v>
      </c>
      <c r="M481" s="23">
        <f>$C$8*Data!L479/Data!L478</f>
        <v>112.50572573411726</v>
      </c>
      <c r="N481" s="23">
        <f t="shared" si="38"/>
        <v>10012.539629671723</v>
      </c>
      <c r="O481" s="23">
        <f t="shared" si="39"/>
        <v>12.539629671722651</v>
      </c>
      <c r="P481" s="23">
        <f t="shared" si="40"/>
        <v>-12.539629671722651</v>
      </c>
      <c r="Q481" s="48">
        <f t="shared" si="41"/>
        <v>4.8512726165905956E-3</v>
      </c>
      <c r="S481">
        <v>305</v>
      </c>
      <c r="T481" s="50">
        <v>-131.96805083459549</v>
      </c>
      <c r="U481" s="51">
        <f t="shared" si="42"/>
        <v>2.0484509473061002E-3</v>
      </c>
      <c r="V481" s="51">
        <f>SUM($U$5:U481)</f>
        <v>0.92941254819324026</v>
      </c>
      <c r="AB481" s="37"/>
    </row>
    <row r="482" spans="9:28" x14ac:dyDescent="0.3">
      <c r="I482">
        <v>478</v>
      </c>
      <c r="J482" s="23">
        <f>$C$5*Data!C480/Data!C479</f>
        <v>11114.411668031851</v>
      </c>
      <c r="K482" s="23">
        <f>$C$6*Data!F480/Data!F479</f>
        <v>9659.7601280951876</v>
      </c>
      <c r="L482" s="23">
        <f>$C$7*Data!I480/Data!I479</f>
        <v>6170.9604494033019</v>
      </c>
      <c r="M482" s="23">
        <f>$C$8*Data!L480/Data!L479</f>
        <v>110.50648932451378</v>
      </c>
      <c r="N482" s="23">
        <f t="shared" si="38"/>
        <v>10006.42559220763</v>
      </c>
      <c r="O482" s="23">
        <f t="shared" si="39"/>
        <v>6.4255922076299612</v>
      </c>
      <c r="P482" s="23">
        <f t="shared" si="40"/>
        <v>-6.4255922076299612</v>
      </c>
      <c r="Q482" s="48">
        <f t="shared" si="41"/>
        <v>4.8756508709453233E-3</v>
      </c>
      <c r="S482">
        <v>326</v>
      </c>
      <c r="T482" s="50">
        <v>-138.65604476265617</v>
      </c>
      <c r="U482" s="51">
        <f t="shared" si="42"/>
        <v>2.2758355287177444E-3</v>
      </c>
      <c r="V482" s="51">
        <f>SUM($U$5:U482)</f>
        <v>0.93168838372195806</v>
      </c>
      <c r="AB482" s="37"/>
    </row>
    <row r="483" spans="9:28" x14ac:dyDescent="0.3">
      <c r="I483">
        <v>479</v>
      </c>
      <c r="J483" s="23">
        <f>$C$5*Data!C481/Data!C480</f>
        <v>10944.245683081113</v>
      </c>
      <c r="K483" s="23">
        <f>$C$6*Data!F481/Data!F480</f>
        <v>9568.9499338356836</v>
      </c>
      <c r="L483" s="23">
        <f>$C$7*Data!I481/Data!I480</f>
        <v>6220.1968944492373</v>
      </c>
      <c r="M483" s="23">
        <f>$C$8*Data!L481/Data!L480</f>
        <v>116.36167452763505</v>
      </c>
      <c r="N483" s="23">
        <f t="shared" si="38"/>
        <v>10028.028253685497</v>
      </c>
      <c r="O483" s="23">
        <f t="shared" si="39"/>
        <v>28.028253685497475</v>
      </c>
      <c r="P483" s="23">
        <f t="shared" si="40"/>
        <v>-28.028253685497475</v>
      </c>
      <c r="Q483" s="48">
        <f t="shared" si="41"/>
        <v>4.900151629090777E-3</v>
      </c>
      <c r="S483">
        <v>252</v>
      </c>
      <c r="T483" s="50">
        <v>-144.04172982201271</v>
      </c>
      <c r="U483" s="51">
        <f t="shared" si="42"/>
        <v>1.5705394442453065E-3</v>
      </c>
      <c r="V483" s="51">
        <f>SUM($U$5:U483)</f>
        <v>0.9332589231662034</v>
      </c>
      <c r="AB483" s="37"/>
    </row>
    <row r="484" spans="9:28" x14ac:dyDescent="0.3">
      <c r="I484">
        <v>480</v>
      </c>
      <c r="J484" s="23">
        <f>$C$5*Data!C482/Data!C481</f>
        <v>11061.005045817037</v>
      </c>
      <c r="K484" s="23">
        <f>$C$6*Data!F482/Data!F481</f>
        <v>9523.8757523487893</v>
      </c>
      <c r="L484" s="23">
        <f>$C$7*Data!I482/Data!I481</f>
        <v>6226.7814952089657</v>
      </c>
      <c r="M484" s="23">
        <f>$C$8*Data!L482/Data!L481</f>
        <v>109.35991129636551</v>
      </c>
      <c r="N484" s="23">
        <f t="shared" si="38"/>
        <v>9933.2569621218681</v>
      </c>
      <c r="O484" s="23">
        <f t="shared" si="39"/>
        <v>-66.743037878131872</v>
      </c>
      <c r="P484" s="23">
        <f t="shared" si="40"/>
        <v>66.743037878131872</v>
      </c>
      <c r="Q484" s="48">
        <f t="shared" si="41"/>
        <v>4.9247755066238966E-3</v>
      </c>
      <c r="S484">
        <v>346</v>
      </c>
      <c r="T484" s="50">
        <v>-145.47521045654139</v>
      </c>
      <c r="U484" s="51">
        <f t="shared" si="42"/>
        <v>2.515818220486298E-3</v>
      </c>
      <c r="V484" s="51">
        <f>SUM($U$5:U484)</f>
        <v>0.9357747413866897</v>
      </c>
      <c r="AB484" s="37"/>
    </row>
    <row r="485" spans="9:28" x14ac:dyDescent="0.3">
      <c r="I485">
        <v>481</v>
      </c>
      <c r="J485" s="23">
        <f>$C$5*Data!C483/Data!C482</f>
        <v>10991.16253759879</v>
      </c>
      <c r="K485" s="23">
        <f>$C$6*Data!F483/Data!F482</f>
        <v>9632.5047411226442</v>
      </c>
      <c r="L485" s="23">
        <f>$C$7*Data!I483/Data!I482</f>
        <v>6279.5390417792369</v>
      </c>
      <c r="M485" s="23">
        <f>$C$8*Data!L483/Data!L482</f>
        <v>114.21648681521565</v>
      </c>
      <c r="N485" s="23">
        <f t="shared" si="38"/>
        <v>10036.45878635076</v>
      </c>
      <c r="O485" s="23">
        <f t="shared" si="39"/>
        <v>36.45878635076042</v>
      </c>
      <c r="P485" s="23">
        <f t="shared" si="40"/>
        <v>-36.45878635076042</v>
      </c>
      <c r="Q485" s="48">
        <f t="shared" si="41"/>
        <v>4.9495231222350718E-3</v>
      </c>
      <c r="S485">
        <v>405</v>
      </c>
      <c r="T485" s="50">
        <v>-146.29342979794274</v>
      </c>
      <c r="U485" s="51">
        <f t="shared" si="42"/>
        <v>3.3815630871207956E-3</v>
      </c>
      <c r="V485" s="51">
        <f>SUM($U$5:U485)</f>
        <v>0.93915630447381049</v>
      </c>
      <c r="AB485" s="37"/>
    </row>
    <row r="486" spans="9:28" x14ac:dyDescent="0.3">
      <c r="I486">
        <v>482</v>
      </c>
      <c r="J486" s="23">
        <f>$C$5*Data!C484/Data!C483</f>
        <v>11076.095112491552</v>
      </c>
      <c r="K486" s="23">
        <f>$C$6*Data!F484/Data!F483</f>
        <v>9520.5353110191518</v>
      </c>
      <c r="L486" s="23">
        <f>$C$7*Data!I484/Data!I483</f>
        <v>6202.8067410258609</v>
      </c>
      <c r="M486" s="23">
        <f>$C$8*Data!L484/Data!L483</f>
        <v>114.22253824827948</v>
      </c>
      <c r="N486" s="23">
        <f t="shared" si="38"/>
        <v>10020.022615070329</v>
      </c>
      <c r="O486" s="23">
        <f t="shared" si="39"/>
        <v>20.022615070329266</v>
      </c>
      <c r="P486" s="23">
        <f t="shared" si="40"/>
        <v>-20.022615070329266</v>
      </c>
      <c r="Q486" s="48">
        <f t="shared" si="41"/>
        <v>4.9743950977236898E-3</v>
      </c>
      <c r="S486">
        <v>258</v>
      </c>
      <c r="T486" s="50">
        <v>-149.5501741129865</v>
      </c>
      <c r="U486" s="51">
        <f t="shared" si="42"/>
        <v>1.6184912794852205E-3</v>
      </c>
      <c r="V486" s="51">
        <f>SUM($U$5:U486)</f>
        <v>0.9407747957532957</v>
      </c>
      <c r="AB486" s="37"/>
    </row>
    <row r="487" spans="9:28" x14ac:dyDescent="0.3">
      <c r="I487">
        <v>483</v>
      </c>
      <c r="J487" s="23">
        <f>$C$5*Data!C485/Data!C484</f>
        <v>11095.414702584878</v>
      </c>
      <c r="K487" s="23">
        <f>$C$6*Data!F485/Data!F484</f>
        <v>9774.1510389606556</v>
      </c>
      <c r="L487" s="23">
        <f>$C$7*Data!I485/Data!I484</f>
        <v>6195.790141184254</v>
      </c>
      <c r="M487" s="23">
        <f>$C$8*Data!L485/Data!L484</f>
        <v>113.67973814287578</v>
      </c>
      <c r="N487" s="23">
        <f t="shared" ref="N487:N504" si="43">MMULT(J487:M487,$D$5:$D$8)</f>
        <v>10095.535747797157</v>
      </c>
      <c r="O487" s="23">
        <f t="shared" ref="O487:O504" si="44">N487-$B$9</f>
        <v>95.535747797157455</v>
      </c>
      <c r="P487" s="23">
        <f t="shared" ref="P487:P504" si="45">-O487</f>
        <v>-95.535747797157455</v>
      </c>
      <c r="Q487" s="48">
        <f t="shared" si="41"/>
        <v>4.9993920580137588E-3</v>
      </c>
      <c r="S487">
        <v>493</v>
      </c>
      <c r="T487" s="50">
        <v>-155.02247434568926</v>
      </c>
      <c r="U487" s="51">
        <f t="shared" si="42"/>
        <v>5.2563755740520678E-3</v>
      </c>
      <c r="V487" s="51">
        <f>SUM($U$5:U487)</f>
        <v>0.94603117132734782</v>
      </c>
      <c r="AB487" s="37"/>
    </row>
    <row r="488" spans="9:28" x14ac:dyDescent="0.3">
      <c r="I488">
        <v>484</v>
      </c>
      <c r="J488" s="23">
        <f>$C$5*Data!C486/Data!C485</f>
        <v>10990.590050905666</v>
      </c>
      <c r="K488" s="23">
        <f>$C$6*Data!F486/Data!F485</f>
        <v>9625.8465341325355</v>
      </c>
      <c r="L488" s="23">
        <f>$C$7*Data!I486/Data!I485</f>
        <v>6197.6752364056183</v>
      </c>
      <c r="M488" s="23">
        <f>$C$8*Data!L486/Data!L485</f>
        <v>114.58009773508384</v>
      </c>
      <c r="N488" s="23">
        <f t="shared" si="43"/>
        <v>10027.413056304234</v>
      </c>
      <c r="O488" s="23">
        <f t="shared" si="44"/>
        <v>27.413056304234487</v>
      </c>
      <c r="P488" s="23">
        <f t="shared" si="45"/>
        <v>-27.413056304234487</v>
      </c>
      <c r="Q488" s="48">
        <f t="shared" si="41"/>
        <v>5.0245146311696069E-3</v>
      </c>
      <c r="S488">
        <v>344</v>
      </c>
      <c r="T488" s="50">
        <v>-155.54047619443372</v>
      </c>
      <c r="U488" s="51">
        <f t="shared" si="42"/>
        <v>2.490722933736947E-3</v>
      </c>
      <c r="V488" s="51">
        <f>SUM($U$5:U488)</f>
        <v>0.9485218942610848</v>
      </c>
      <c r="AB488" s="37"/>
    </row>
    <row r="489" spans="9:28" x14ac:dyDescent="0.3">
      <c r="I489">
        <v>485</v>
      </c>
      <c r="J489" s="23">
        <f>$C$5*Data!C487/Data!C486</f>
        <v>11098.952262551229</v>
      </c>
      <c r="K489" s="23">
        <f>$C$6*Data!F487/Data!F486</f>
        <v>9706.073863140673</v>
      </c>
      <c r="L489" s="23">
        <f>$C$7*Data!I487/Data!I486</f>
        <v>6200.3724984282971</v>
      </c>
      <c r="M489" s="23">
        <f>$C$8*Data!L487/Data!L486</f>
        <v>111.98197379974991</v>
      </c>
      <c r="N489" s="23">
        <f t="shared" si="43"/>
        <v>10046.187955856754</v>
      </c>
      <c r="O489" s="23">
        <f t="shared" si="44"/>
        <v>46.187955856754343</v>
      </c>
      <c r="P489" s="23">
        <f t="shared" si="45"/>
        <v>-46.187955856754343</v>
      </c>
      <c r="Q489" s="48">
        <f t="shared" si="41"/>
        <v>5.0497634484116651E-3</v>
      </c>
      <c r="S489">
        <v>147</v>
      </c>
      <c r="T489" s="50">
        <v>-162.94083828421026</v>
      </c>
      <c r="U489" s="51">
        <f t="shared" si="42"/>
        <v>9.2783836587804645E-4</v>
      </c>
      <c r="V489" s="51">
        <f>SUM($U$5:U489)</f>
        <v>0.94944973262696286</v>
      </c>
      <c r="AB489" s="37"/>
    </row>
    <row r="490" spans="9:28" x14ac:dyDescent="0.3">
      <c r="I490">
        <v>486</v>
      </c>
      <c r="J490" s="23">
        <f>$C$5*Data!C488/Data!C487</f>
        <v>11005.366727126369</v>
      </c>
      <c r="K490" s="23">
        <f>$C$6*Data!F488/Data!F487</f>
        <v>9576.7568680231598</v>
      </c>
      <c r="L490" s="23">
        <f>$C$7*Data!I488/Data!I487</f>
        <v>6190.7309070187302</v>
      </c>
      <c r="M490" s="23">
        <f>$C$8*Data!L488/Data!L487</f>
        <v>113.32709809065527</v>
      </c>
      <c r="N490" s="23">
        <f t="shared" si="43"/>
        <v>9994.1030240777018</v>
      </c>
      <c r="O490" s="23">
        <f t="shared" si="44"/>
        <v>-5.8969759222982248</v>
      </c>
      <c r="P490" s="23">
        <f t="shared" si="45"/>
        <v>5.8969759222982248</v>
      </c>
      <c r="Q490" s="48">
        <f t="shared" si="41"/>
        <v>5.0751391441323269E-3</v>
      </c>
      <c r="S490">
        <v>372</v>
      </c>
      <c r="T490" s="50">
        <v>-165.04413540546375</v>
      </c>
      <c r="U490" s="51">
        <f t="shared" si="42"/>
        <v>2.8660196173355577E-3</v>
      </c>
      <c r="V490" s="51">
        <f>SUM($U$5:U490)</f>
        <v>0.95231575224429843</v>
      </c>
      <c r="AB490" s="37"/>
    </row>
    <row r="491" spans="9:28" x14ac:dyDescent="0.3">
      <c r="I491">
        <v>487</v>
      </c>
      <c r="J491" s="23">
        <f>$C$5*Data!C489/Data!C488</f>
        <v>11042.673423219267</v>
      </c>
      <c r="K491" s="23">
        <f>$C$6*Data!F489/Data!F488</f>
        <v>9562.8247994957383</v>
      </c>
      <c r="L491" s="23">
        <f>$C$7*Data!I489/Data!I488</f>
        <v>6219.8023251807599</v>
      </c>
      <c r="M491" s="23">
        <f>$C$8*Data!L489/Data!L488</f>
        <v>113.68833399490737</v>
      </c>
      <c r="N491" s="23">
        <f t="shared" si="43"/>
        <v>10014.380401273407</v>
      </c>
      <c r="O491" s="23">
        <f t="shared" si="44"/>
        <v>14.380401273407188</v>
      </c>
      <c r="P491" s="23">
        <f t="shared" si="45"/>
        <v>-14.380401273407188</v>
      </c>
      <c r="Q491" s="48">
        <f t="shared" si="41"/>
        <v>5.1006423559118866E-3</v>
      </c>
      <c r="S491">
        <v>309</v>
      </c>
      <c r="T491" s="50">
        <v>-167.15159190420309</v>
      </c>
      <c r="U491" s="51">
        <f t="shared" si="42"/>
        <v>2.0899372452874683E-3</v>
      </c>
      <c r="V491" s="51">
        <f>SUM($U$5:U491)</f>
        <v>0.95440568948958593</v>
      </c>
      <c r="AB491" s="37"/>
    </row>
    <row r="492" spans="9:28" x14ac:dyDescent="0.3">
      <c r="I492">
        <v>488</v>
      </c>
      <c r="J492" s="23">
        <f>$C$5*Data!C490/Data!C489</f>
        <v>11114.276651023396</v>
      </c>
      <c r="K492" s="23">
        <f>$C$6*Data!F490/Data!F489</f>
        <v>9636.4145729230131</v>
      </c>
      <c r="L492" s="23">
        <f>$C$7*Data!I490/Data!I489</f>
        <v>6206.9318148538759</v>
      </c>
      <c r="M492" s="23">
        <f>$C$8*Data!L490/Data!L489</f>
        <v>114.76161838615927</v>
      </c>
      <c r="N492" s="23">
        <f t="shared" si="43"/>
        <v>10080.313251589239</v>
      </c>
      <c r="O492" s="23">
        <f t="shared" si="44"/>
        <v>80.313251589239371</v>
      </c>
      <c r="P492" s="23">
        <f t="shared" si="45"/>
        <v>-80.313251589239371</v>
      </c>
      <c r="Q492" s="48">
        <f t="shared" si="41"/>
        <v>5.1262737245345589E-3</v>
      </c>
      <c r="S492">
        <v>463</v>
      </c>
      <c r="T492" s="50">
        <v>-167.8823659226091</v>
      </c>
      <c r="U492" s="51">
        <f t="shared" si="42"/>
        <v>4.5225024506809364E-3</v>
      </c>
      <c r="V492" s="51">
        <f>SUM($U$5:U492)</f>
        <v>0.95892819194026691</v>
      </c>
      <c r="AB492" s="37"/>
    </row>
    <row r="493" spans="9:28" x14ac:dyDescent="0.3">
      <c r="I493">
        <v>489</v>
      </c>
      <c r="J493" s="23">
        <f>$C$5*Data!C491/Data!C490</f>
        <v>11064.628982054415</v>
      </c>
      <c r="K493" s="23">
        <f>$C$6*Data!F491/Data!F490</f>
        <v>9657.5252524677835</v>
      </c>
      <c r="L493" s="23">
        <f>$C$7*Data!I491/Data!I490</f>
        <v>6209.1651754864633</v>
      </c>
      <c r="M493" s="23">
        <f>$C$8*Data!L491/Data!L490</f>
        <v>110.22255739099795</v>
      </c>
      <c r="N493" s="23">
        <f t="shared" si="43"/>
        <v>9988.7890148031765</v>
      </c>
      <c r="O493" s="23">
        <f t="shared" si="44"/>
        <v>-11.210985196823458</v>
      </c>
      <c r="P493" s="23">
        <f t="shared" si="45"/>
        <v>11.210985196823458</v>
      </c>
      <c r="Q493" s="48">
        <f t="shared" si="41"/>
        <v>5.1520338940045816E-3</v>
      </c>
      <c r="S493">
        <v>361</v>
      </c>
      <c r="T493" s="50">
        <v>-179.87323824558371</v>
      </c>
      <c r="U493" s="51">
        <f t="shared" si="42"/>
        <v>2.7122707907006765E-3</v>
      </c>
      <c r="V493" s="51">
        <f>SUM($U$5:U493)</f>
        <v>0.96164046273096759</v>
      </c>
      <c r="AB493" s="37"/>
    </row>
    <row r="494" spans="9:28" x14ac:dyDescent="0.3">
      <c r="I494">
        <v>490</v>
      </c>
      <c r="J494" s="23">
        <f>$C$5*Data!C492/Data!C491</f>
        <v>10992.829743664219</v>
      </c>
      <c r="K494" s="23">
        <f>$C$6*Data!F492/Data!F491</f>
        <v>9513.8290462213463</v>
      </c>
      <c r="L494" s="23">
        <f>$C$7*Data!I492/Data!I491</f>
        <v>6182.0453015249204</v>
      </c>
      <c r="M494" s="23">
        <f>$C$8*Data!L492/Data!L491</f>
        <v>114.14982264005017</v>
      </c>
      <c r="N494" s="23">
        <f t="shared" si="43"/>
        <v>9983.0717330309908</v>
      </c>
      <c r="O494" s="23">
        <f t="shared" si="44"/>
        <v>-16.928266969009201</v>
      </c>
      <c r="P494" s="23">
        <f t="shared" si="45"/>
        <v>16.928266969009201</v>
      </c>
      <c r="Q494" s="48">
        <f t="shared" si="41"/>
        <v>5.1779235115623941E-3</v>
      </c>
      <c r="S494">
        <v>384</v>
      </c>
      <c r="T494" s="50">
        <v>-180.23579095732021</v>
      </c>
      <c r="U494" s="51">
        <f t="shared" si="42"/>
        <v>3.0437024212776657E-3</v>
      </c>
      <c r="V494" s="51">
        <f>SUM($U$5:U494)</f>
        <v>0.96468416515224531</v>
      </c>
      <c r="AB494" s="37"/>
    </row>
    <row r="495" spans="9:28" x14ac:dyDescent="0.3">
      <c r="I495">
        <v>491</v>
      </c>
      <c r="J495" s="23">
        <f>$C$5*Data!C493/Data!C492</f>
        <v>11025.246214007931</v>
      </c>
      <c r="K495" s="23">
        <f>$C$6*Data!F493/Data!F492</f>
        <v>9329.6695254234219</v>
      </c>
      <c r="L495" s="23">
        <f>$C$7*Data!I493/Data!I492</f>
        <v>6121.4949216022032</v>
      </c>
      <c r="M495" s="23">
        <f>$C$8*Data!L493/Data!L492</f>
        <v>111.61070889483518</v>
      </c>
      <c r="N495" s="23">
        <f t="shared" si="43"/>
        <v>9882.5090013548561</v>
      </c>
      <c r="O495" s="23">
        <f t="shared" si="44"/>
        <v>-117.49099864514392</v>
      </c>
      <c r="P495" s="23">
        <f t="shared" si="45"/>
        <v>117.49099864514392</v>
      </c>
      <c r="Q495" s="48">
        <f t="shared" si="41"/>
        <v>5.2039432277008971E-3</v>
      </c>
      <c r="S495">
        <v>353</v>
      </c>
      <c r="T495" s="50">
        <v>-185.88264424074259</v>
      </c>
      <c r="U495" s="51">
        <f t="shared" si="42"/>
        <v>2.6056596809189898E-3</v>
      </c>
      <c r="V495" s="51">
        <f>SUM($U$5:U495)</f>
        <v>0.96728982483316428</v>
      </c>
      <c r="AB495" s="37"/>
    </row>
    <row r="496" spans="9:28" x14ac:dyDescent="0.3">
      <c r="I496">
        <v>492</v>
      </c>
      <c r="J496" s="23">
        <f>$C$5*Data!C494/Data!C493</f>
        <v>11034.635912473948</v>
      </c>
      <c r="K496" s="23">
        <f>$C$6*Data!F494/Data!F493</f>
        <v>9721.9184049972464</v>
      </c>
      <c r="L496" s="23">
        <f>$C$7*Data!I494/Data!I493</f>
        <v>6273.3633776406759</v>
      </c>
      <c r="M496" s="23">
        <f>$C$8*Data!L494/Data!L493</f>
        <v>114.07561053052949</v>
      </c>
      <c r="N496" s="23">
        <f t="shared" si="43"/>
        <v>10076.684384230397</v>
      </c>
      <c r="O496" s="23">
        <f t="shared" si="44"/>
        <v>76.684384230396972</v>
      </c>
      <c r="P496" s="23">
        <f t="shared" si="45"/>
        <v>-76.684384230396972</v>
      </c>
      <c r="Q496" s="48">
        <f t="shared" si="41"/>
        <v>5.2300936961818074E-3</v>
      </c>
      <c r="S496">
        <v>467</v>
      </c>
      <c r="T496" s="50">
        <v>-188.98647754204467</v>
      </c>
      <c r="U496" s="51">
        <f t="shared" si="42"/>
        <v>4.614094531290509E-3</v>
      </c>
      <c r="V496" s="51">
        <f>SUM($U$5:U496)</f>
        <v>0.97190391936445475</v>
      </c>
      <c r="AB496" s="37"/>
    </row>
    <row r="497" spans="9:28" x14ac:dyDescent="0.3">
      <c r="I497">
        <v>493</v>
      </c>
      <c r="J497" s="23">
        <f>$C$5*Data!C495/Data!C494</f>
        <v>10922.396760401854</v>
      </c>
      <c r="K497" s="23">
        <f>$C$6*Data!F495/Data!F494</f>
        <v>9453.5951060763418</v>
      </c>
      <c r="L497" s="23">
        <f>$C$7*Data!I495/Data!I494</f>
        <v>6022.3456084473664</v>
      </c>
      <c r="M497" s="23">
        <f>$C$8*Data!L495/Data!L494</f>
        <v>109.73866746563129</v>
      </c>
      <c r="N497" s="23">
        <f t="shared" si="43"/>
        <v>9834.7346879136057</v>
      </c>
      <c r="O497" s="23">
        <f t="shared" si="44"/>
        <v>-165.26531208639426</v>
      </c>
      <c r="P497" s="23">
        <f t="shared" si="45"/>
        <v>165.26531208639426</v>
      </c>
      <c r="Q497" s="48">
        <f t="shared" si="41"/>
        <v>5.2563755740520678E-3</v>
      </c>
      <c r="S497">
        <v>455</v>
      </c>
      <c r="T497" s="50">
        <v>-205.51035918357775</v>
      </c>
      <c r="U497" s="51">
        <f t="shared" si="42"/>
        <v>4.3447366439220416E-3</v>
      </c>
      <c r="V497" s="51">
        <f>SUM($U$5:U497)</f>
        <v>0.97624865600837674</v>
      </c>
      <c r="AB497" s="37"/>
    </row>
    <row r="498" spans="9:28" x14ac:dyDescent="0.3">
      <c r="I498">
        <v>494</v>
      </c>
      <c r="J498" s="23">
        <f>$C$5*Data!C496/Data!C495</f>
        <v>10848.675151899595</v>
      </c>
      <c r="K498" s="23">
        <f>$C$6*Data!F496/Data!F495</f>
        <v>9613.836572948132</v>
      </c>
      <c r="L498" s="23">
        <f>$C$7*Data!I496/Data!I495</f>
        <v>6255.6682719263972</v>
      </c>
      <c r="M498" s="23">
        <f>$C$8*Data!L496/Data!L495</f>
        <v>114.77181489495214</v>
      </c>
      <c r="N498" s="23">
        <f t="shared" si="43"/>
        <v>9984.9094629573628</v>
      </c>
      <c r="O498" s="23">
        <f t="shared" si="44"/>
        <v>-15.090537042637152</v>
      </c>
      <c r="P498" s="23">
        <f t="shared" si="45"/>
        <v>15.090537042637152</v>
      </c>
      <c r="Q498" s="48">
        <f t="shared" si="41"/>
        <v>5.2827895216603698E-3</v>
      </c>
      <c r="S498">
        <v>263</v>
      </c>
      <c r="T498" s="50">
        <v>-214.9094175198843</v>
      </c>
      <c r="U498" s="51">
        <f t="shared" si="42"/>
        <v>1.6595676480531331E-3</v>
      </c>
      <c r="V498" s="51">
        <f>SUM($U$5:U498)</f>
        <v>0.97790822365642982</v>
      </c>
      <c r="AB498" s="37"/>
    </row>
    <row r="499" spans="9:28" x14ac:dyDescent="0.3">
      <c r="I499">
        <v>495</v>
      </c>
      <c r="J499" s="23">
        <f>$C$5*Data!C497/Data!C496</f>
        <v>11132.871211181709</v>
      </c>
      <c r="K499" s="23">
        <f>$C$6*Data!F497/Data!F496</f>
        <v>9328.896218189022</v>
      </c>
      <c r="L499" s="23">
        <f>$C$7*Data!I497/Data!I496</f>
        <v>6208.0573986478103</v>
      </c>
      <c r="M499" s="23">
        <f>$C$8*Data!L497/Data!L496</f>
        <v>113.76945837416885</v>
      </c>
      <c r="N499" s="23">
        <f t="shared" si="43"/>
        <v>9973.5543674414712</v>
      </c>
      <c r="O499" s="23">
        <f t="shared" si="44"/>
        <v>-26.445632558528814</v>
      </c>
      <c r="P499" s="23">
        <f t="shared" si="45"/>
        <v>26.445632558528814</v>
      </c>
      <c r="Q499" s="48">
        <f t="shared" si="41"/>
        <v>5.3093362026737376E-3</v>
      </c>
      <c r="S499">
        <v>395</v>
      </c>
      <c r="T499" s="50">
        <v>-224.5146280105364</v>
      </c>
      <c r="U499" s="51">
        <f t="shared" si="42"/>
        <v>3.2162389089696979E-3</v>
      </c>
      <c r="V499" s="51">
        <f>SUM($U$5:U499)</f>
        <v>0.98112446256539954</v>
      </c>
      <c r="AB499" s="37"/>
    </row>
    <row r="500" spans="9:28" x14ac:dyDescent="0.3">
      <c r="I500">
        <v>496</v>
      </c>
      <c r="J500" s="23">
        <f>$C$5*Data!C498/Data!C497</f>
        <v>11012.505260287149</v>
      </c>
      <c r="K500" s="23">
        <f>$C$6*Data!F498/Data!F497</f>
        <v>9348.4194212141774</v>
      </c>
      <c r="L500" s="23">
        <f>$C$7*Data!I498/Data!I497</f>
        <v>6123.6521289791226</v>
      </c>
      <c r="M500" s="23">
        <f>$C$8*Data!L498/Data!L497</f>
        <v>110.74643120586971</v>
      </c>
      <c r="N500" s="23">
        <f t="shared" si="43"/>
        <v>9868.7714509305933</v>
      </c>
      <c r="O500" s="23">
        <f t="shared" si="44"/>
        <v>-131.22854906940665</v>
      </c>
      <c r="P500" s="23">
        <f t="shared" si="45"/>
        <v>131.22854906940665</v>
      </c>
      <c r="Q500" s="48">
        <f t="shared" si="41"/>
        <v>5.3360162840942089E-3</v>
      </c>
      <c r="S500">
        <v>489</v>
      </c>
      <c r="T500" s="50">
        <v>-284.92469158141466</v>
      </c>
      <c r="U500" s="51">
        <f t="shared" si="42"/>
        <v>5.1520338940045816E-3</v>
      </c>
      <c r="V500" s="51">
        <f>SUM($U$5:U500)</f>
        <v>0.98627649645940407</v>
      </c>
      <c r="AB500" s="37"/>
    </row>
    <row r="501" spans="9:28" x14ac:dyDescent="0.3">
      <c r="I501">
        <v>497</v>
      </c>
      <c r="J501" s="23">
        <f>$C$5*Data!C499/Data!C498</f>
        <v>11056.607091466431</v>
      </c>
      <c r="K501" s="23">
        <f>$C$6*Data!F499/Data!F498</f>
        <v>9550.3547632511891</v>
      </c>
      <c r="L501" s="23">
        <f>$C$7*Data!I499/Data!I498</f>
        <v>6150.0280350337598</v>
      </c>
      <c r="M501" s="23">
        <f>$C$8*Data!L499/Data!L498</f>
        <v>111.89047498974361</v>
      </c>
      <c r="N501" s="23">
        <f t="shared" si="43"/>
        <v>9972.4162394678515</v>
      </c>
      <c r="O501" s="23">
        <f t="shared" si="44"/>
        <v>-27.583760532148517</v>
      </c>
      <c r="P501" s="23">
        <f t="shared" si="45"/>
        <v>27.583760532148517</v>
      </c>
      <c r="Q501" s="48">
        <f t="shared" si="41"/>
        <v>5.3628304362755867E-3</v>
      </c>
      <c r="S501">
        <v>341</v>
      </c>
      <c r="T501" s="50">
        <v>-307.93011510920951</v>
      </c>
      <c r="U501" s="51">
        <f t="shared" si="42"/>
        <v>2.4535485826105564E-3</v>
      </c>
      <c r="V501" s="51">
        <f>SUM($U$5:U501)</f>
        <v>0.98873004504201467</v>
      </c>
      <c r="AB501" s="37"/>
    </row>
    <row r="502" spans="9:28" x14ac:dyDescent="0.3">
      <c r="I502">
        <v>498</v>
      </c>
      <c r="J502" s="23">
        <f>$C$5*Data!C500/Data!C499</f>
        <v>10826.905387405783</v>
      </c>
      <c r="K502" s="23">
        <f>$C$6*Data!F500/Data!F499</f>
        <v>9616.0789086067252</v>
      </c>
      <c r="L502" s="23">
        <f>$C$7*Data!I500/Data!I499</f>
        <v>6217.1039413476492</v>
      </c>
      <c r="M502" s="23">
        <f>$C$8*Data!L500/Data!L499</f>
        <v>111.7090398879355</v>
      </c>
      <c r="N502" s="23">
        <f t="shared" si="43"/>
        <v>9917.1962357778048</v>
      </c>
      <c r="O502" s="23">
        <f t="shared" si="44"/>
        <v>-82.803764222195241</v>
      </c>
      <c r="P502" s="23">
        <f t="shared" si="45"/>
        <v>82.803764222195241</v>
      </c>
      <c r="Q502" s="48">
        <f t="shared" si="41"/>
        <v>5.389779332940289E-3</v>
      </c>
      <c r="S502">
        <v>377</v>
      </c>
      <c r="T502" s="50">
        <v>-316.48933902174576</v>
      </c>
      <c r="U502" s="51">
        <f t="shared" si="42"/>
        <v>2.9387575304876045E-3</v>
      </c>
      <c r="V502" s="51">
        <f>SUM($U$5:U502)</f>
        <v>0.99166880257250223</v>
      </c>
      <c r="AB502" s="37"/>
    </row>
    <row r="503" spans="9:28" x14ac:dyDescent="0.3">
      <c r="I503">
        <v>499</v>
      </c>
      <c r="J503" s="23">
        <f>$C$5*Data!C501/Data!C500</f>
        <v>11102.02078841207</v>
      </c>
      <c r="K503" s="23">
        <f>$C$6*Data!F501/Data!F500</f>
        <v>9716.0865040660883</v>
      </c>
      <c r="L503" s="23">
        <f>$C$7*Data!I501/Data!I500</f>
        <v>6300.8453669646506</v>
      </c>
      <c r="M503" s="23">
        <f>$C$8*Data!L501/Data!L500</f>
        <v>114.17733725561112</v>
      </c>
      <c r="N503" s="23">
        <f t="shared" si="43"/>
        <v>10105.552052156523</v>
      </c>
      <c r="O503" s="23">
        <f t="shared" si="44"/>
        <v>105.55205215652313</v>
      </c>
      <c r="P503" s="23">
        <f t="shared" si="45"/>
        <v>-105.55205215652313</v>
      </c>
      <c r="Q503" s="48">
        <f t="shared" si="41"/>
        <v>5.4168636511962697E-3</v>
      </c>
      <c r="S503">
        <v>379</v>
      </c>
      <c r="T503" s="50">
        <v>-333.02184034411766</v>
      </c>
      <c r="U503" s="51">
        <f t="shared" si="42"/>
        <v>2.9683669912250747E-3</v>
      </c>
      <c r="V503" s="51">
        <f>SUM($U$5:U503)</f>
        <v>0.99463716956372727</v>
      </c>
      <c r="AB503" s="37"/>
    </row>
    <row r="504" spans="9:28" x14ac:dyDescent="0.3">
      <c r="I504">
        <v>500</v>
      </c>
      <c r="J504" s="23">
        <f>$C$5*Data!C502/Data!C501</f>
        <v>11187.175023682003</v>
      </c>
      <c r="K504" s="23">
        <f>$C$6*Data!F502/Data!F501</f>
        <v>9639.7575718884909</v>
      </c>
      <c r="L504" s="23">
        <f>$C$7*Data!I502/Data!I501</f>
        <v>6264.2491572711424</v>
      </c>
      <c r="M504" s="23">
        <f>$C$8*Data!L502/Data!L501</f>
        <v>113.5528298971368</v>
      </c>
      <c r="N504" s="23">
        <f t="shared" si="43"/>
        <v>10095.629317915525</v>
      </c>
      <c r="O504" s="23">
        <f t="shared" si="44"/>
        <v>95.629317915525462</v>
      </c>
      <c r="P504" s="23">
        <f t="shared" si="45"/>
        <v>-95.629317915525462</v>
      </c>
      <c r="Q504" s="48">
        <f t="shared" si="41"/>
        <v>5.4440840715540397E-3</v>
      </c>
      <c r="S504">
        <v>497</v>
      </c>
      <c r="T504" s="50">
        <v>-555.7954114142467</v>
      </c>
      <c r="U504" s="51">
        <f t="shared" si="42"/>
        <v>5.3628304362755867E-3</v>
      </c>
      <c r="V504" s="51">
        <f>SUM($U$5:U504)</f>
        <v>1.0000000000000029</v>
      </c>
      <c r="AB504" s="37"/>
    </row>
    <row r="505" spans="9:28" x14ac:dyDescent="0.3">
      <c r="J505" s="23"/>
      <c r="K505" s="23"/>
      <c r="L505" s="23"/>
      <c r="M505" s="23"/>
      <c r="N505" s="23"/>
      <c r="O505" s="23"/>
      <c r="P505" s="23"/>
      <c r="Q505" s="23"/>
    </row>
  </sheetData>
  <sortState xmlns:xlrd2="http://schemas.microsoft.com/office/spreadsheetml/2017/richdata2" ref="S5:U504">
    <sortCondition descending="1" ref="T5:T504"/>
  </sortState>
  <pageMargins left="0.7" right="0.7" top="0.75" bottom="0.75" header="0.3" footer="0.3"/>
  <pageSetup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T502"/>
  <sheetViews>
    <sheetView zoomScale="88" zoomScaleNormal="90" workbookViewId="0">
      <selection activeCell="S3" sqref="S3"/>
    </sheetView>
  </sheetViews>
  <sheetFormatPr defaultColWidth="10.33203125" defaultRowHeight="14.4" x14ac:dyDescent="0.3"/>
  <cols>
    <col min="6" max="6" width="3.33203125" style="29" customWidth="1"/>
    <col min="7" max="7" width="10.88671875" customWidth="1"/>
    <col min="8" max="8" width="12.44140625" bestFit="1" customWidth="1"/>
    <col min="9" max="9" width="14.6640625" bestFit="1" customWidth="1"/>
    <col min="10" max="11" width="13.44140625" bestFit="1" customWidth="1"/>
    <col min="13" max="13" width="3.33203125" style="29" customWidth="1"/>
    <col min="14" max="14" width="11.109375" bestFit="1" customWidth="1"/>
    <col min="18" max="18" width="3.88671875" style="29" customWidth="1"/>
  </cols>
  <sheetData>
    <row r="1" spans="1:20" x14ac:dyDescent="0.3">
      <c r="C1" s="161" t="s">
        <v>65</v>
      </c>
      <c r="D1" s="161"/>
      <c r="S1" s="161" t="s">
        <v>85</v>
      </c>
      <c r="T1" s="161"/>
    </row>
    <row r="2" spans="1:20" s="54" customFormat="1" x14ac:dyDescent="0.3">
      <c r="A2" s="27" t="s">
        <v>2</v>
      </c>
      <c r="B2" s="27" t="s">
        <v>0</v>
      </c>
      <c r="C2" s="27" t="s">
        <v>7</v>
      </c>
      <c r="D2" s="27" t="s">
        <v>8</v>
      </c>
      <c r="E2" s="27" t="s">
        <v>10</v>
      </c>
      <c r="F2" s="63"/>
      <c r="H2"/>
      <c r="I2" s="64" t="s">
        <v>82</v>
      </c>
      <c r="J2"/>
      <c r="K2"/>
      <c r="M2" s="63"/>
      <c r="N2" s="27" t="s">
        <v>68</v>
      </c>
      <c r="O2" s="27" t="s">
        <v>69</v>
      </c>
      <c r="P2" s="27" t="s">
        <v>70</v>
      </c>
      <c r="Q2" s="27" t="s">
        <v>31</v>
      </c>
      <c r="R2" s="63"/>
      <c r="S2" s="27" t="s">
        <v>70</v>
      </c>
      <c r="T2" s="27" t="s">
        <v>31</v>
      </c>
    </row>
    <row r="3" spans="1:20" x14ac:dyDescent="0.3">
      <c r="A3">
        <v>1</v>
      </c>
      <c r="B3" s="59">
        <f>(Data!C3-Data!C2)/Data!C2</f>
        <v>-3.7536419718832745E-2</v>
      </c>
      <c r="C3" s="59">
        <f>(Data!F3-Data!F2)/Data!F2</f>
        <v>4.2235092371043685E-3</v>
      </c>
      <c r="D3" s="59">
        <f>(Data!I3-Data!I2)/Data!I2</f>
        <v>-3.2076172937578556E-2</v>
      </c>
      <c r="E3" s="59">
        <f>(Data!L3-Data!L2)/Data!L2</f>
        <v>1.0638413921644935E-2</v>
      </c>
      <c r="G3" s="56"/>
      <c r="H3" s="65" t="s">
        <v>0</v>
      </c>
      <c r="I3" s="65" t="s">
        <v>63</v>
      </c>
      <c r="J3" s="65" t="s">
        <v>62</v>
      </c>
      <c r="K3" s="65" t="s">
        <v>61</v>
      </c>
      <c r="N3" s="2">
        <v>0.995</v>
      </c>
      <c r="O3" s="31">
        <f>_xlfn.NORM.S.INV(N3)</f>
        <v>2.5758293035488999</v>
      </c>
      <c r="P3" s="1">
        <f>$H$22*O3</f>
        <v>158.6884593065717</v>
      </c>
      <c r="Q3" s="1">
        <f>$H$22*_xlfn.NORM.S.DIST(O3,FALSE)/(1-N3)</f>
        <v>178.16354055364201</v>
      </c>
      <c r="S3" s="1">
        <f t="shared" ref="S3:S22" si="0">$H$44*O3</f>
        <v>225.89814548359715</v>
      </c>
      <c r="T3" s="1">
        <f t="shared" ref="T3:T22" si="1">$H$44*_xlfn.NORM.S.DIST(O3,FALSE)/(1-N3)</f>
        <v>253.62155244135417</v>
      </c>
    </row>
    <row r="4" spans="1:20" x14ac:dyDescent="0.3">
      <c r="A4">
        <v>2</v>
      </c>
      <c r="B4" s="59">
        <f>(Data!C4-Data!C3)/Data!C3</f>
        <v>1.4936090275087154E-2</v>
      </c>
      <c r="C4" s="59">
        <f>(Data!F4-Data!F3)/Data!F3</f>
        <v>-3.099541081658817E-2</v>
      </c>
      <c r="D4" s="59">
        <f>(Data!I4-Data!I3)/Data!I3</f>
        <v>-1.5289003136883693E-2</v>
      </c>
      <c r="E4" s="59">
        <f>(Data!L4-Data!L3)/Data!L3</f>
        <v>-2.3980317430644289E-2</v>
      </c>
      <c r="G4" s="55" t="s">
        <v>0</v>
      </c>
      <c r="H4" s="55">
        <v>1</v>
      </c>
      <c r="I4" s="55"/>
      <c r="J4" s="55"/>
      <c r="K4" s="55"/>
      <c r="N4" s="164">
        <v>0.99</v>
      </c>
      <c r="O4" s="165">
        <f t="shared" ref="O4:O22" si="2">_xlfn.NORM.S.INV(N4)</f>
        <v>2.3263478740408408</v>
      </c>
      <c r="P4" s="163">
        <f t="shared" ref="P4:P22" si="3">$H$22*O4</f>
        <v>143.31872047345519</v>
      </c>
      <c r="Q4" s="163">
        <f t="shared" ref="Q4:Q22" si="4">$H$22*_xlfn.NORM.S.DIST(O4,FALSE)/(1-N4)</f>
        <v>164.1951730908292</v>
      </c>
      <c r="S4" s="163">
        <f t="shared" si="0"/>
        <v>204.01882600352917</v>
      </c>
      <c r="T4" s="163">
        <f t="shared" si="1"/>
        <v>233.73713035375405</v>
      </c>
    </row>
    <row r="5" spans="1:20" x14ac:dyDescent="0.3">
      <c r="A5">
        <v>3</v>
      </c>
      <c r="B5" s="59">
        <f>(Data!C5-Data!C4)/Data!C4</f>
        <v>1.3914584687517094E-2</v>
      </c>
      <c r="C5" s="59">
        <f>(Data!F5-Data!F4)/Data!F4</f>
        <v>-1.6195608808335558E-3</v>
      </c>
      <c r="D5" s="59">
        <f>(Data!I5-Data!I4)/Data!I4</f>
        <v>1.9134749793192372E-2</v>
      </c>
      <c r="E5" s="59">
        <f>(Data!L5-Data!L4)/Data!L4</f>
        <v>-2.0795425006496886E-3</v>
      </c>
      <c r="G5" s="55" t="s">
        <v>63</v>
      </c>
      <c r="H5" s="61">
        <f>CORREL(B3:B502,C3:C502)</f>
        <v>0.16276481505932247</v>
      </c>
      <c r="I5" s="55">
        <v>1</v>
      </c>
      <c r="J5" s="55"/>
      <c r="K5" s="55"/>
      <c r="N5" s="2">
        <v>0.98499999999999999</v>
      </c>
      <c r="O5" s="31">
        <f t="shared" si="2"/>
        <v>2.1700903775845601</v>
      </c>
      <c r="P5" s="1">
        <f t="shared" si="3"/>
        <v>133.69220472041764</v>
      </c>
      <c r="Q5" s="1">
        <f t="shared" si="4"/>
        <v>155.53826585879483</v>
      </c>
      <c r="S5" s="1">
        <f t="shared" si="0"/>
        <v>190.31517001252439</v>
      </c>
      <c r="T5" s="1">
        <f t="shared" si="1"/>
        <v>221.41374339867556</v>
      </c>
    </row>
    <row r="6" spans="1:20" x14ac:dyDescent="0.3">
      <c r="A6">
        <v>4</v>
      </c>
      <c r="B6" s="59">
        <f>(Data!C6-Data!C5)/Data!C5</f>
        <v>2.6129295933735278E-3</v>
      </c>
      <c r="C6" s="59">
        <f>(Data!F6-Data!F5)/Data!F5</f>
        <v>1.289556002307944E-2</v>
      </c>
      <c r="D6" s="59">
        <f>(Data!I6-Data!I5)/Data!I5</f>
        <v>-1.4328125851890696E-3</v>
      </c>
      <c r="E6" s="59">
        <f>(Data!L6-Data!L5)/Data!L5</f>
        <v>-1.2100550227544377E-2</v>
      </c>
      <c r="G6" s="55" t="s">
        <v>62</v>
      </c>
      <c r="H6" s="61">
        <f>CORREL(B3:B502,$D3:$D502)</f>
        <v>0.27434948959347227</v>
      </c>
      <c r="I6" s="61">
        <f>CORREL(C3:C502,$D3:$D502)</f>
        <v>0.15563254847853256</v>
      </c>
      <c r="J6" s="55">
        <v>1</v>
      </c>
      <c r="K6" s="55"/>
      <c r="N6" s="2">
        <v>0.98</v>
      </c>
      <c r="O6" s="31">
        <f t="shared" si="2"/>
        <v>2.0537489106318221</v>
      </c>
      <c r="P6" s="1">
        <f t="shared" si="3"/>
        <v>126.52478562212569</v>
      </c>
      <c r="Q6" s="1">
        <f t="shared" si="4"/>
        <v>149.14418775392534</v>
      </c>
      <c r="S6" s="1">
        <f t="shared" si="0"/>
        <v>180.11211750774268</v>
      </c>
      <c r="T6" s="1">
        <f t="shared" si="1"/>
        <v>212.31156676731248</v>
      </c>
    </row>
    <row r="7" spans="1:20" x14ac:dyDescent="0.3">
      <c r="A7">
        <v>5</v>
      </c>
      <c r="B7" s="59">
        <f>(Data!C7-Data!C6)/Data!C6</f>
        <v>1.340245848225834E-2</v>
      </c>
      <c r="C7" s="59">
        <f>(Data!F7-Data!F6)/Data!F6</f>
        <v>2.265686919089482E-2</v>
      </c>
      <c r="D7" s="59">
        <f>(Data!I7-Data!I6)/Data!I6</f>
        <v>1.2025177430492038E-2</v>
      </c>
      <c r="E7" s="59">
        <f>(Data!L7-Data!L6)/Data!L6</f>
        <v>-7.5096504644766573E-3</v>
      </c>
      <c r="G7" s="58" t="s">
        <v>61</v>
      </c>
      <c r="H7" s="62">
        <f>CORREL(B3:B502,$E3:$E502)</f>
        <v>-6.9643516572694256E-2</v>
      </c>
      <c r="I7" s="62">
        <f>CORREL(C3:C502,$E3:$E502)</f>
        <v>3.2735714127799694E-2</v>
      </c>
      <c r="J7" s="62">
        <f>CORREL(D3:D502,$E3:$E502)</f>
        <v>5.8517116503936796E-2</v>
      </c>
      <c r="K7" s="58">
        <v>1</v>
      </c>
      <c r="N7" s="2">
        <v>0.97499999999999998</v>
      </c>
      <c r="O7" s="31">
        <f t="shared" si="2"/>
        <v>1.9599639845400536</v>
      </c>
      <c r="P7" s="1">
        <f t="shared" si="3"/>
        <v>120.74700158683319</v>
      </c>
      <c r="Q7" s="1">
        <f t="shared" si="4"/>
        <v>144.0244206966338</v>
      </c>
      <c r="S7" s="1">
        <f t="shared" si="0"/>
        <v>171.88725538304465</v>
      </c>
      <c r="T7" s="1">
        <f t="shared" si="1"/>
        <v>205.02341305655128</v>
      </c>
    </row>
    <row r="8" spans="1:20" x14ac:dyDescent="0.3">
      <c r="A8">
        <v>6</v>
      </c>
      <c r="B8" s="59">
        <f>(Data!C8-Data!C7)/Data!C7</f>
        <v>1.2069112628291455E-2</v>
      </c>
      <c r="C8" s="59">
        <f>(Data!F8-Data!F7)/Data!F7</f>
        <v>1.9656506399536307E-2</v>
      </c>
      <c r="D8" s="59">
        <f>(Data!I8-Data!I7)/Data!I7</f>
        <v>6.4117722719536493E-3</v>
      </c>
      <c r="E8" s="59">
        <f>(Data!L8-Data!L7)/Data!L7</f>
        <v>1.8453349584845295E-2</v>
      </c>
      <c r="N8" s="2">
        <v>0.97</v>
      </c>
      <c r="O8" s="31">
        <f t="shared" si="2"/>
        <v>1.8807936081512504</v>
      </c>
      <c r="P8" s="1">
        <f t="shared" si="3"/>
        <v>115.86957238973886</v>
      </c>
      <c r="Q8" s="1">
        <f t="shared" si="4"/>
        <v>139.72810521788557</v>
      </c>
      <c r="S8" s="1">
        <f t="shared" si="0"/>
        <v>164.94407744076858</v>
      </c>
      <c r="T8" s="1">
        <f t="shared" si="1"/>
        <v>198.90746925507594</v>
      </c>
    </row>
    <row r="9" spans="1:20" x14ac:dyDescent="0.3">
      <c r="A9">
        <v>7</v>
      </c>
      <c r="B9" s="59">
        <f>(Data!C9-Data!C8)/Data!C8</f>
        <v>3.734695439000948E-4</v>
      </c>
      <c r="C9" s="59">
        <f>(Data!F9-Data!F8)/Data!F8</f>
        <v>-7.7710265107876365E-3</v>
      </c>
      <c r="D9" s="59">
        <f>(Data!I9-Data!I8)/Data!I8</f>
        <v>8.8126609827739837E-3</v>
      </c>
      <c r="E9" s="59">
        <f>(Data!L9-Data!L8)/Data!L8</f>
        <v>1.3989920454282842E-2</v>
      </c>
      <c r="I9" s="64" t="s">
        <v>73</v>
      </c>
      <c r="N9" s="2">
        <v>0.96499999999999997</v>
      </c>
      <c r="O9" s="31">
        <f t="shared" si="2"/>
        <v>1.8119106729525971</v>
      </c>
      <c r="P9" s="1">
        <f t="shared" si="3"/>
        <v>111.62591895970434</v>
      </c>
      <c r="Q9" s="1">
        <f t="shared" si="4"/>
        <v>136.01020282778944</v>
      </c>
      <c r="S9" s="1">
        <f t="shared" si="0"/>
        <v>158.90309976596546</v>
      </c>
      <c r="T9" s="1">
        <f t="shared" si="1"/>
        <v>193.61491516083521</v>
      </c>
    </row>
    <row r="10" spans="1:20" x14ac:dyDescent="0.3">
      <c r="A10">
        <v>8</v>
      </c>
      <c r="B10" s="59">
        <f>(Data!C10-Data!C9)/Data!C9</f>
        <v>-5.8413894815938384E-3</v>
      </c>
      <c r="C10" s="59">
        <f>(Data!F10-Data!F9)/Data!F9</f>
        <v>1.8082089811514952E-2</v>
      </c>
      <c r="D10" s="59">
        <f>(Data!I10-Data!I9)/Data!I9</f>
        <v>-5.3612263027260753E-3</v>
      </c>
      <c r="E10" s="59">
        <f>(Data!L10-Data!L9)/Data!L9</f>
        <v>2.1956031987636057E-2</v>
      </c>
      <c r="G10" s="9" t="s">
        <v>12</v>
      </c>
      <c r="H10" s="74">
        <v>4000</v>
      </c>
      <c r="I10" s="74">
        <v>3000</v>
      </c>
      <c r="J10" s="74">
        <v>1000</v>
      </c>
      <c r="K10" s="74">
        <v>2000</v>
      </c>
      <c r="N10" s="2">
        <v>0.96</v>
      </c>
      <c r="O10" s="31">
        <f t="shared" si="2"/>
        <v>1.7506860712521695</v>
      </c>
      <c r="P10" s="1">
        <f t="shared" si="3"/>
        <v>107.85407052933147</v>
      </c>
      <c r="Q10" s="1">
        <f t="shared" si="4"/>
        <v>132.72214325280535</v>
      </c>
      <c r="S10" s="1">
        <f t="shared" si="0"/>
        <v>153.53375174160561</v>
      </c>
      <c r="T10" s="1">
        <f t="shared" si="1"/>
        <v>188.93425619247552</v>
      </c>
    </row>
    <row r="11" spans="1:20" x14ac:dyDescent="0.3">
      <c r="A11">
        <v>9</v>
      </c>
      <c r="B11" s="59">
        <f>(Data!C11-Data!C10)/Data!C10</f>
        <v>-5.4965032600100784E-3</v>
      </c>
      <c r="C11" s="59">
        <f>(Data!F11-Data!F10)/Data!F10</f>
        <v>-1.4832417895638451E-2</v>
      </c>
      <c r="D11" s="59">
        <f>(Data!I11-Data!I10)/Data!I10</f>
        <v>-9.8825773312812872E-4</v>
      </c>
      <c r="E11" s="59">
        <f>(Data!L11-Data!L10)/Data!L10</f>
        <v>-1.1914306341144574E-2</v>
      </c>
      <c r="G11" s="56"/>
      <c r="H11" s="65" t="s">
        <v>0</v>
      </c>
      <c r="I11" s="65" t="s">
        <v>63</v>
      </c>
      <c r="J11" s="65" t="s">
        <v>62</v>
      </c>
      <c r="K11" s="65" t="s">
        <v>61</v>
      </c>
      <c r="L11" s="95" t="s">
        <v>12</v>
      </c>
      <c r="N11" s="2">
        <v>0.95499999999999996</v>
      </c>
      <c r="O11" s="31">
        <f t="shared" si="2"/>
        <v>1.6953977102721358</v>
      </c>
      <c r="P11" s="1">
        <f t="shared" si="3"/>
        <v>104.44793456783003</v>
      </c>
      <c r="Q11" s="1">
        <f t="shared" si="4"/>
        <v>129.76679057666755</v>
      </c>
      <c r="S11" s="1">
        <f t="shared" si="0"/>
        <v>148.68500722464185</v>
      </c>
      <c r="T11" s="1">
        <f t="shared" si="1"/>
        <v>184.72721623691228</v>
      </c>
    </row>
    <row r="12" spans="1:20" x14ac:dyDescent="0.3">
      <c r="A12">
        <v>10</v>
      </c>
      <c r="B12" s="59">
        <f>(Data!C12-Data!C11)/Data!C11</f>
        <v>9.7355114853167656E-4</v>
      </c>
      <c r="C12" s="59">
        <f>(Data!F12-Data!F11)/Data!F11</f>
        <v>9.7362705110212201E-3</v>
      </c>
      <c r="D12" s="59">
        <f>(Data!I12-Data!I11)/Data!I11</f>
        <v>1.8293326309438284E-3</v>
      </c>
      <c r="E12" s="59">
        <f>(Data!L12-Data!L11)/Data!L11</f>
        <v>1.0469758268816657E-3</v>
      </c>
      <c r="G12" s="55" t="s">
        <v>0</v>
      </c>
      <c r="H12" s="124">
        <f>VARP('Parm VaR Eq Weights'!$B$3:$B$502)</f>
        <v>8.535743138984449E-5</v>
      </c>
      <c r="I12" s="112">
        <f>H13</f>
        <v>1.6640598369876017E-5</v>
      </c>
      <c r="J12" s="112">
        <f>H14</f>
        <v>2.5067806054560056E-5</v>
      </c>
      <c r="K12" s="112">
        <f>H15</f>
        <v>-7.6880209652386257E-6</v>
      </c>
      <c r="L12" s="75">
        <f>H10</f>
        <v>4000</v>
      </c>
      <c r="N12" s="2">
        <v>0.95</v>
      </c>
      <c r="O12" s="31">
        <f t="shared" si="2"/>
        <v>1.6448536269514715</v>
      </c>
      <c r="P12" s="1">
        <f t="shared" si="3"/>
        <v>101.33407811073931</v>
      </c>
      <c r="Q12" s="1">
        <f t="shared" si="4"/>
        <v>127.07702213198026</v>
      </c>
      <c r="S12" s="1">
        <f t="shared" si="0"/>
        <v>144.25233201919431</v>
      </c>
      <c r="T12" s="1">
        <f t="shared" si="1"/>
        <v>180.89824400988155</v>
      </c>
    </row>
    <row r="13" spans="1:20" x14ac:dyDescent="0.3">
      <c r="A13">
        <v>11</v>
      </c>
      <c r="B13" s="59">
        <f>(Data!C13-Data!C12)/Data!C12</f>
        <v>1.6028376390592538E-2</v>
      </c>
      <c r="C13" s="59">
        <f>(Data!F13-Data!F12)/Data!F12</f>
        <v>7.4016832216452404E-3</v>
      </c>
      <c r="D13" s="59">
        <f>(Data!I13-Data!I12)/Data!I12</f>
        <v>6.4653000012255494E-3</v>
      </c>
      <c r="E13" s="59">
        <f>(Data!L13-Data!L12)/Data!L12</f>
        <v>-1.5764410282744997E-2</v>
      </c>
      <c r="G13" s="55" t="s">
        <v>63</v>
      </c>
      <c r="H13" s="112">
        <f>H5*SQRT(H12)*SQRT(I13)</f>
        <v>1.6640598369876017E-5</v>
      </c>
      <c r="I13" s="124">
        <f>VARP('Parm VaR Eq Weights'!$C$3:$C$502)</f>
        <v>1.2245470651486541E-4</v>
      </c>
      <c r="J13" s="112">
        <f>I14</f>
        <v>1.7032549923183924E-5</v>
      </c>
      <c r="K13" s="112">
        <f>I15</f>
        <v>4.3283538546354929E-6</v>
      </c>
      <c r="L13" s="75">
        <f>I10</f>
        <v>3000</v>
      </c>
      <c r="N13" s="2">
        <v>0.94499999999999995</v>
      </c>
      <c r="O13" s="31">
        <f t="shared" si="2"/>
        <v>1.5981931399228169</v>
      </c>
      <c r="P13" s="1">
        <f t="shared" si="3"/>
        <v>98.459477380454189</v>
      </c>
      <c r="Q13" s="1">
        <f t="shared" si="4"/>
        <v>124.60444340866259</v>
      </c>
      <c r="S13" s="1">
        <f t="shared" si="0"/>
        <v>140.1602450658344</v>
      </c>
      <c r="T13" s="1">
        <f t="shared" si="1"/>
        <v>177.37844836374327</v>
      </c>
    </row>
    <row r="14" spans="1:20" x14ac:dyDescent="0.3">
      <c r="A14">
        <v>12</v>
      </c>
      <c r="B14" s="59">
        <f>(Data!C14-Data!C13)/Data!C13</f>
        <v>1.1757015405636876E-2</v>
      </c>
      <c r="C14" s="59">
        <f>(Data!F14-Data!F13)/Data!F13</f>
        <v>-7.2999897092027701E-3</v>
      </c>
      <c r="D14" s="59">
        <f>(Data!I14-Data!I13)/Data!I13</f>
        <v>1.521519945813559E-3</v>
      </c>
      <c r="E14" s="59">
        <f>(Data!L14-Data!L13)/Data!L13</f>
        <v>6.5874988950519967E-3</v>
      </c>
      <c r="G14" s="55" t="s">
        <v>62</v>
      </c>
      <c r="H14" s="112">
        <f>H6*SQRT(H12)*SQRT(J14)</f>
        <v>2.5067806054560056E-5</v>
      </c>
      <c r="I14" s="112">
        <f>I6*SQRT(I13)*SQRT(J14)</f>
        <v>1.7032549923183924E-5</v>
      </c>
      <c r="J14" s="124">
        <f>COVAR(D3:D502,$D3:$D502)</f>
        <v>9.7809941956759742E-5</v>
      </c>
      <c r="K14" s="112">
        <f>J15</f>
        <v>6.9149272625299187E-6</v>
      </c>
      <c r="L14" s="75">
        <f>J10</f>
        <v>1000</v>
      </c>
      <c r="N14" s="2">
        <v>0.94</v>
      </c>
      <c r="O14" s="31">
        <f t="shared" si="2"/>
        <v>1.5547735945968528</v>
      </c>
      <c r="P14" s="1">
        <f t="shared" si="3"/>
        <v>95.784540519507701</v>
      </c>
      <c r="Q14" s="1">
        <f t="shared" si="4"/>
        <v>122.31296918891961</v>
      </c>
      <c r="S14" s="1">
        <f t="shared" si="0"/>
        <v>136.35238607713413</v>
      </c>
      <c r="T14" s="1">
        <f t="shared" si="1"/>
        <v>174.1164608258633</v>
      </c>
    </row>
    <row r="15" spans="1:20" x14ac:dyDescent="0.3">
      <c r="A15">
        <v>13</v>
      </c>
      <c r="B15" s="59">
        <f>(Data!C15-Data!C14)/Data!C14</f>
        <v>-1.2706888672731611E-2</v>
      </c>
      <c r="C15" s="59">
        <f>(Data!F15-Data!F14)/Data!F14</f>
        <v>-1.3557966695245666E-2</v>
      </c>
      <c r="D15" s="59">
        <f>(Data!I15-Data!I14)/Data!I14</f>
        <v>-8.5404893662086399E-3</v>
      </c>
      <c r="E15" s="59">
        <f>(Data!L15-Data!L14)/Data!L14</f>
        <v>1.3741834094092758E-2</v>
      </c>
      <c r="G15" s="58" t="s">
        <v>61</v>
      </c>
      <c r="H15" s="113">
        <f>H7*SQRT(H12)*SQRT(K15)</f>
        <v>-7.6880209652386257E-6</v>
      </c>
      <c r="I15" s="113">
        <f>I7*SQRT(I13)*SQRT(K15)</f>
        <v>4.3283538546354929E-6</v>
      </c>
      <c r="J15" s="113">
        <f>J7*SQRT(J14)*SQRT(K15)</f>
        <v>6.9149272625299187E-6</v>
      </c>
      <c r="K15" s="125">
        <f>COVAR(E3:E502,$E3:$E502)</f>
        <v>1.4276652734989003E-4</v>
      </c>
      <c r="L15" s="76">
        <f>K10</f>
        <v>2000</v>
      </c>
      <c r="N15" s="2">
        <v>0.93500000000000005</v>
      </c>
      <c r="O15" s="31">
        <f t="shared" si="2"/>
        <v>1.5141018876192844</v>
      </c>
      <c r="P15" s="1">
        <f t="shared" si="3"/>
        <v>93.278889035247332</v>
      </c>
      <c r="Q15" s="1">
        <f t="shared" si="4"/>
        <v>120.17494734678738</v>
      </c>
      <c r="S15" s="1">
        <f t="shared" si="0"/>
        <v>132.78551028795567</v>
      </c>
      <c r="T15" s="1">
        <f t="shared" si="1"/>
        <v>171.07291770211268</v>
      </c>
    </row>
    <row r="16" spans="1:20" x14ac:dyDescent="0.3">
      <c r="A16">
        <v>14</v>
      </c>
      <c r="B16" s="59">
        <f>(Data!C16-Data!C15)/Data!C15</f>
        <v>-1.1095788577777117E-2</v>
      </c>
      <c r="C16" s="59">
        <f>(Data!F16-Data!F15)/Data!F15</f>
        <v>3.234415686905434E-3</v>
      </c>
      <c r="D16" s="59">
        <f>(Data!I16-Data!I15)/Data!I15</f>
        <v>-5.5268452916774173E-3</v>
      </c>
      <c r="E16" s="59">
        <f>(Data!L16-Data!L15)/Data!L15</f>
        <v>2.21946292351872E-3</v>
      </c>
      <c r="N16" s="2">
        <v>0.93</v>
      </c>
      <c r="O16" s="31">
        <f t="shared" si="2"/>
        <v>1.4757910281791713</v>
      </c>
      <c r="P16" s="1">
        <f t="shared" si="3"/>
        <v>90.918681683430165</v>
      </c>
      <c r="Q16" s="1">
        <f t="shared" si="4"/>
        <v>118.16870267263997</v>
      </c>
      <c r="S16" s="1">
        <f t="shared" si="0"/>
        <v>129.42567891734404</v>
      </c>
      <c r="T16" s="1">
        <f t="shared" si="1"/>
        <v>168.21696363174962</v>
      </c>
    </row>
    <row r="17" spans="1:20" x14ac:dyDescent="0.3">
      <c r="A17">
        <v>15</v>
      </c>
      <c r="B17" s="59">
        <f>(Data!C17-Data!C16)/Data!C16</f>
        <v>-1.3324399450480228E-2</v>
      </c>
      <c r="C17" s="59">
        <f>(Data!F17-Data!F16)/Data!F16</f>
        <v>3.2239879696420292E-3</v>
      </c>
      <c r="D17" s="59">
        <f>(Data!I17-Data!I16)/Data!I16</f>
        <v>-1.5545034738165348E-2</v>
      </c>
      <c r="E17" s="59">
        <f>(Data!L17-Data!L16)/Data!L16</f>
        <v>-1.1161100594208023E-2</v>
      </c>
      <c r="I17" s="64" t="s">
        <v>67</v>
      </c>
      <c r="N17" s="2">
        <v>0.92500000000000004</v>
      </c>
      <c r="O17" s="31">
        <f t="shared" si="2"/>
        <v>1.4395314709384563</v>
      </c>
      <c r="P17" s="1">
        <f t="shared" si="3"/>
        <v>88.684848383319846</v>
      </c>
      <c r="Q17" s="1">
        <f t="shared" si="4"/>
        <v>116.27691762617023</v>
      </c>
      <c r="S17" s="1">
        <f t="shared" si="0"/>
        <v>126.24574508964491</v>
      </c>
      <c r="T17" s="1">
        <f t="shared" si="1"/>
        <v>165.52394653700611</v>
      </c>
    </row>
    <row r="18" spans="1:20" x14ac:dyDescent="0.3">
      <c r="A18">
        <v>16</v>
      </c>
      <c r="B18" s="59">
        <f>(Data!C18-Data!C17)/Data!C17</f>
        <v>5.0716026977129253E-3</v>
      </c>
      <c r="C18" s="59">
        <f>(Data!F18-Data!F17)/Data!F17</f>
        <v>-1.484335363231523E-2</v>
      </c>
      <c r="D18" s="59">
        <f>(Data!I18-Data!I17)/Data!I17</f>
        <v>-2.9472768255505089E-2</v>
      </c>
      <c r="E18" s="59">
        <f>(Data!L18-Data!L17)/Data!L17</f>
        <v>-1.6670904284774059E-2</v>
      </c>
      <c r="H18" s="157" t="s">
        <v>0</v>
      </c>
      <c r="I18" s="157" t="s">
        <v>63</v>
      </c>
      <c r="J18" s="157" t="s">
        <v>62</v>
      </c>
      <c r="K18" s="157" t="s">
        <v>61</v>
      </c>
      <c r="N18" s="2">
        <v>0.92</v>
      </c>
      <c r="O18" s="31">
        <f t="shared" si="2"/>
        <v>1.4050715603096329</v>
      </c>
      <c r="P18" s="1">
        <f t="shared" si="3"/>
        <v>86.56188545328564</v>
      </c>
      <c r="Q18" s="1">
        <f t="shared" si="4"/>
        <v>114.48552881532078</v>
      </c>
      <c r="S18" s="1">
        <f t="shared" si="0"/>
        <v>123.22363881348113</v>
      </c>
      <c r="T18" s="1">
        <f t="shared" si="1"/>
        <v>162.97384672521594</v>
      </c>
    </row>
    <row r="19" spans="1:20" x14ac:dyDescent="0.3">
      <c r="A19">
        <v>17</v>
      </c>
      <c r="B19" s="59">
        <f>(Data!C19-Data!C18)/Data!C18</f>
        <v>1.1032026381792881E-2</v>
      </c>
      <c r="C19" s="59">
        <f>(Data!F19-Data!F18)/Data!F18</f>
        <v>-2.2792020252802241E-2</v>
      </c>
      <c r="D19" s="59">
        <f>(Data!I19-Data!I18)/Data!I18</f>
        <v>2.1495836861802925E-2</v>
      </c>
      <c r="E19" s="59">
        <f>(Data!L19-Data!L18)/Data!L18</f>
        <v>-2.7065066285995372E-2</v>
      </c>
      <c r="G19" s="9"/>
      <c r="H19" s="60">
        <f>SQRT(H12)</f>
        <v>9.2389085605305392E-3</v>
      </c>
      <c r="I19" s="60">
        <f>SQRT(I13)</f>
        <v>1.1065925470328516E-2</v>
      </c>
      <c r="J19" s="60">
        <f>SQRT(J14)</f>
        <v>9.8898908971110366E-3</v>
      </c>
      <c r="K19" s="60">
        <f>SQRT(K15)</f>
        <v>1.1948494773396774E-2</v>
      </c>
      <c r="N19" s="2">
        <v>0.91500000000000004</v>
      </c>
      <c r="O19" s="31">
        <f t="shared" si="2"/>
        <v>1.3722038089987258</v>
      </c>
      <c r="P19" s="1">
        <f t="shared" si="3"/>
        <v>84.537010276497597</v>
      </c>
      <c r="Q19" s="1">
        <f t="shared" si="4"/>
        <v>112.78295340844298</v>
      </c>
      <c r="S19" s="1">
        <f t="shared" si="0"/>
        <v>120.34116362107596</v>
      </c>
      <c r="T19" s="1">
        <f t="shared" si="1"/>
        <v>160.55017566154618</v>
      </c>
    </row>
    <row r="20" spans="1:20" x14ac:dyDescent="0.3">
      <c r="A20">
        <v>18</v>
      </c>
      <c r="B20" s="59">
        <f>(Data!C20-Data!C19)/Data!C19</f>
        <v>2.6388586869583708E-3</v>
      </c>
      <c r="C20" s="59">
        <f>(Data!F20-Data!F19)/Data!F19</f>
        <v>2.0890439793614192E-2</v>
      </c>
      <c r="D20" s="59">
        <f>(Data!I20-Data!I19)/Data!I19</f>
        <v>-3.7220420364853342E-4</v>
      </c>
      <c r="E20" s="59">
        <f>(Data!L20-Data!L19)/Data!L19</f>
        <v>-6.7576403085111755E-3</v>
      </c>
      <c r="N20" s="2">
        <v>0.91</v>
      </c>
      <c r="O20" s="31">
        <f t="shared" si="2"/>
        <v>1.3407550336902161</v>
      </c>
      <c r="P20" s="1">
        <f t="shared" si="3"/>
        <v>82.599553592582197</v>
      </c>
      <c r="Q20" s="1">
        <f t="shared" si="4"/>
        <v>111.15953348430075</v>
      </c>
      <c r="S20" s="1">
        <f t="shared" si="0"/>
        <v>117.58313147580348</v>
      </c>
      <c r="T20" s="1">
        <f t="shared" si="1"/>
        <v>158.23918498328666</v>
      </c>
    </row>
    <row r="21" spans="1:20" x14ac:dyDescent="0.3">
      <c r="A21">
        <v>19</v>
      </c>
      <c r="B21" s="59">
        <f>(Data!C21-Data!C20)/Data!C20</f>
        <v>-4.8387458886950174E-4</v>
      </c>
      <c r="C21" s="59">
        <f>(Data!F21-Data!F20)/Data!F20</f>
        <v>-1.0285251849962805E-2</v>
      </c>
      <c r="D21" s="59">
        <f>(Data!I21-Data!I20)/Data!I20</f>
        <v>1.5125966803735954E-2</v>
      </c>
      <c r="E21" s="59">
        <f>(Data!L21-Data!L20)/Data!L20</f>
        <v>2.8549048929243381E-2</v>
      </c>
      <c r="G21" s="9" t="s">
        <v>71</v>
      </c>
      <c r="H21" s="1">
        <f>MMULT(MMULT(H10:K10,H12:K15),L12:L15)</f>
        <v>3795.3910409421565</v>
      </c>
      <c r="N21" s="2">
        <v>0.90500000000000003</v>
      </c>
      <c r="O21" s="31">
        <f t="shared" si="2"/>
        <v>1.3105791121681303</v>
      </c>
      <c r="P21" s="1">
        <f t="shared" si="3"/>
        <v>80.740513287427561</v>
      </c>
      <c r="Q21" s="1">
        <f t="shared" si="4"/>
        <v>109.60712837947706</v>
      </c>
      <c r="S21" s="1">
        <f t="shared" si="0"/>
        <v>114.93672757756926</v>
      </c>
      <c r="T21" s="1">
        <f t="shared" si="1"/>
        <v>156.02928619322122</v>
      </c>
    </row>
    <row r="22" spans="1:20" x14ac:dyDescent="0.3">
      <c r="A22">
        <v>20</v>
      </c>
      <c r="B22" s="59">
        <f>(Data!C22-Data!C21)/Data!C21</f>
        <v>4.4630782533772954E-3</v>
      </c>
      <c r="C22" s="59">
        <f>(Data!F22-Data!F21)/Data!F21</f>
        <v>1.5153850464948196E-2</v>
      </c>
      <c r="D22" s="59">
        <f>(Data!I22-Data!I21)/Data!I21</f>
        <v>1.675665536175646E-2</v>
      </c>
      <c r="E22" s="59">
        <f>(Data!L22-Data!L21)/Data!L21</f>
        <v>-1.2214979210201125E-2</v>
      </c>
      <c r="G22" s="9" t="s">
        <v>72</v>
      </c>
      <c r="H22" s="1">
        <f>SQRT(H21)</f>
        <v>61.606745092904852</v>
      </c>
      <c r="N22" s="2">
        <v>0.9</v>
      </c>
      <c r="O22" s="31">
        <f t="shared" si="2"/>
        <v>1.2815515655446006</v>
      </c>
      <c r="P22" s="1">
        <f t="shared" si="3"/>
        <v>78.952220621919352</v>
      </c>
      <c r="Q22" s="1">
        <f t="shared" si="4"/>
        <v>108.11880999594719</v>
      </c>
      <c r="S22" s="1">
        <f t="shared" si="0"/>
        <v>112.39103522863931</v>
      </c>
      <c r="T22" s="1">
        <f t="shared" si="1"/>
        <v>153.91061692012042</v>
      </c>
    </row>
    <row r="23" spans="1:20" x14ac:dyDescent="0.3">
      <c r="A23">
        <v>21</v>
      </c>
      <c r="B23" s="59">
        <f>(Data!C23-Data!C22)/Data!C22</f>
        <v>1.7378831277445942E-2</v>
      </c>
      <c r="C23" s="59">
        <f>(Data!F23-Data!F22)/Data!F22</f>
        <v>1.1146526261958114E-2</v>
      </c>
      <c r="D23" s="59">
        <f>(Data!I23-Data!I22)/Data!I22</f>
        <v>-4.8120159107499904E-3</v>
      </c>
      <c r="E23" s="59">
        <f>(Data!L23-Data!L22)/Data!L22</f>
        <v>6.9816392905561854E-3</v>
      </c>
      <c r="G23" s="9" t="s">
        <v>87</v>
      </c>
      <c r="H23" s="127">
        <f>MDETERM(H12:K15)</f>
        <v>1.27962145019452E-16</v>
      </c>
      <c r="N23" s="31"/>
    </row>
    <row r="24" spans="1:20" x14ac:dyDescent="0.3">
      <c r="A24">
        <v>22</v>
      </c>
      <c r="B24" s="59">
        <f>(Data!C24-Data!C23)/Data!C23</f>
        <v>-1.2739848320225554E-3</v>
      </c>
      <c r="C24" s="59">
        <f>(Data!F24-Data!F23)/Data!F23</f>
        <v>1.9296524378298419E-2</v>
      </c>
      <c r="D24" s="59">
        <f>(Data!I24-Data!I23)/Data!I23</f>
        <v>-1.8154082422218063E-3</v>
      </c>
      <c r="E24" s="59">
        <f>(Data!L24-Data!L23)/Data!L23</f>
        <v>2.2368016182506612E-3</v>
      </c>
      <c r="N24" s="31"/>
    </row>
    <row r="25" spans="1:20" x14ac:dyDescent="0.3">
      <c r="A25">
        <v>23</v>
      </c>
      <c r="B25" s="59">
        <f>(Data!C25-Data!C24)/Data!C24</f>
        <v>-6.3635765724746824E-3</v>
      </c>
      <c r="C25" s="59">
        <f>(Data!F25-Data!F24)/Data!F24</f>
        <v>2.2532970258982925E-4</v>
      </c>
      <c r="D25" s="59">
        <f>(Data!I25-Data!I24)/Data!I24</f>
        <v>-1.6212336402068078E-2</v>
      </c>
      <c r="E25" s="59">
        <f>(Data!L25-Data!L24)/Data!L24</f>
        <v>7.8937393016707963E-3</v>
      </c>
      <c r="N25" s="31"/>
    </row>
    <row r="26" spans="1:20" x14ac:dyDescent="0.3">
      <c r="A26">
        <v>24</v>
      </c>
      <c r="B26" s="59">
        <f>(Data!C26-Data!C25)/Data!C25</f>
        <v>-5.7245222641414632E-3</v>
      </c>
      <c r="C26" s="59">
        <f>(Data!F26-Data!F25)/Data!F25</f>
        <v>-5.2668297534889282E-3</v>
      </c>
      <c r="D26" s="59">
        <f>(Data!I26-Data!I25)/Data!I25</f>
        <v>2.9136366570618371E-3</v>
      </c>
      <c r="E26" s="59">
        <f>(Data!L26-Data!L25)/Data!L25</f>
        <v>6.345037964968752E-3</v>
      </c>
      <c r="G26" s="52" t="s">
        <v>86</v>
      </c>
      <c r="N26" s="31"/>
    </row>
    <row r="27" spans="1:20" x14ac:dyDescent="0.3">
      <c r="A27">
        <v>25</v>
      </c>
      <c r="B27" s="59">
        <f>(Data!C27-Data!C26)/Data!C26</f>
        <v>-7.8193040707287163E-4</v>
      </c>
      <c r="C27" s="59">
        <f>(Data!F27-Data!F26)/Data!F26</f>
        <v>3.3748945455949779E-3</v>
      </c>
      <c r="D27" s="59">
        <f>(Data!I27-Data!I26)/Data!I26</f>
        <v>6.9275232642337188E-3</v>
      </c>
      <c r="E27" s="59">
        <f>(Data!L27-Data!L26)/Data!L26</f>
        <v>-7.8433484117939028E-3</v>
      </c>
      <c r="G27" s="109"/>
      <c r="I27" s="108" t="s">
        <v>82</v>
      </c>
      <c r="N27" s="31"/>
    </row>
    <row r="28" spans="1:20" x14ac:dyDescent="0.3">
      <c r="A28">
        <v>26</v>
      </c>
      <c r="B28" s="59">
        <f>(Data!C28-Data!C27)/Data!C27</f>
        <v>1.7034472986976878E-3</v>
      </c>
      <c r="C28" s="59">
        <f>(Data!F28-Data!F27)/Data!F27</f>
        <v>-1.2405688604729219E-3</v>
      </c>
      <c r="D28" s="59">
        <f>(Data!I28-Data!I27)/Data!I27</f>
        <v>1.1179744366080241E-3</v>
      </c>
      <c r="E28" s="59">
        <f>(Data!L28-Data!L27)/Data!L27</f>
        <v>3.4413914357122855E-3</v>
      </c>
      <c r="G28" s="56"/>
      <c r="H28" s="65" t="s">
        <v>0</v>
      </c>
      <c r="I28" s="65" t="s">
        <v>63</v>
      </c>
      <c r="J28" s="65" t="s">
        <v>62</v>
      </c>
      <c r="K28" s="65" t="s">
        <v>61</v>
      </c>
      <c r="N28" s="31"/>
    </row>
    <row r="29" spans="1:20" x14ac:dyDescent="0.3">
      <c r="A29">
        <v>27</v>
      </c>
      <c r="B29" s="59">
        <f>(Data!C29-Data!C28)/Data!C28</f>
        <v>-1.4204195427326925E-2</v>
      </c>
      <c r="C29" s="59">
        <f>(Data!F29-Data!F28)/Data!F28</f>
        <v>3.7423255551684639E-4</v>
      </c>
      <c r="D29" s="59">
        <f>(Data!I29-Data!I28)/Data!I28</f>
        <v>-1.3043867728813717E-2</v>
      </c>
      <c r="E29" s="59">
        <f>(Data!L29-Data!L28)/Data!L28</f>
        <v>-7.3665831904031909E-3</v>
      </c>
      <c r="G29" s="55" t="s">
        <v>0</v>
      </c>
      <c r="H29" s="55">
        <v>1</v>
      </c>
      <c r="I29" s="55"/>
      <c r="J29" s="55"/>
      <c r="K29" s="55"/>
      <c r="N29" s="31"/>
    </row>
    <row r="30" spans="1:20" x14ac:dyDescent="0.3">
      <c r="A30">
        <v>28</v>
      </c>
      <c r="B30" s="59">
        <f>(Data!C30-Data!C29)/Data!C29</f>
        <v>1.4818052561744752E-3</v>
      </c>
      <c r="C30" s="59">
        <f>(Data!F30-Data!F29)/Data!F29</f>
        <v>1.1477501341817956E-3</v>
      </c>
      <c r="D30" s="59">
        <f>(Data!I30-Data!I29)/Data!I29</f>
        <v>3.372794193833246E-3</v>
      </c>
      <c r="E30" s="59">
        <f>(Data!L30-Data!L29)/Data!L29</f>
        <v>-5.5567088952874696E-3</v>
      </c>
      <c r="G30" s="55" t="s">
        <v>63</v>
      </c>
      <c r="H30" s="61">
        <v>0.8</v>
      </c>
      <c r="I30" s="55">
        <v>1</v>
      </c>
      <c r="J30" s="55"/>
      <c r="K30" s="55"/>
      <c r="N30" s="31"/>
    </row>
    <row r="31" spans="1:20" x14ac:dyDescent="0.3">
      <c r="A31">
        <v>29</v>
      </c>
      <c r="B31" s="59">
        <f>(Data!C31-Data!C30)/Data!C30</f>
        <v>-1.8439896018298042E-3</v>
      </c>
      <c r="C31" s="59">
        <f>(Data!F31-Data!F30)/Data!F30</f>
        <v>-4.2919321323083223E-3</v>
      </c>
      <c r="D31" s="59">
        <f>(Data!I31-Data!I30)/Data!I30</f>
        <v>4.7267375726766569E-3</v>
      </c>
      <c r="E31" s="59">
        <f>(Data!L31-Data!L30)/Data!L30</f>
        <v>-5.2462627067472109E-3</v>
      </c>
      <c r="G31" s="55" t="s">
        <v>62</v>
      </c>
      <c r="H31" s="61">
        <v>0.8</v>
      </c>
      <c r="I31" s="61">
        <v>0.95</v>
      </c>
      <c r="J31" s="55">
        <v>1</v>
      </c>
      <c r="K31" s="55"/>
      <c r="N31" s="31"/>
    </row>
    <row r="32" spans="1:20" x14ac:dyDescent="0.3">
      <c r="A32">
        <v>30</v>
      </c>
      <c r="B32" s="59">
        <f>(Data!C32-Data!C31)/Data!C31</f>
        <v>-2.5162888684839339E-2</v>
      </c>
      <c r="C32" s="59">
        <f>(Data!F32-Data!F31)/Data!F31</f>
        <v>-1.0933439540944305E-2</v>
      </c>
      <c r="D32" s="59">
        <f>(Data!I32-Data!I31)/Data!I31</f>
        <v>-1.4585011651440376E-2</v>
      </c>
      <c r="E32" s="59">
        <f>(Data!L32-Data!L31)/Data!L31</f>
        <v>8.9792734111172785E-3</v>
      </c>
      <c r="G32" s="58" t="s">
        <v>61</v>
      </c>
      <c r="H32" s="62">
        <v>0.2</v>
      </c>
      <c r="I32" s="62">
        <v>0.5</v>
      </c>
      <c r="J32" s="62">
        <v>0.5</v>
      </c>
      <c r="K32" s="58">
        <v>1</v>
      </c>
      <c r="N32" s="31"/>
    </row>
    <row r="33" spans="1:14" x14ac:dyDescent="0.3">
      <c r="A33">
        <v>31</v>
      </c>
      <c r="B33" s="59">
        <f>(Data!C33-Data!C32)/Data!C32</f>
        <v>-2.0966880472765743E-2</v>
      </c>
      <c r="C33" s="59">
        <f>(Data!F33-Data!F32)/Data!F32</f>
        <v>-2.4516767178849923E-2</v>
      </c>
      <c r="D33" s="59">
        <f>(Data!I33-Data!I32)/Data!I32</f>
        <v>-1.4397208303350902E-2</v>
      </c>
      <c r="E33" s="59">
        <f>(Data!L33-Data!L32)/Data!L32</f>
        <v>8.3644129677769557E-3</v>
      </c>
      <c r="N33" s="31"/>
    </row>
    <row r="34" spans="1:14" x14ac:dyDescent="0.3">
      <c r="A34">
        <v>32</v>
      </c>
      <c r="B34" s="59">
        <f>(Data!C34-Data!C33)/Data!C33</f>
        <v>2.7157255734905853E-2</v>
      </c>
      <c r="C34" s="59">
        <f>(Data!F34-Data!F33)/Data!F33</f>
        <v>7.9012235325685957E-3</v>
      </c>
      <c r="D34" s="59">
        <f>(Data!I34-Data!I33)/Data!I33</f>
        <v>-8.0923844834595946E-3</v>
      </c>
      <c r="E34" s="59">
        <f>(Data!L34-Data!L33)/Data!L33</f>
        <v>-4.6017065870819808E-2</v>
      </c>
      <c r="N34" s="31"/>
    </row>
    <row r="35" spans="1:14" x14ac:dyDescent="0.3">
      <c r="A35">
        <v>33</v>
      </c>
      <c r="B35" s="59">
        <f>(Data!C35-Data!C34)/Data!C34</f>
        <v>-1.727630894790802E-2</v>
      </c>
      <c r="C35" s="59">
        <f>(Data!F35-Data!F34)/Data!F34</f>
        <v>7.9237413066462238E-3</v>
      </c>
      <c r="D35" s="59">
        <f>(Data!I35-Data!I34)/Data!I34</f>
        <v>1.2944729211395235E-2</v>
      </c>
      <c r="E35" s="59">
        <f>(Data!L35-Data!L34)/Data!L34</f>
        <v>2.4568592949008546E-3</v>
      </c>
      <c r="I35" s="115" t="s">
        <v>73</v>
      </c>
      <c r="J35" s="116"/>
      <c r="N35" s="31"/>
    </row>
    <row r="36" spans="1:14" x14ac:dyDescent="0.3">
      <c r="A36">
        <v>34</v>
      </c>
      <c r="B36" s="59">
        <f>(Data!C36-Data!C35)/Data!C35</f>
        <v>-2.916657094698447E-3</v>
      </c>
      <c r="C36" s="59">
        <f>(Data!F36-Data!F35)/Data!F35</f>
        <v>-2.4952259456913737E-2</v>
      </c>
      <c r="D36" s="59">
        <f>(Data!I36-Data!I35)/Data!I35</f>
        <v>-1.868934533112194E-3</v>
      </c>
      <c r="E36" s="59">
        <f>(Data!L36-Data!L35)/Data!L35</f>
        <v>2.3658004148245204E-2</v>
      </c>
      <c r="G36" s="73" t="s">
        <v>12</v>
      </c>
      <c r="H36" s="74">
        <v>4000</v>
      </c>
      <c r="I36" s="74">
        <v>3000</v>
      </c>
      <c r="J36" s="74">
        <v>1000</v>
      </c>
      <c r="K36" s="74">
        <v>2000</v>
      </c>
      <c r="N36" s="31"/>
    </row>
    <row r="37" spans="1:14" x14ac:dyDescent="0.3">
      <c r="A37">
        <v>35</v>
      </c>
      <c r="B37" s="59">
        <f>(Data!C37-Data!C36)/Data!C36</f>
        <v>1.3769718618042203E-2</v>
      </c>
      <c r="C37" s="59">
        <f>(Data!F37-Data!F36)/Data!F36</f>
        <v>2.359946468836637E-3</v>
      </c>
      <c r="D37" s="59">
        <f>(Data!I37-Data!I36)/Data!I36</f>
        <v>1.610431656115939E-2</v>
      </c>
      <c r="E37" s="59">
        <f>(Data!L37-Data!L36)/Data!L36</f>
        <v>-1.7435106481627504E-2</v>
      </c>
      <c r="G37" s="74"/>
      <c r="H37" s="65" t="s">
        <v>0</v>
      </c>
      <c r="I37" s="65" t="s">
        <v>63</v>
      </c>
      <c r="J37" s="65" t="s">
        <v>62</v>
      </c>
      <c r="K37" s="65" t="s">
        <v>61</v>
      </c>
      <c r="L37" s="95" t="s">
        <v>12</v>
      </c>
    </row>
    <row r="38" spans="1:14" x14ac:dyDescent="0.3">
      <c r="A38">
        <v>36</v>
      </c>
      <c r="B38" s="59">
        <f>(Data!C38-Data!C37)/Data!C37</f>
        <v>-2.2337423419752329E-2</v>
      </c>
      <c r="C38" s="59">
        <f>(Data!F38-Data!F37)/Data!F37</f>
        <v>2.8816552851377046E-3</v>
      </c>
      <c r="D38" s="59">
        <f>(Data!I38-Data!I37)/Data!I37</f>
        <v>-8.6758251650501574E-3</v>
      </c>
      <c r="E38" s="59">
        <f>(Data!L38-Data!L37)/Data!L37</f>
        <v>4.0305102390122555E-3</v>
      </c>
      <c r="G38" s="55" t="s">
        <v>0</v>
      </c>
      <c r="H38" s="121">
        <f>H12</f>
        <v>8.535743138984449E-5</v>
      </c>
      <c r="I38" s="117">
        <f>H39</f>
        <v>8.1789658846408852E-5</v>
      </c>
      <c r="J38" s="117">
        <f>H40</f>
        <v>7.3097438137625771E-5</v>
      </c>
      <c r="K38" s="118">
        <f>H41</f>
        <v>2.2078210129477974E-5</v>
      </c>
      <c r="L38" s="75">
        <f>H36</f>
        <v>4000</v>
      </c>
    </row>
    <row r="39" spans="1:14" x14ac:dyDescent="0.3">
      <c r="A39">
        <v>37</v>
      </c>
      <c r="B39" s="59">
        <f>(Data!C39-Data!C38)/Data!C38</f>
        <v>1.2614865708684865E-2</v>
      </c>
      <c r="C39" s="59">
        <f>(Data!F39-Data!F38)/Data!F38</f>
        <v>-2.1915439795392906E-2</v>
      </c>
      <c r="D39" s="59">
        <f>(Data!I39-Data!I38)/Data!I38</f>
        <v>-3.0670876370108113E-3</v>
      </c>
      <c r="E39" s="59">
        <f>(Data!L39-Data!L38)/Data!L38</f>
        <v>1.7052944234978225E-2</v>
      </c>
      <c r="G39" s="55" t="s">
        <v>63</v>
      </c>
      <c r="H39" s="85">
        <f>H30*H19*I19</f>
        <v>8.1789658846408852E-5</v>
      </c>
      <c r="I39" s="122">
        <f>I13</f>
        <v>1.2245470651486541E-4</v>
      </c>
      <c r="J39" s="117">
        <f>I40</f>
        <v>1.039687557982556E-4</v>
      </c>
      <c r="K39" s="118">
        <f>I41</f>
        <v>6.6110576322509263E-5</v>
      </c>
      <c r="L39" s="75">
        <f>I36</f>
        <v>3000</v>
      </c>
    </row>
    <row r="40" spans="1:14" x14ac:dyDescent="0.3">
      <c r="A40">
        <v>38</v>
      </c>
      <c r="B40" s="59">
        <f>(Data!C40-Data!C39)/Data!C39</f>
        <v>1.1566482650942907E-2</v>
      </c>
      <c r="C40" s="59">
        <f>(Data!F40-Data!F39)/Data!F39</f>
        <v>1.1052319938507343E-2</v>
      </c>
      <c r="D40" s="59">
        <f>(Data!I40-Data!I39)/Data!I39</f>
        <v>2.6796998653842288E-2</v>
      </c>
      <c r="E40" s="59">
        <f>(Data!L40-Data!L39)/Data!L39</f>
        <v>-4.4163279413824506E-3</v>
      </c>
      <c r="G40" s="55" t="s">
        <v>62</v>
      </c>
      <c r="H40" s="85">
        <f>H31*H19*J19</f>
        <v>7.3097438137625771E-5</v>
      </c>
      <c r="I40" s="117">
        <f>I31*I19*J19</f>
        <v>1.039687557982556E-4</v>
      </c>
      <c r="J40" s="122">
        <f>J14</f>
        <v>9.7809941956759742E-5</v>
      </c>
      <c r="K40" s="118">
        <f>J41</f>
        <v>5.9084654846797778E-5</v>
      </c>
      <c r="L40" s="75">
        <f>J36</f>
        <v>1000</v>
      </c>
    </row>
    <row r="41" spans="1:14" x14ac:dyDescent="0.3">
      <c r="A41">
        <v>39</v>
      </c>
      <c r="B41" s="59">
        <f>(Data!C41-Data!C40)/Data!C40</f>
        <v>6.8628638535740676E-3</v>
      </c>
      <c r="C41" s="59">
        <f>(Data!F41-Data!F40)/Data!F40</f>
        <v>1.2887968012323635E-2</v>
      </c>
      <c r="D41" s="59">
        <f>(Data!I41-Data!I40)/Data!I40</f>
        <v>-1.0351983693067078E-2</v>
      </c>
      <c r="E41" s="59">
        <f>(Data!L41-Data!L40)/Data!L40</f>
        <v>-5.2613894455468321E-3</v>
      </c>
      <c r="G41" s="58" t="s">
        <v>61</v>
      </c>
      <c r="H41" s="119">
        <f>H32*H19*K19</f>
        <v>2.2078210129477974E-5</v>
      </c>
      <c r="I41" s="84">
        <f>I32*I19*K19</f>
        <v>6.6110576322509263E-5</v>
      </c>
      <c r="J41" s="84">
        <f>J32*J19*K19</f>
        <v>5.9084654846797778E-5</v>
      </c>
      <c r="K41" s="123">
        <f>K15</f>
        <v>1.4276652734989003E-4</v>
      </c>
      <c r="L41" s="76">
        <f>K36</f>
        <v>2000</v>
      </c>
    </row>
    <row r="42" spans="1:14" x14ac:dyDescent="0.3">
      <c r="A42">
        <v>40</v>
      </c>
      <c r="B42" s="59">
        <f>(Data!C42-Data!C41)/Data!C41</f>
        <v>-2.1920248708528507E-2</v>
      </c>
      <c r="C42" s="59">
        <f>(Data!F42-Data!F41)/Data!F41</f>
        <v>1.6512308629893061E-2</v>
      </c>
      <c r="D42" s="59">
        <f>(Data!I42-Data!I41)/Data!I41</f>
        <v>-4.5257073829467016E-3</v>
      </c>
      <c r="E42" s="59">
        <f>(Data!L42-Data!L41)/Data!L41</f>
        <v>3.7476119033054054E-3</v>
      </c>
    </row>
    <row r="43" spans="1:14" x14ac:dyDescent="0.3">
      <c r="A43">
        <v>41</v>
      </c>
      <c r="B43" s="59">
        <f>(Data!C43-Data!C42)/Data!C42</f>
        <v>3.3365487399586108E-3</v>
      </c>
      <c r="C43" s="59">
        <f>(Data!F43-Data!F42)/Data!F42</f>
        <v>5.4987839629377861E-3</v>
      </c>
      <c r="D43" s="59">
        <f>(Data!I43-Data!I42)/Data!I42</f>
        <v>1.3624384412075695E-2</v>
      </c>
      <c r="E43" s="59">
        <f>(Data!L43-Data!L42)/Data!L42</f>
        <v>4.1927101967357133E-3</v>
      </c>
      <c r="G43" s="52" t="s">
        <v>71</v>
      </c>
      <c r="H43" s="94">
        <f t="array" ref="H43">MMULT(MMULT(H36:K36,H38:K41),L38:L41)</f>
        <v>7691.1480617609222</v>
      </c>
    </row>
    <row r="44" spans="1:14" x14ac:dyDescent="0.3">
      <c r="A44">
        <v>42</v>
      </c>
      <c r="B44" s="59">
        <f>(Data!C44-Data!C43)/Data!C43</f>
        <v>1.672695375406473E-2</v>
      </c>
      <c r="C44" s="59">
        <f>(Data!F44-Data!F43)/Data!F43</f>
        <v>-2.1500505695487672E-3</v>
      </c>
      <c r="D44" s="59">
        <f>(Data!I44-Data!I43)/Data!I43</f>
        <v>-1.3280255547457877E-2</v>
      </c>
      <c r="E44" s="59">
        <f>(Data!L44-Data!L43)/Data!L43</f>
        <v>-9.095168407275013E-3</v>
      </c>
      <c r="G44" s="52" t="s">
        <v>72</v>
      </c>
      <c r="H44" s="94">
        <f>SQRT(H43)</f>
        <v>87.699190770274058</v>
      </c>
    </row>
    <row r="45" spans="1:14" x14ac:dyDescent="0.3">
      <c r="A45">
        <v>43</v>
      </c>
      <c r="B45" s="59">
        <f>(Data!C45-Data!C44)/Data!C44</f>
        <v>-5.5253645656476204E-3</v>
      </c>
      <c r="C45" s="59">
        <f>(Data!F45-Data!F44)/Data!F44</f>
        <v>-7.4270152008351241E-4</v>
      </c>
      <c r="D45" s="59">
        <f>(Data!I45-Data!I44)/Data!I44</f>
        <v>4.0393873709264859E-3</v>
      </c>
      <c r="E45" s="59">
        <f>(Data!L45-Data!L44)/Data!L44</f>
        <v>5.6388740192188152E-3</v>
      </c>
      <c r="G45" s="52" t="s">
        <v>87</v>
      </c>
      <c r="H45" s="126">
        <f>MDETERM(H38:K41)</f>
        <v>3.006723118430888E-18</v>
      </c>
    </row>
    <row r="46" spans="1:14" x14ac:dyDescent="0.3">
      <c r="A46">
        <v>44</v>
      </c>
      <c r="B46" s="59">
        <f>(Data!C46-Data!C45)/Data!C45</f>
        <v>8.2507501303063745E-3</v>
      </c>
      <c r="C46" s="59">
        <f>(Data!F46-Data!F45)/Data!F45</f>
        <v>-1.599535584993398E-2</v>
      </c>
      <c r="D46" s="59">
        <f>(Data!I46-Data!I45)/Data!I45</f>
        <v>3.6965202995063637E-3</v>
      </c>
      <c r="E46" s="59">
        <f>(Data!L46-Data!L45)/Data!L45</f>
        <v>6.0267598747303095E-3</v>
      </c>
    </row>
    <row r="47" spans="1:14" x14ac:dyDescent="0.3">
      <c r="A47">
        <v>45</v>
      </c>
      <c r="B47" s="59">
        <f>(Data!C47-Data!C46)/Data!C46</f>
        <v>-2.8866253360058944E-3</v>
      </c>
      <c r="C47" s="59">
        <f>(Data!F47-Data!F46)/Data!F46</f>
        <v>-8.3402581081575659E-3</v>
      </c>
      <c r="D47" s="59">
        <f>(Data!I47-Data!I46)/Data!I46</f>
        <v>-7.466244095854396E-3</v>
      </c>
      <c r="E47" s="59">
        <f>(Data!L47-Data!L46)/Data!L46</f>
        <v>-7.9081411975668765E-3</v>
      </c>
    </row>
    <row r="48" spans="1:14" x14ac:dyDescent="0.3">
      <c r="A48">
        <v>46</v>
      </c>
      <c r="B48" s="59">
        <f>(Data!C48-Data!C47)/Data!C47</f>
        <v>8.1090383626311411E-3</v>
      </c>
      <c r="C48" s="59">
        <f>(Data!F48-Data!F47)/Data!F47</f>
        <v>7.3679220962819961E-3</v>
      </c>
      <c r="D48" s="59">
        <f>(Data!I48-Data!I47)/Data!I47</f>
        <v>8.3553081788827893E-3</v>
      </c>
      <c r="E48" s="59">
        <f>(Data!L48-Data!L47)/Data!L47</f>
        <v>3.9560373740605923E-3</v>
      </c>
    </row>
    <row r="49" spans="1:11" x14ac:dyDescent="0.3">
      <c r="A49">
        <v>47</v>
      </c>
      <c r="B49" s="59">
        <f>(Data!C49-Data!C48)/Data!C48</f>
        <v>1.0661504817983032E-2</v>
      </c>
      <c r="C49" s="59">
        <f>(Data!F49-Data!F48)/Data!F48</f>
        <v>1.4006932745568948E-2</v>
      </c>
      <c r="D49" s="59">
        <f>(Data!I49-Data!I48)/Data!I48</f>
        <v>-3.6688223760543686E-3</v>
      </c>
      <c r="E49" s="59">
        <f>(Data!L49-Data!L48)/Data!L48</f>
        <v>1.0127911012143826E-2</v>
      </c>
      <c r="G49" s="9" t="s">
        <v>96</v>
      </c>
      <c r="H49" s="27" t="s">
        <v>0</v>
      </c>
      <c r="I49" s="27" t="s">
        <v>7</v>
      </c>
      <c r="J49" s="27" t="s">
        <v>8</v>
      </c>
      <c r="K49" s="27" t="s">
        <v>10</v>
      </c>
    </row>
    <row r="50" spans="1:11" x14ac:dyDescent="0.3">
      <c r="A50">
        <v>48</v>
      </c>
      <c r="B50" s="59">
        <f>(Data!C50-Data!C49)/Data!C49</f>
        <v>8.3136580055207887E-4</v>
      </c>
      <c r="C50" s="59">
        <f>(Data!F50-Data!F49)/Data!F49</f>
        <v>-9.447219727463492E-3</v>
      </c>
      <c r="D50" s="59">
        <f>(Data!I50-Data!I49)/Data!I49</f>
        <v>2.1513085031992733E-3</v>
      </c>
      <c r="E50" s="59">
        <f>(Data!L50-Data!L49)/Data!L49</f>
        <v>-5.9190721787110215E-4</v>
      </c>
      <c r="H50" s="59">
        <f>AVERAGE(B3:B502)</f>
        <v>4.5637552074199631E-4</v>
      </c>
      <c r="I50" s="59">
        <f>AVERAGE(C3:C502)</f>
        <v>-1.7384132278287982E-4</v>
      </c>
      <c r="J50" s="59">
        <f>AVERAGE(D3:D502)</f>
        <v>-4.0709142476105146E-5</v>
      </c>
      <c r="K50" s="59">
        <f>AVERAGE(E3:E502)</f>
        <v>3.7556271435994698E-4</v>
      </c>
    </row>
    <row r="51" spans="1:11" x14ac:dyDescent="0.3">
      <c r="A51">
        <v>49</v>
      </c>
      <c r="B51" s="59">
        <f>(Data!C51-Data!C50)/Data!C50</f>
        <v>-5.7261247757898117E-3</v>
      </c>
      <c r="C51" s="59">
        <f>(Data!F51-Data!F50)/Data!F50</f>
        <v>-5.3891744411887054E-3</v>
      </c>
      <c r="D51" s="59">
        <f>(Data!I51-Data!I50)/Data!I50</f>
        <v>-4.8043261655337823E-3</v>
      </c>
      <c r="E51" s="59">
        <f>(Data!L51-Data!L50)/Data!L50</f>
        <v>7.0642562798153719E-3</v>
      </c>
    </row>
    <row r="52" spans="1:11" x14ac:dyDescent="0.3">
      <c r="A52">
        <v>50</v>
      </c>
      <c r="B52" s="59">
        <f>(Data!C52-Data!C51)/Data!C51</f>
        <v>-8.536532212991688E-3</v>
      </c>
      <c r="C52" s="59">
        <f>(Data!F52-Data!F51)/Data!F51</f>
        <v>1.262096878686089E-2</v>
      </c>
      <c r="D52" s="59">
        <f>(Data!I52-Data!I51)/Data!I51</f>
        <v>-6.4187176332836733E-4</v>
      </c>
      <c r="E52" s="59">
        <f>(Data!L52-Data!L51)/Data!L51</f>
        <v>1.0289005055137192E-2</v>
      </c>
    </row>
    <row r="53" spans="1:11" x14ac:dyDescent="0.3">
      <c r="A53">
        <v>51</v>
      </c>
      <c r="B53" s="59">
        <f>(Data!C53-Data!C52)/Data!C52</f>
        <v>5.6231510713566087E-5</v>
      </c>
      <c r="C53" s="59">
        <f>(Data!F53-Data!F52)/Data!F52</f>
        <v>-1.0056385530561424E-2</v>
      </c>
      <c r="D53" s="59">
        <f>(Data!I53-Data!I52)/Data!I52</f>
        <v>-7.1574501499120672E-3</v>
      </c>
      <c r="E53" s="59">
        <f>(Data!L53-Data!L52)/Data!L52</f>
        <v>-3.0443519542964867E-3</v>
      </c>
    </row>
    <row r="54" spans="1:11" x14ac:dyDescent="0.3">
      <c r="A54">
        <v>52</v>
      </c>
      <c r="B54" s="59">
        <f>(Data!C54-Data!C53)/Data!C53</f>
        <v>-1.3380561466416821E-2</v>
      </c>
      <c r="C54" s="59">
        <f>(Data!F54-Data!F53)/Data!F53</f>
        <v>-5.1627017632589573E-3</v>
      </c>
      <c r="D54" s="59">
        <f>(Data!I54-Data!I53)/Data!I53</f>
        <v>-1.0156547942545141E-2</v>
      </c>
      <c r="E54" s="59">
        <f>(Data!L54-Data!L53)/Data!L53</f>
        <v>-2.641598978530784E-3</v>
      </c>
    </row>
    <row r="55" spans="1:11" x14ac:dyDescent="0.3">
      <c r="A55">
        <v>53</v>
      </c>
      <c r="B55" s="59">
        <f>(Data!C55-Data!C54)/Data!C54</f>
        <v>1.8370592780630175E-3</v>
      </c>
      <c r="C55" s="59">
        <f>(Data!F55-Data!F54)/Data!F54</f>
        <v>-5.1894935708678147E-3</v>
      </c>
      <c r="D55" s="59">
        <f>(Data!I55-Data!I54)/Data!I54</f>
        <v>1.163810906019439E-2</v>
      </c>
      <c r="E55" s="59">
        <f>(Data!L55-Data!L54)/Data!L54</f>
        <v>-5.0362034121570725E-4</v>
      </c>
    </row>
    <row r="56" spans="1:11" x14ac:dyDescent="0.3">
      <c r="A56">
        <v>54</v>
      </c>
      <c r="B56" s="59">
        <f>(Data!C56-Data!C55)/Data!C55</f>
        <v>1.0434204752046693E-2</v>
      </c>
      <c r="C56" s="59">
        <f>(Data!F56-Data!F55)/Data!F55</f>
        <v>-2.4388845577206348E-4</v>
      </c>
      <c r="D56" s="59">
        <f>(Data!I56-Data!I55)/Data!I55</f>
        <v>8.2888304654393768E-3</v>
      </c>
      <c r="E56" s="59">
        <f>(Data!L56-Data!L55)/Data!L55</f>
        <v>1.3112825276195375E-2</v>
      </c>
    </row>
    <row r="57" spans="1:11" x14ac:dyDescent="0.3">
      <c r="A57">
        <v>55</v>
      </c>
      <c r="B57" s="59">
        <f>(Data!C57-Data!C56)/Data!C56</f>
        <v>1.1136250030761329E-3</v>
      </c>
      <c r="C57" s="59">
        <f>(Data!F57-Data!F56)/Data!F56</f>
        <v>9.0973456407950591E-3</v>
      </c>
      <c r="D57" s="59">
        <f>(Data!I57-Data!I56)/Data!I56</f>
        <v>2.3153039277763639E-3</v>
      </c>
      <c r="E57" s="59">
        <f>(Data!L57-Data!L56)/Data!L56</f>
        <v>5.5750665892351225E-3</v>
      </c>
    </row>
    <row r="58" spans="1:11" x14ac:dyDescent="0.3">
      <c r="A58">
        <v>56</v>
      </c>
      <c r="B58" s="59">
        <f>(Data!C58-Data!C57)/Data!C57</f>
        <v>-8.1874908594294672E-3</v>
      </c>
      <c r="C58" s="59">
        <f>(Data!F58-Data!F57)/Data!F57</f>
        <v>1.7429577957142339E-2</v>
      </c>
      <c r="D58" s="59">
        <f>(Data!I58-Data!I57)/Data!I57</f>
        <v>6.9165935145285235E-3</v>
      </c>
      <c r="E58" s="59">
        <f>(Data!L58-Data!L57)/Data!L57</f>
        <v>5.8062319175515723E-3</v>
      </c>
    </row>
    <row r="59" spans="1:11" x14ac:dyDescent="0.3">
      <c r="A59">
        <v>57</v>
      </c>
      <c r="B59" s="59">
        <f>(Data!C59-Data!C58)/Data!C58</f>
        <v>2.5490454768968759E-3</v>
      </c>
      <c r="C59" s="59">
        <f>(Data!F59-Data!F58)/Data!F58</f>
        <v>-1.3724864792583624E-3</v>
      </c>
      <c r="D59" s="59">
        <f>(Data!I59-Data!I58)/Data!I58</f>
        <v>-1.2856094555449041E-2</v>
      </c>
      <c r="E59" s="59">
        <f>(Data!L59-Data!L58)/Data!L58</f>
        <v>9.4781917852524347E-3</v>
      </c>
    </row>
    <row r="60" spans="1:11" x14ac:dyDescent="0.3">
      <c r="A60">
        <v>58</v>
      </c>
      <c r="B60" s="59">
        <f>(Data!C60-Data!C59)/Data!C59</f>
        <v>-7.2058635855479086E-3</v>
      </c>
      <c r="C60" s="59">
        <f>(Data!F60-Data!F59)/Data!F59</f>
        <v>-1.3743727873265442E-3</v>
      </c>
      <c r="D60" s="59">
        <f>(Data!I60-Data!I59)/Data!I59</f>
        <v>1.0029513618791617E-2</v>
      </c>
      <c r="E60" s="59">
        <f>(Data!L60-Data!L59)/Data!L59</f>
        <v>2.4339556132450934E-3</v>
      </c>
    </row>
    <row r="61" spans="1:11" x14ac:dyDescent="0.3">
      <c r="A61">
        <v>59</v>
      </c>
      <c r="B61" s="59">
        <f>(Data!C61-Data!C60)/Data!C60</f>
        <v>-2.2536744644764259E-3</v>
      </c>
      <c r="C61" s="59">
        <f>(Data!F61-Data!F60)/Data!F60</f>
        <v>-1.3361323717011805E-2</v>
      </c>
      <c r="D61" s="59">
        <f>(Data!I61-Data!I60)/Data!I60</f>
        <v>8.2287223397887622E-3</v>
      </c>
      <c r="E61" s="59">
        <f>(Data!L61-Data!L60)/Data!L60</f>
        <v>-3.0359856379023848E-4</v>
      </c>
    </row>
    <row r="62" spans="1:11" x14ac:dyDescent="0.3">
      <c r="A62">
        <v>60</v>
      </c>
      <c r="B62" s="59">
        <f>(Data!C62-Data!C61)/Data!C61</f>
        <v>1.2811179191865156E-2</v>
      </c>
      <c r="C62" s="59">
        <f>(Data!F62-Data!F61)/Data!F61</f>
        <v>-1.2762327381048034E-2</v>
      </c>
      <c r="D62" s="59">
        <f>(Data!I62-Data!I61)/Data!I61</f>
        <v>-3.0289619272038733E-3</v>
      </c>
      <c r="E62" s="59">
        <f>(Data!L62-Data!L61)/Data!L61</f>
        <v>-1.2110568462191803E-2</v>
      </c>
    </row>
    <row r="63" spans="1:11" x14ac:dyDescent="0.3">
      <c r="A63">
        <v>61</v>
      </c>
      <c r="B63" s="59">
        <f>(Data!C63-Data!C62)/Data!C62</f>
        <v>3.4579455248213847E-3</v>
      </c>
      <c r="C63" s="59">
        <f>(Data!F63-Data!F62)/Data!F62</f>
        <v>2.2642061717874917E-3</v>
      </c>
      <c r="D63" s="59">
        <f>(Data!I63-Data!I62)/Data!I62</f>
        <v>3.1555337625949038E-3</v>
      </c>
      <c r="E63" s="59">
        <f>(Data!L63-Data!L62)/Data!L62</f>
        <v>7.6219881509838284E-3</v>
      </c>
    </row>
    <row r="64" spans="1:11" x14ac:dyDescent="0.3">
      <c r="A64">
        <v>62</v>
      </c>
      <c r="B64" s="59">
        <f>(Data!C64-Data!C63)/Data!C63</f>
        <v>-2.6564134619459431E-4</v>
      </c>
      <c r="C64" s="59">
        <f>(Data!F64-Data!F63)/Data!F63</f>
        <v>1.3620965617665116E-2</v>
      </c>
      <c r="D64" s="59">
        <f>(Data!I64-Data!I63)/Data!I63</f>
        <v>-1.5375130204636585E-4</v>
      </c>
      <c r="E64" s="59">
        <f>(Data!L64-Data!L63)/Data!L63</f>
        <v>-4.1102913713867628E-3</v>
      </c>
    </row>
    <row r="65" spans="1:5" x14ac:dyDescent="0.3">
      <c r="A65">
        <v>63</v>
      </c>
      <c r="B65" s="59">
        <f>(Data!C65-Data!C64)/Data!C64</f>
        <v>9.6822201844415662E-3</v>
      </c>
      <c r="C65" s="59">
        <f>(Data!F65-Data!F64)/Data!F64</f>
        <v>4.3854523842091122E-3</v>
      </c>
      <c r="D65" s="59">
        <f>(Data!I65-Data!I64)/Data!I64</f>
        <v>-1.2592729030224697E-4</v>
      </c>
      <c r="E65" s="59">
        <f>(Data!L65-Data!L64)/Data!L64</f>
        <v>-3.12790599374422E-3</v>
      </c>
    </row>
    <row r="66" spans="1:5" x14ac:dyDescent="0.3">
      <c r="A66">
        <v>64</v>
      </c>
      <c r="B66" s="59">
        <f>(Data!C66-Data!C65)/Data!C65</f>
        <v>9.3706436136782E-3</v>
      </c>
      <c r="C66" s="59">
        <f>(Data!F66-Data!F65)/Data!F65</f>
        <v>8.9428484546743795E-3</v>
      </c>
      <c r="D66" s="59">
        <f>(Data!I66-Data!I65)/Data!I65</f>
        <v>-6.6624571753826087E-3</v>
      </c>
      <c r="E66" s="59">
        <f>(Data!L66-Data!L65)/Data!L65</f>
        <v>8.8418531656638284E-3</v>
      </c>
    </row>
    <row r="67" spans="1:5" x14ac:dyDescent="0.3">
      <c r="A67">
        <v>65</v>
      </c>
      <c r="B67" s="59">
        <f>(Data!C67-Data!C66)/Data!C66</f>
        <v>1.7075957958787255E-3</v>
      </c>
      <c r="C67" s="59">
        <f>(Data!F67-Data!F66)/Data!F66</f>
        <v>1.0154097924636545E-2</v>
      </c>
      <c r="D67" s="59">
        <f>(Data!I67-Data!I66)/Data!I66</f>
        <v>-3.9315070703837803E-3</v>
      </c>
      <c r="E67" s="59">
        <f>(Data!L67-Data!L66)/Data!L66</f>
        <v>-9.8288748913135018E-3</v>
      </c>
    </row>
    <row r="68" spans="1:5" x14ac:dyDescent="0.3">
      <c r="A68">
        <v>66</v>
      </c>
      <c r="B68" s="59">
        <f>(Data!C68-Data!C67)/Data!C67</f>
        <v>8.8348951711366005E-4</v>
      </c>
      <c r="C68" s="59">
        <f>(Data!F68-Data!F67)/Data!F67</f>
        <v>1.3463746411237768E-2</v>
      </c>
      <c r="D68" s="59">
        <f>(Data!I68-Data!I67)/Data!I67</f>
        <v>-6.2449750998840974E-3</v>
      </c>
      <c r="E68" s="59">
        <f>(Data!L68-Data!L67)/Data!L67</f>
        <v>7.1807926082219512E-3</v>
      </c>
    </row>
    <row r="69" spans="1:5" x14ac:dyDescent="0.3">
      <c r="A69">
        <v>67</v>
      </c>
      <c r="B69" s="59">
        <f>(Data!C69-Data!C68)/Data!C68</f>
        <v>-6.8421404110904742E-3</v>
      </c>
      <c r="C69" s="59">
        <f>(Data!F69-Data!F68)/Data!F68</f>
        <v>-1.233473235659297E-2</v>
      </c>
      <c r="D69" s="59">
        <f>(Data!I69-Data!I68)/Data!I68</f>
        <v>1.9688169457204207E-2</v>
      </c>
      <c r="E69" s="59">
        <f>(Data!L69-Data!L68)/Data!L68</f>
        <v>8.4454972166889564E-3</v>
      </c>
    </row>
    <row r="70" spans="1:5" x14ac:dyDescent="0.3">
      <c r="A70">
        <v>68</v>
      </c>
      <c r="B70" s="59">
        <f>(Data!C70-Data!C69)/Data!C69</f>
        <v>4.0605617654640479E-3</v>
      </c>
      <c r="C70" s="59">
        <f>(Data!F70-Data!F69)/Data!F69</f>
        <v>-1.3427721706730051E-3</v>
      </c>
      <c r="D70" s="59">
        <f>(Data!I70-Data!I69)/Data!I69</f>
        <v>-1.6039260717998799E-4</v>
      </c>
      <c r="E70" s="59">
        <f>(Data!L70-Data!L69)/Data!L69</f>
        <v>4.5480749037007358E-3</v>
      </c>
    </row>
    <row r="71" spans="1:5" x14ac:dyDescent="0.3">
      <c r="A71">
        <v>69</v>
      </c>
      <c r="B71" s="59">
        <f>(Data!C71-Data!C70)/Data!C70</f>
        <v>-8.5587227484663735E-4</v>
      </c>
      <c r="C71" s="59">
        <f>(Data!F71-Data!F70)/Data!F70</f>
        <v>-5.4017278004882046E-3</v>
      </c>
      <c r="D71" s="59">
        <f>(Data!I71-Data!I70)/Data!I70</f>
        <v>1.3780498391070793E-3</v>
      </c>
      <c r="E71" s="59">
        <f>(Data!L71-Data!L70)/Data!L70</f>
        <v>1.638935151748523E-3</v>
      </c>
    </row>
    <row r="72" spans="1:5" x14ac:dyDescent="0.3">
      <c r="A72">
        <v>70</v>
      </c>
      <c r="B72" s="59">
        <f>(Data!C72-Data!C71)/Data!C71</f>
        <v>-2.6321948980257853E-3</v>
      </c>
      <c r="C72" s="59">
        <f>(Data!F72-Data!F71)/Data!F71</f>
        <v>3.4179836780433609E-3</v>
      </c>
      <c r="D72" s="59">
        <f>(Data!I72-Data!I71)/Data!I71</f>
        <v>6.9552864125297081E-3</v>
      </c>
      <c r="E72" s="59">
        <f>(Data!L72-Data!L71)/Data!L71</f>
        <v>-8.6292283196658243E-3</v>
      </c>
    </row>
    <row r="73" spans="1:5" x14ac:dyDescent="0.3">
      <c r="A73">
        <v>71</v>
      </c>
      <c r="B73" s="59">
        <f>(Data!C73-Data!C72)/Data!C72</f>
        <v>7.3867529733892432E-3</v>
      </c>
      <c r="C73" s="59">
        <f>(Data!F73-Data!F72)/Data!F72</f>
        <v>6.0048954040138047E-3</v>
      </c>
      <c r="D73" s="59">
        <f>(Data!I73-Data!I72)/Data!I72</f>
        <v>-1.331321475520404E-2</v>
      </c>
      <c r="E73" s="59">
        <f>(Data!L73-Data!L72)/Data!L72</f>
        <v>7.7200157641760161E-3</v>
      </c>
    </row>
    <row r="74" spans="1:5" x14ac:dyDescent="0.3">
      <c r="A74">
        <v>72</v>
      </c>
      <c r="B74" s="59">
        <f>(Data!C74-Data!C73)/Data!C73</f>
        <v>-3.1357620237914443E-3</v>
      </c>
      <c r="C74" s="59">
        <f>(Data!F74-Data!F73)/Data!F73</f>
        <v>-1.8207806185153604E-2</v>
      </c>
      <c r="D74" s="59">
        <f>(Data!I74-Data!I73)/Data!I73</f>
        <v>-5.0699182697203204E-3</v>
      </c>
      <c r="E74" s="59">
        <f>(Data!L74-Data!L73)/Data!L73</f>
        <v>1.504790922972493E-2</v>
      </c>
    </row>
    <row r="75" spans="1:5" x14ac:dyDescent="0.3">
      <c r="A75">
        <v>73</v>
      </c>
      <c r="B75" s="59">
        <f>(Data!C75-Data!C74)/Data!C74</f>
        <v>3.2484100188134367E-3</v>
      </c>
      <c r="C75" s="59">
        <f>(Data!F75-Data!F74)/Data!F74</f>
        <v>3.090414192186934E-3</v>
      </c>
      <c r="D75" s="59">
        <f>(Data!I75-Data!I74)/Data!I74</f>
        <v>1.0384810930360099E-2</v>
      </c>
      <c r="E75" s="59">
        <f>(Data!L75-Data!L74)/Data!L74</f>
        <v>9.7206085969423171E-3</v>
      </c>
    </row>
    <row r="76" spans="1:5" x14ac:dyDescent="0.3">
      <c r="A76">
        <v>74</v>
      </c>
      <c r="B76" s="59">
        <f>(Data!C76-Data!C75)/Data!C75</f>
        <v>-2.0232133879298174E-3</v>
      </c>
      <c r="C76" s="59">
        <f>(Data!F76-Data!F75)/Data!F75</f>
        <v>-5.6036669253053412E-3</v>
      </c>
      <c r="D76" s="59">
        <f>(Data!I76-Data!I75)/Data!I75</f>
        <v>-9.5494894568632464E-3</v>
      </c>
      <c r="E76" s="59">
        <f>(Data!L76-Data!L75)/Data!L75</f>
        <v>-3.8047739618254505E-3</v>
      </c>
    </row>
    <row r="77" spans="1:5" x14ac:dyDescent="0.3">
      <c r="A77">
        <v>75</v>
      </c>
      <c r="B77" s="59">
        <f>(Data!C77-Data!C76)/Data!C76</f>
        <v>-2.3572205679487208E-3</v>
      </c>
      <c r="C77" s="59">
        <f>(Data!F77-Data!F76)/Data!F76</f>
        <v>6.6764888909478584E-3</v>
      </c>
      <c r="D77" s="59">
        <f>(Data!I77-Data!I76)/Data!I76</f>
        <v>-1.3972023415153943E-2</v>
      </c>
      <c r="E77" s="59">
        <f>(Data!L77-Data!L76)/Data!L76</f>
        <v>-1.3060748006601416E-2</v>
      </c>
    </row>
    <row r="78" spans="1:5" x14ac:dyDescent="0.3">
      <c r="A78">
        <v>76</v>
      </c>
      <c r="B78" s="59">
        <f>(Data!C78-Data!C77)/Data!C77</f>
        <v>-1.1564187400276104E-2</v>
      </c>
      <c r="C78" s="59">
        <f>(Data!F78-Data!F77)/Data!F77</f>
        <v>-9.9921113402573914E-3</v>
      </c>
      <c r="D78" s="59">
        <f>(Data!I78-Data!I77)/Data!I77</f>
        <v>6.173424687645381E-3</v>
      </c>
      <c r="E78" s="59">
        <f>(Data!L78-Data!L77)/Data!L77</f>
        <v>-1.0457501032987088E-2</v>
      </c>
    </row>
    <row r="79" spans="1:5" x14ac:dyDescent="0.3">
      <c r="A79">
        <v>77</v>
      </c>
      <c r="B79" s="59">
        <f>(Data!C79-Data!C78)/Data!C78</f>
        <v>1.2695791469277327E-2</v>
      </c>
      <c r="C79" s="59">
        <f>(Data!F79-Data!F78)/Data!F78</f>
        <v>-1.4033029613838252E-2</v>
      </c>
      <c r="D79" s="59">
        <f>(Data!I79-Data!I78)/Data!I78</f>
        <v>-1.0970505515797774E-2</v>
      </c>
      <c r="E79" s="59">
        <f>(Data!L79-Data!L78)/Data!L78</f>
        <v>5.0266980693221101E-3</v>
      </c>
    </row>
    <row r="80" spans="1:5" x14ac:dyDescent="0.3">
      <c r="A80">
        <v>78</v>
      </c>
      <c r="B80" s="59">
        <f>(Data!C80-Data!C79)/Data!C79</f>
        <v>-6.8795598882546083E-3</v>
      </c>
      <c r="C80" s="59">
        <f>(Data!F80-Data!F79)/Data!F79</f>
        <v>1.3699782872246031E-2</v>
      </c>
      <c r="D80" s="59">
        <f>(Data!I80-Data!I79)/Data!I79</f>
        <v>-6.5483501144405791E-3</v>
      </c>
      <c r="E80" s="59">
        <f>(Data!L80-Data!L79)/Data!L79</f>
        <v>5.523030314577783E-3</v>
      </c>
    </row>
    <row r="81" spans="1:5" x14ac:dyDescent="0.3">
      <c r="A81">
        <v>79</v>
      </c>
      <c r="B81" s="59">
        <f>(Data!C81-Data!C80)/Data!C80</f>
        <v>1.0849230126018993E-2</v>
      </c>
      <c r="C81" s="59">
        <f>(Data!F81-Data!F80)/Data!F80</f>
        <v>7.9917162356390168E-4</v>
      </c>
      <c r="D81" s="59">
        <f>(Data!I81-Data!I80)/Data!I80</f>
        <v>5.037605747612129E-3</v>
      </c>
      <c r="E81" s="59">
        <f>(Data!L81-Data!L80)/Data!L80</f>
        <v>-7.6963058003129093E-3</v>
      </c>
    </row>
    <row r="82" spans="1:5" x14ac:dyDescent="0.3">
      <c r="A82">
        <v>80</v>
      </c>
      <c r="B82" s="59">
        <f>(Data!C82-Data!C81)/Data!C81</f>
        <v>4.4795984363044895E-3</v>
      </c>
      <c r="C82" s="59">
        <f>(Data!F82-Data!F81)/Data!F81</f>
        <v>1.6563532651232275E-2</v>
      </c>
      <c r="D82" s="59">
        <f>(Data!I82-Data!I81)/Data!I81</f>
        <v>1.3688301616016113E-3</v>
      </c>
      <c r="E82" s="59">
        <f>(Data!L82-Data!L81)/Data!L81</f>
        <v>-1.2293476589407696E-2</v>
      </c>
    </row>
    <row r="83" spans="1:5" x14ac:dyDescent="0.3">
      <c r="A83">
        <v>81</v>
      </c>
      <c r="B83" s="59">
        <f>(Data!C83-Data!C82)/Data!C82</f>
        <v>7.025931033491264E-4</v>
      </c>
      <c r="C83" s="59">
        <f>(Data!F83-Data!F82)/Data!F82</f>
        <v>3.0798377363800726E-3</v>
      </c>
      <c r="D83" s="59">
        <f>(Data!I83-Data!I82)/Data!I82</f>
        <v>-3.567636322651194E-4</v>
      </c>
      <c r="E83" s="59">
        <f>(Data!L83-Data!L82)/Data!L82</f>
        <v>9.9922237981978964E-3</v>
      </c>
    </row>
    <row r="84" spans="1:5" x14ac:dyDescent="0.3">
      <c r="A84">
        <v>82</v>
      </c>
      <c r="B84" s="59">
        <f>(Data!C84-Data!C83)/Data!C83</f>
        <v>8.5673925277203553E-3</v>
      </c>
      <c r="C84" s="59">
        <f>(Data!F84-Data!F83)/Data!F83</f>
        <v>5.3275012634745635E-3</v>
      </c>
      <c r="D84" s="59">
        <f>(Data!I84-Data!I83)/Data!I83</f>
        <v>-3.6066162646167319E-4</v>
      </c>
      <c r="E84" s="59">
        <f>(Data!L84-Data!L83)/Data!L83</f>
        <v>-3.6270714767304437E-3</v>
      </c>
    </row>
    <row r="85" spans="1:5" x14ac:dyDescent="0.3">
      <c r="A85">
        <v>83</v>
      </c>
      <c r="B85" s="59">
        <f>(Data!C85-Data!C84)/Data!C84</f>
        <v>-7.1418865944396052E-4</v>
      </c>
      <c r="C85" s="59">
        <f>(Data!F85-Data!F84)/Data!F84</f>
        <v>8.1106382836121076E-3</v>
      </c>
      <c r="D85" s="59">
        <f>(Data!I85-Data!I84)/Data!I84</f>
        <v>-3.7662399911575918E-4</v>
      </c>
      <c r="E85" s="59">
        <f>(Data!L85-Data!L84)/Data!L84</f>
        <v>1.0841347864745238E-2</v>
      </c>
    </row>
    <row r="86" spans="1:5" x14ac:dyDescent="0.3">
      <c r="A86">
        <v>84</v>
      </c>
      <c r="B86" s="59">
        <f>(Data!C86-Data!C85)/Data!C85</f>
        <v>3.1259043500576704E-3</v>
      </c>
      <c r="C86" s="59">
        <f>(Data!F86-Data!F85)/Data!F85</f>
        <v>-1.7593577746037689E-2</v>
      </c>
      <c r="D86" s="59">
        <f>(Data!I86-Data!I85)/Data!I85</f>
        <v>9.3576404354742508E-3</v>
      </c>
      <c r="E86" s="59">
        <f>(Data!L86-Data!L85)/Data!L85</f>
        <v>-1.0620201633983452E-2</v>
      </c>
    </row>
    <row r="87" spans="1:5" x14ac:dyDescent="0.3">
      <c r="A87">
        <v>85</v>
      </c>
      <c r="B87" s="59">
        <f>(Data!C87-Data!C86)/Data!C86</f>
        <v>1.0687077753775459E-3</v>
      </c>
      <c r="C87" s="59">
        <f>(Data!F87-Data!F86)/Data!F86</f>
        <v>3.4074411215576908E-3</v>
      </c>
      <c r="D87" s="59">
        <f>(Data!I87-Data!I86)/Data!I86</f>
        <v>4.0692711549535866E-3</v>
      </c>
      <c r="E87" s="59">
        <f>(Data!L87-Data!L86)/Data!L86</f>
        <v>3.6525326570922135E-3</v>
      </c>
    </row>
    <row r="88" spans="1:5" x14ac:dyDescent="0.3">
      <c r="A88">
        <v>86</v>
      </c>
      <c r="B88" s="59">
        <f>(Data!C88-Data!C87)/Data!C87</f>
        <v>1.7433853342918365E-3</v>
      </c>
      <c r="C88" s="59">
        <f>(Data!F88-Data!F87)/Data!F87</f>
        <v>1.2671165698104479E-3</v>
      </c>
      <c r="D88" s="59">
        <f>(Data!I88-Data!I87)/Data!I87</f>
        <v>-1.2134538998427417E-3</v>
      </c>
      <c r="E88" s="59">
        <f>(Data!L88-Data!L87)/Data!L87</f>
        <v>7.1818430400393775E-3</v>
      </c>
    </row>
    <row r="89" spans="1:5" x14ac:dyDescent="0.3">
      <c r="A89">
        <v>87</v>
      </c>
      <c r="B89" s="59">
        <f>(Data!C89-Data!C88)/Data!C88</f>
        <v>-4.0261279241578449E-3</v>
      </c>
      <c r="C89" s="59">
        <f>(Data!F89-Data!F88)/Data!F88</f>
        <v>-1.2150256256259394E-2</v>
      </c>
      <c r="D89" s="59">
        <f>(Data!I89-Data!I88)/Data!I88</f>
        <v>7.806248514494199E-3</v>
      </c>
      <c r="E89" s="59">
        <f>(Data!L89-Data!L88)/Data!L88</f>
        <v>-8.7693134684633505E-3</v>
      </c>
    </row>
    <row r="90" spans="1:5" x14ac:dyDescent="0.3">
      <c r="A90">
        <v>88</v>
      </c>
      <c r="B90" s="59">
        <f>(Data!C90-Data!C89)/Data!C89</f>
        <v>2.4715496262726938E-3</v>
      </c>
      <c r="C90" s="59">
        <f>(Data!F90-Data!F89)/Data!F89</f>
        <v>-9.2751529406175318E-3</v>
      </c>
      <c r="D90" s="59">
        <f>(Data!I90-Data!I89)/Data!I89</f>
        <v>-6.3345567778281212E-3</v>
      </c>
      <c r="E90" s="59">
        <f>(Data!L90-Data!L89)/Data!L89</f>
        <v>4.2290758903084993E-3</v>
      </c>
    </row>
    <row r="91" spans="1:5" x14ac:dyDescent="0.3">
      <c r="A91">
        <v>89</v>
      </c>
      <c r="B91" s="59">
        <f>(Data!C91-Data!C90)/Data!C90</f>
        <v>-1.0171026706909943E-3</v>
      </c>
      <c r="C91" s="59">
        <f>(Data!F91-Data!F90)/Data!F90</f>
        <v>-4.2930012655925057E-3</v>
      </c>
      <c r="D91" s="59">
        <f>(Data!I91-Data!I90)/Data!I90</f>
        <v>-3.8317209399343463E-3</v>
      </c>
      <c r="E91" s="59">
        <f>(Data!L91-Data!L90)/Data!L90</f>
        <v>-3.0863569236209976E-4</v>
      </c>
    </row>
    <row r="92" spans="1:5" x14ac:dyDescent="0.3">
      <c r="A92">
        <v>90</v>
      </c>
      <c r="B92" s="59">
        <f>(Data!C92-Data!C91)/Data!C91</f>
        <v>-2.1261277232105065E-3</v>
      </c>
      <c r="C92" s="59">
        <f>(Data!F92-Data!F91)/Data!F91</f>
        <v>-2.7758297368400516E-2</v>
      </c>
      <c r="D92" s="59">
        <f>(Data!I92-Data!I91)/Data!I91</f>
        <v>-1.4705049055562214E-2</v>
      </c>
      <c r="E92" s="59">
        <f>(Data!L92-Data!L91)/Data!L91</f>
        <v>3.847797218964099E-3</v>
      </c>
    </row>
    <row r="93" spans="1:5" x14ac:dyDescent="0.3">
      <c r="A93">
        <v>91</v>
      </c>
      <c r="B93" s="59">
        <f>(Data!C93-Data!C92)/Data!C92</f>
        <v>-4.0234022532672654E-3</v>
      </c>
      <c r="C93" s="59">
        <f>(Data!F93-Data!F92)/Data!F92</f>
        <v>7.7378297577048918E-3</v>
      </c>
      <c r="D93" s="59">
        <f>(Data!I93-Data!I92)/Data!I92</f>
        <v>2.2160528016779038E-3</v>
      </c>
      <c r="E93" s="59">
        <f>(Data!L93-Data!L92)/Data!L92</f>
        <v>-1.1758217449926939E-2</v>
      </c>
    </row>
    <row r="94" spans="1:5" x14ac:dyDescent="0.3">
      <c r="A94">
        <v>92</v>
      </c>
      <c r="B94" s="59">
        <f>(Data!C94-Data!C93)/Data!C93</f>
        <v>1.7121541196234353E-3</v>
      </c>
      <c r="C94" s="59">
        <f>(Data!F94-Data!F93)/Data!F93</f>
        <v>-1.34737625104838E-2</v>
      </c>
      <c r="D94" s="59">
        <f>(Data!I94-Data!I93)/Data!I93</f>
        <v>-1.4857551577760301E-2</v>
      </c>
      <c r="E94" s="59">
        <f>(Data!L94-Data!L93)/Data!L93</f>
        <v>4.0424229251325265E-3</v>
      </c>
    </row>
    <row r="95" spans="1:5" x14ac:dyDescent="0.3">
      <c r="A95">
        <v>93</v>
      </c>
      <c r="B95" s="59">
        <f>(Data!C95-Data!C94)/Data!C94</f>
        <v>-6.3455103018463079E-3</v>
      </c>
      <c r="C95" s="59">
        <f>(Data!F95-Data!F94)/Data!F94</f>
        <v>1.4557743061961194E-3</v>
      </c>
      <c r="D95" s="59">
        <f>(Data!I95-Data!I94)/Data!I94</f>
        <v>8.2683050749545878E-3</v>
      </c>
      <c r="E95" s="59">
        <f>(Data!L95-Data!L94)/Data!L94</f>
        <v>-1.0508709846834699E-2</v>
      </c>
    </row>
    <row r="96" spans="1:5" x14ac:dyDescent="0.3">
      <c r="A96">
        <v>94</v>
      </c>
      <c r="B96" s="59">
        <f>(Data!C96-Data!C95)/Data!C95</f>
        <v>1.8619344893302517E-3</v>
      </c>
      <c r="C96" s="59">
        <f>(Data!F96-Data!F95)/Data!F95</f>
        <v>-1.2860440443646173E-2</v>
      </c>
      <c r="D96" s="59">
        <f>(Data!I96-Data!I95)/Data!I95</f>
        <v>-1.9416652585217051E-2</v>
      </c>
      <c r="E96" s="59">
        <f>(Data!L96-Data!L95)/Data!L95</f>
        <v>-1.6724855245521034E-2</v>
      </c>
    </row>
    <row r="97" spans="1:5" x14ac:dyDescent="0.3">
      <c r="A97">
        <v>95</v>
      </c>
      <c r="B97" s="59">
        <f>(Data!C97-Data!C96)/Data!C96</f>
        <v>-1.3724669170993424E-2</v>
      </c>
      <c r="C97" s="59">
        <f>(Data!F97-Data!F96)/Data!F96</f>
        <v>-2.7619610893598661E-3</v>
      </c>
      <c r="D97" s="59">
        <f>(Data!I97-Data!I96)/Data!I96</f>
        <v>-2.3387085056920838E-3</v>
      </c>
      <c r="E97" s="59">
        <f>(Data!L97-Data!L96)/Data!L96</f>
        <v>9.9635595020524503E-3</v>
      </c>
    </row>
    <row r="98" spans="1:5" x14ac:dyDescent="0.3">
      <c r="A98">
        <v>96</v>
      </c>
      <c r="B98" s="59">
        <f>(Data!C98-Data!C97)/Data!C97</f>
        <v>2.2045773020528221E-3</v>
      </c>
      <c r="C98" s="59">
        <f>(Data!F98-Data!F97)/Data!F97</f>
        <v>-1.8182657969855329E-2</v>
      </c>
      <c r="D98" s="59">
        <f>(Data!I98-Data!I97)/Data!I97</f>
        <v>8.8246933881750266E-3</v>
      </c>
      <c r="E98" s="59">
        <f>(Data!L98-Data!L97)/Data!L97</f>
        <v>4.5811523534872783E-3</v>
      </c>
    </row>
    <row r="99" spans="1:5" x14ac:dyDescent="0.3">
      <c r="A99">
        <v>97</v>
      </c>
      <c r="B99" s="59">
        <f>(Data!C99-Data!C98)/Data!C98</f>
        <v>-8.6043552078701492E-3</v>
      </c>
      <c r="C99" s="59">
        <f>(Data!F99-Data!F98)/Data!F98</f>
        <v>4.9745822673390137E-3</v>
      </c>
      <c r="D99" s="59">
        <f>(Data!I99-Data!I98)/Data!I98</f>
        <v>-1.9588793188229144E-2</v>
      </c>
      <c r="E99" s="59">
        <f>(Data!L99-Data!L98)/Data!L98</f>
        <v>-8.4305976619364325E-3</v>
      </c>
    </row>
    <row r="100" spans="1:5" x14ac:dyDescent="0.3">
      <c r="A100">
        <v>98</v>
      </c>
      <c r="B100" s="59">
        <f>(Data!C100-Data!C99)/Data!C99</f>
        <v>6.1786899400682943E-3</v>
      </c>
      <c r="C100" s="59">
        <f>(Data!F100-Data!F99)/Data!F99</f>
        <v>1.6064284535243195E-2</v>
      </c>
      <c r="D100" s="59">
        <f>(Data!I100-Data!I99)/Data!I99</f>
        <v>9.7955858945755047E-3</v>
      </c>
      <c r="E100" s="59">
        <f>(Data!L100-Data!L99)/Data!L99</f>
        <v>-3.7579177672991343E-3</v>
      </c>
    </row>
    <row r="101" spans="1:5" x14ac:dyDescent="0.3">
      <c r="A101">
        <v>99</v>
      </c>
      <c r="B101" s="59">
        <f>(Data!C101-Data!C100)/Data!C100</f>
        <v>7.5840311129960977E-4</v>
      </c>
      <c r="C101" s="59">
        <f>(Data!F101-Data!F100)/Data!F100</f>
        <v>-1.4143930754880822E-2</v>
      </c>
      <c r="D101" s="59">
        <f>(Data!I101-Data!I100)/Data!I100</f>
        <v>-4.5742379874241261E-3</v>
      </c>
      <c r="E101" s="59">
        <f>(Data!L101-Data!L100)/Data!L100</f>
        <v>-5.3562574057392865E-3</v>
      </c>
    </row>
    <row r="102" spans="1:5" x14ac:dyDescent="0.3">
      <c r="A102">
        <v>100</v>
      </c>
      <c r="B102" s="59">
        <f>(Data!C102-Data!C101)/Data!C101</f>
        <v>3.0679575043312929E-3</v>
      </c>
      <c r="C102" s="59">
        <f>(Data!F102-Data!F101)/Data!F101</f>
        <v>-1.0646148865401961E-2</v>
      </c>
      <c r="D102" s="59">
        <f>(Data!I102-Data!I101)/Data!I101</f>
        <v>1.2178448451897294E-2</v>
      </c>
      <c r="E102" s="59">
        <f>(Data!L102-Data!L101)/Data!L101</f>
        <v>-5.0599791568566822E-3</v>
      </c>
    </row>
    <row r="103" spans="1:5" x14ac:dyDescent="0.3">
      <c r="A103">
        <v>101</v>
      </c>
      <c r="B103" s="59">
        <f>(Data!C103-Data!C102)/Data!C102</f>
        <v>-4.9473505407420315E-3</v>
      </c>
      <c r="C103" s="59">
        <f>(Data!F103-Data!F102)/Data!F102</f>
        <v>-2.109651382675225E-3</v>
      </c>
      <c r="D103" s="59">
        <f>(Data!I103-Data!I102)/Data!I102</f>
        <v>-7.0664914265583965E-3</v>
      </c>
      <c r="E103" s="59">
        <f>(Data!L103-Data!L102)/Data!L102</f>
        <v>-6.8692953059530711E-3</v>
      </c>
    </row>
    <row r="104" spans="1:5" x14ac:dyDescent="0.3">
      <c r="A104">
        <v>102</v>
      </c>
      <c r="B104" s="59">
        <f>(Data!C104-Data!C103)/Data!C103</f>
        <v>8.6208034180800981E-3</v>
      </c>
      <c r="C104" s="59">
        <f>(Data!F104-Data!F103)/Data!F103</f>
        <v>4.7380906717401734E-3</v>
      </c>
      <c r="D104" s="59">
        <f>(Data!I104-Data!I103)/Data!I103</f>
        <v>1.0779929052201475E-2</v>
      </c>
      <c r="E104" s="59">
        <f>(Data!L104-Data!L103)/Data!L103</f>
        <v>2.3642233613070198E-3</v>
      </c>
    </row>
    <row r="105" spans="1:5" x14ac:dyDescent="0.3">
      <c r="A105">
        <v>103</v>
      </c>
      <c r="B105" s="59">
        <f>(Data!C105-Data!C104)/Data!C104</f>
        <v>8.4812816194133941E-3</v>
      </c>
      <c r="C105" s="59">
        <f>(Data!F105-Data!F104)/Data!F104</f>
        <v>1.3168734087826652E-2</v>
      </c>
      <c r="D105" s="59">
        <f>(Data!I105-Data!I104)/Data!I104</f>
        <v>2.2133829785846108E-3</v>
      </c>
      <c r="E105" s="59">
        <f>(Data!L105-Data!L104)/Data!L104</f>
        <v>-2.5243073584190118E-2</v>
      </c>
    </row>
    <row r="106" spans="1:5" x14ac:dyDescent="0.3">
      <c r="A106">
        <v>104</v>
      </c>
      <c r="B106" s="59">
        <f>(Data!C106-Data!C105)/Data!C105</f>
        <v>8.8229860643219485E-3</v>
      </c>
      <c r="C106" s="59">
        <f>(Data!F106-Data!F105)/Data!F105</f>
        <v>-2.1785732959208969E-4</v>
      </c>
      <c r="D106" s="59">
        <f>(Data!I106-Data!I105)/Data!I105</f>
        <v>1.0716068433960639E-2</v>
      </c>
      <c r="E106" s="59">
        <f>(Data!L106-Data!L105)/Data!L105</f>
        <v>5.3027975467629458E-4</v>
      </c>
    </row>
    <row r="107" spans="1:5" x14ac:dyDescent="0.3">
      <c r="A107">
        <v>105</v>
      </c>
      <c r="B107" s="59">
        <f>(Data!C107-Data!C106)/Data!C106</f>
        <v>3.4732671751059457E-3</v>
      </c>
      <c r="C107" s="59">
        <f>(Data!F107-Data!F106)/Data!F106</f>
        <v>-1.2919507604877534E-2</v>
      </c>
      <c r="D107" s="59">
        <f>(Data!I107-Data!I106)/Data!I106</f>
        <v>2.428552764721756E-3</v>
      </c>
      <c r="E107" s="59">
        <f>(Data!L107-Data!L106)/Data!L106</f>
        <v>-9.5538783494682894E-3</v>
      </c>
    </row>
    <row r="108" spans="1:5" x14ac:dyDescent="0.3">
      <c r="A108">
        <v>106</v>
      </c>
      <c r="B108" s="59">
        <f>(Data!C108-Data!C107)/Data!C107</f>
        <v>-7.094202737347218E-3</v>
      </c>
      <c r="C108" s="59">
        <f>(Data!F108-Data!F107)/Data!F107</f>
        <v>5.974232844026821E-3</v>
      </c>
      <c r="D108" s="59">
        <f>(Data!I108-Data!I107)/Data!I107</f>
        <v>-1.5957155745019186E-2</v>
      </c>
      <c r="E108" s="59">
        <f>(Data!L108-Data!L107)/Data!L107</f>
        <v>-8.4023887914087061E-3</v>
      </c>
    </row>
    <row r="109" spans="1:5" x14ac:dyDescent="0.3">
      <c r="A109">
        <v>107</v>
      </c>
      <c r="B109" s="59">
        <f>(Data!C109-Data!C108)/Data!C108</f>
        <v>8.7490424816761229E-3</v>
      </c>
      <c r="C109" s="59">
        <f>(Data!F109-Data!F108)/Data!F108</f>
        <v>1.566294763103069E-3</v>
      </c>
      <c r="D109" s="59">
        <f>(Data!I109-Data!I108)/Data!I108</f>
        <v>1.0413909482083181E-2</v>
      </c>
      <c r="E109" s="59">
        <f>(Data!L109-Data!L108)/Data!L108</f>
        <v>9.5284184080833348E-3</v>
      </c>
    </row>
    <row r="110" spans="1:5" x14ac:dyDescent="0.3">
      <c r="A110">
        <v>108</v>
      </c>
      <c r="B110" s="59">
        <f>(Data!C110-Data!C109)/Data!C109</f>
        <v>1.0792376622543276E-3</v>
      </c>
      <c r="C110" s="59">
        <f>(Data!F110-Data!F109)/Data!F109</f>
        <v>4.9852704367380157E-4</v>
      </c>
      <c r="D110" s="59">
        <f>(Data!I110-Data!I109)/Data!I109</f>
        <v>-3.6209558749964021E-3</v>
      </c>
      <c r="E110" s="59">
        <f>(Data!L110-Data!L109)/Data!L109</f>
        <v>1.3786161913105119E-2</v>
      </c>
    </row>
    <row r="111" spans="1:5" x14ac:dyDescent="0.3">
      <c r="A111">
        <v>109</v>
      </c>
      <c r="B111" s="59">
        <f>(Data!C111-Data!C110)/Data!C110</f>
        <v>-1.0281357433985861E-3</v>
      </c>
      <c r="C111" s="59">
        <f>(Data!F111-Data!F110)/Data!F110</f>
        <v>-1.2543263165827868E-2</v>
      </c>
      <c r="D111" s="59">
        <f>(Data!I111-Data!I110)/Data!I110</f>
        <v>2.56399295005318E-3</v>
      </c>
      <c r="E111" s="59">
        <f>(Data!L111-Data!L110)/Data!L110</f>
        <v>9.8902340511111894E-3</v>
      </c>
    </row>
    <row r="112" spans="1:5" x14ac:dyDescent="0.3">
      <c r="A112">
        <v>110</v>
      </c>
      <c r="B112" s="59">
        <f>(Data!C112-Data!C111)/Data!C111</f>
        <v>3.97369856319845E-3</v>
      </c>
      <c r="C112" s="59">
        <f>(Data!F112-Data!F111)/Data!F111</f>
        <v>-2.2801964507233531E-3</v>
      </c>
      <c r="D112" s="59">
        <f>(Data!I112-Data!I111)/Data!I111</f>
        <v>1.2585977806992174E-2</v>
      </c>
      <c r="E112" s="59">
        <f>(Data!L112-Data!L111)/Data!L111</f>
        <v>-1.1679099798363733E-2</v>
      </c>
    </row>
    <row r="113" spans="1:5" x14ac:dyDescent="0.3">
      <c r="A113">
        <v>111</v>
      </c>
      <c r="B113" s="59">
        <f>(Data!C113-Data!C112)/Data!C112</f>
        <v>2.1605124999145341E-3</v>
      </c>
      <c r="C113" s="59">
        <f>(Data!F113-Data!F112)/Data!F112</f>
        <v>-3.7898408636215298E-3</v>
      </c>
      <c r="D113" s="59">
        <f>(Data!I113-Data!I112)/Data!I112</f>
        <v>7.2982788695738245E-3</v>
      </c>
      <c r="E113" s="59">
        <f>(Data!L113-Data!L112)/Data!L112</f>
        <v>7.1642901731265082E-3</v>
      </c>
    </row>
    <row r="114" spans="1:5" x14ac:dyDescent="0.3">
      <c r="A114">
        <v>112</v>
      </c>
      <c r="B114" s="59">
        <f>(Data!C114-Data!C113)/Data!C113</f>
        <v>-3.9529931373905947E-3</v>
      </c>
      <c r="C114" s="59">
        <f>(Data!F114-Data!F113)/Data!F113</f>
        <v>7.6263670150248869E-3</v>
      </c>
      <c r="D114" s="59">
        <f>(Data!I114-Data!I113)/Data!I113</f>
        <v>-9.2975369874286791E-3</v>
      </c>
      <c r="E114" s="59">
        <f>(Data!L114-Data!L113)/Data!L113</f>
        <v>1.4942206092618877E-2</v>
      </c>
    </row>
    <row r="115" spans="1:5" x14ac:dyDescent="0.3">
      <c r="A115">
        <v>113</v>
      </c>
      <c r="B115" s="59">
        <f>(Data!C115-Data!C114)/Data!C114</f>
        <v>-9.4844767122883428E-4</v>
      </c>
      <c r="C115" s="59">
        <f>(Data!F115-Data!F114)/Data!F114</f>
        <v>1.1209656112094446E-3</v>
      </c>
      <c r="D115" s="59">
        <f>(Data!I115-Data!I114)/Data!I114</f>
        <v>-1.6295665579350888E-2</v>
      </c>
      <c r="E115" s="59">
        <f>(Data!L115-Data!L114)/Data!L114</f>
        <v>3.1267999670863502E-3</v>
      </c>
    </row>
    <row r="116" spans="1:5" x14ac:dyDescent="0.3">
      <c r="A116">
        <v>114</v>
      </c>
      <c r="B116" s="59">
        <f>(Data!C116-Data!C115)/Data!C115</f>
        <v>1.8380493665326805E-3</v>
      </c>
      <c r="C116" s="59">
        <f>(Data!F116-Data!F115)/Data!F115</f>
        <v>1.43845363183734E-2</v>
      </c>
      <c r="D116" s="59">
        <f>(Data!I116-Data!I115)/Data!I115</f>
        <v>-1.9713929087617063E-3</v>
      </c>
      <c r="E116" s="59">
        <f>(Data!L116-Data!L115)/Data!L115</f>
        <v>9.242322907701675E-3</v>
      </c>
    </row>
    <row r="117" spans="1:5" x14ac:dyDescent="0.3">
      <c r="A117">
        <v>115</v>
      </c>
      <c r="B117" s="59">
        <f>(Data!C117-Data!C116)/Data!C116</f>
        <v>4.7809111912511899E-3</v>
      </c>
      <c r="C117" s="59">
        <f>(Data!F117-Data!F116)/Data!F116</f>
        <v>9.0128022427504555E-3</v>
      </c>
      <c r="D117" s="59">
        <f>(Data!I117-Data!I116)/Data!I116</f>
        <v>9.4746908025041456E-3</v>
      </c>
      <c r="E117" s="59">
        <f>(Data!L117-Data!L116)/Data!L116</f>
        <v>8.0165099415928642E-3</v>
      </c>
    </row>
    <row r="118" spans="1:5" x14ac:dyDescent="0.3">
      <c r="A118">
        <v>116</v>
      </c>
      <c r="B118" s="59">
        <f>(Data!C118-Data!C117)/Data!C117</f>
        <v>9.1016050531687615E-3</v>
      </c>
      <c r="C118" s="59">
        <f>(Data!F118-Data!F117)/Data!F117</f>
        <v>-4.8324832252972707E-3</v>
      </c>
      <c r="D118" s="59">
        <f>(Data!I118-Data!I117)/Data!I117</f>
        <v>-5.3274658314246401E-3</v>
      </c>
      <c r="E118" s="59">
        <f>(Data!L118-Data!L117)/Data!L117</f>
        <v>-6.570921688504862E-3</v>
      </c>
    </row>
    <row r="119" spans="1:5" x14ac:dyDescent="0.3">
      <c r="A119">
        <v>117</v>
      </c>
      <c r="B119" s="59">
        <f>(Data!C119-Data!C118)/Data!C118</f>
        <v>-3.0322960411387533E-3</v>
      </c>
      <c r="C119" s="59">
        <f>(Data!F119-Data!F118)/Data!F118</f>
        <v>8.0395257093819736E-4</v>
      </c>
      <c r="D119" s="59">
        <f>(Data!I119-Data!I118)/Data!I118</f>
        <v>2.0383912378749737E-2</v>
      </c>
      <c r="E119" s="59">
        <f>(Data!L119-Data!L118)/Data!L118</f>
        <v>4.1112030346282394E-3</v>
      </c>
    </row>
    <row r="120" spans="1:5" x14ac:dyDescent="0.3">
      <c r="A120">
        <v>118</v>
      </c>
      <c r="B120" s="59">
        <f>(Data!C120-Data!C119)/Data!C119</f>
        <v>-6.5622086765430845E-3</v>
      </c>
      <c r="C120" s="59">
        <f>(Data!F120-Data!F119)/Data!F119</f>
        <v>-2.4700648562108692E-3</v>
      </c>
      <c r="D120" s="59">
        <f>(Data!I120-Data!I119)/Data!I119</f>
        <v>-3.0914391569243386E-3</v>
      </c>
      <c r="E120" s="59">
        <f>(Data!L120-Data!L119)/Data!L119</f>
        <v>-1.4648879907535387E-2</v>
      </c>
    </row>
    <row r="121" spans="1:5" x14ac:dyDescent="0.3">
      <c r="A121">
        <v>119</v>
      </c>
      <c r="B121" s="59">
        <f>(Data!C121-Data!C120)/Data!C120</f>
        <v>-5.7541700458761252E-3</v>
      </c>
      <c r="C121" s="59">
        <f>(Data!F121-Data!F120)/Data!F120</f>
        <v>-5.2246688234804349E-3</v>
      </c>
      <c r="D121" s="59">
        <f>(Data!I121-Data!I120)/Data!I120</f>
        <v>-1.630993242650234E-2</v>
      </c>
      <c r="E121" s="59">
        <f>(Data!L121-Data!L120)/Data!L120</f>
        <v>3.4012599072987156E-3</v>
      </c>
    </row>
    <row r="122" spans="1:5" x14ac:dyDescent="0.3">
      <c r="A122">
        <v>120</v>
      </c>
      <c r="B122" s="59">
        <f>(Data!C122-Data!C121)/Data!C121</f>
        <v>4.8847286524287027E-3</v>
      </c>
      <c r="C122" s="59">
        <f>(Data!F122-Data!F121)/Data!F121</f>
        <v>-8.4759979436518449E-3</v>
      </c>
      <c r="D122" s="59">
        <f>(Data!I122-Data!I121)/Data!I121</f>
        <v>-3.9483117638250268E-4</v>
      </c>
      <c r="E122" s="59">
        <f>(Data!L122-Data!L121)/Data!L121</f>
        <v>2.989133299246824E-4</v>
      </c>
    </row>
    <row r="123" spans="1:5" x14ac:dyDescent="0.3">
      <c r="A123">
        <v>121</v>
      </c>
      <c r="B123" s="59">
        <f>(Data!C123-Data!C122)/Data!C122</f>
        <v>-1.0403516539228181E-3</v>
      </c>
      <c r="C123" s="59">
        <f>(Data!F123-Data!F122)/Data!F122</f>
        <v>-2.2094683548483367E-2</v>
      </c>
      <c r="D123" s="59">
        <f>(Data!I123-Data!I122)/Data!I122</f>
        <v>-9.7982701750603009E-3</v>
      </c>
      <c r="E123" s="59">
        <f>(Data!L123-Data!L122)/Data!L122</f>
        <v>-5.478407553130454E-3</v>
      </c>
    </row>
    <row r="124" spans="1:5" x14ac:dyDescent="0.3">
      <c r="A124">
        <v>122</v>
      </c>
      <c r="B124" s="59">
        <f>(Data!C124-Data!C123)/Data!C123</f>
        <v>4.9264450595979167E-3</v>
      </c>
      <c r="C124" s="59">
        <f>(Data!F124-Data!F123)/Data!F123</f>
        <v>-1.3797885748594225E-3</v>
      </c>
      <c r="D124" s="59">
        <f>(Data!I124-Data!I123)/Data!I123</f>
        <v>-1.4105065314900002E-2</v>
      </c>
      <c r="E124" s="59">
        <f>(Data!L124-Data!L123)/Data!L123</f>
        <v>8.8891750273310047E-3</v>
      </c>
    </row>
    <row r="125" spans="1:5" x14ac:dyDescent="0.3">
      <c r="A125">
        <v>123</v>
      </c>
      <c r="B125" s="59">
        <f>(Data!C125-Data!C124)/Data!C124</f>
        <v>4.6441830259694008E-3</v>
      </c>
      <c r="C125" s="59">
        <f>(Data!F125-Data!F124)/Data!F124</f>
        <v>5.1755519657256891E-3</v>
      </c>
      <c r="D125" s="59">
        <f>(Data!I125-Data!I124)/Data!I124</f>
        <v>6.9512320847692835E-3</v>
      </c>
      <c r="E125" s="59">
        <f>(Data!L125-Data!L124)/Data!L124</f>
        <v>-3.1192507322928133E-3</v>
      </c>
    </row>
    <row r="126" spans="1:5" x14ac:dyDescent="0.3">
      <c r="A126">
        <v>124</v>
      </c>
      <c r="B126" s="59">
        <f>(Data!C126-Data!C125)/Data!C125</f>
        <v>3.5382272090601356E-3</v>
      </c>
      <c r="C126" s="59">
        <f>(Data!F126-Data!F125)/Data!F125</f>
        <v>1.5432318252284331E-2</v>
      </c>
      <c r="D126" s="59">
        <f>(Data!I126-Data!I125)/Data!I125</f>
        <v>4.8463603964105269E-3</v>
      </c>
      <c r="E126" s="59">
        <f>(Data!L126-Data!L125)/Data!L125</f>
        <v>1.1278687935242053E-2</v>
      </c>
    </row>
    <row r="127" spans="1:5" x14ac:dyDescent="0.3">
      <c r="A127">
        <v>125</v>
      </c>
      <c r="B127" s="59">
        <f>(Data!C127-Data!C126)/Data!C126</f>
        <v>2.8241823171378795E-3</v>
      </c>
      <c r="C127" s="59">
        <f>(Data!F127-Data!F126)/Data!F126</f>
        <v>3.903155192247995E-3</v>
      </c>
      <c r="D127" s="59">
        <f>(Data!I127-Data!I126)/Data!I126</f>
        <v>6.3371849925977853E-3</v>
      </c>
      <c r="E127" s="59">
        <f>(Data!L127-Data!L126)/Data!L126</f>
        <v>9.9934450697891416E-3</v>
      </c>
    </row>
    <row r="128" spans="1:5" x14ac:dyDescent="0.3">
      <c r="A128">
        <v>126</v>
      </c>
      <c r="B128" s="59">
        <f>(Data!C128-Data!C127)/Data!C127</f>
        <v>-2.6237996566552441E-4</v>
      </c>
      <c r="C128" s="59">
        <f>(Data!F128-Data!F127)/Data!F127</f>
        <v>8.7506232745725599E-3</v>
      </c>
      <c r="D128" s="59">
        <f>(Data!I128-Data!I127)/Data!I127</f>
        <v>8.1636423634101063E-3</v>
      </c>
      <c r="E128" s="59">
        <f>(Data!L128-Data!L127)/Data!L127</f>
        <v>-1.6886669858202943E-2</v>
      </c>
    </row>
    <row r="129" spans="1:5" x14ac:dyDescent="0.3">
      <c r="A129">
        <v>127</v>
      </c>
      <c r="B129" s="59">
        <f>(Data!C129-Data!C128)/Data!C128</f>
        <v>-1.4416744482073506E-3</v>
      </c>
      <c r="C129" s="59">
        <f>(Data!F129-Data!F128)/Data!F128</f>
        <v>-8.4132942790553326E-3</v>
      </c>
      <c r="D129" s="59">
        <f>(Data!I129-Data!I128)/Data!I128</f>
        <v>4.8436400850388212E-3</v>
      </c>
      <c r="E129" s="59">
        <f>(Data!L129-Data!L128)/Data!L128</f>
        <v>-6.715488764732565E-3</v>
      </c>
    </row>
    <row r="130" spans="1:5" x14ac:dyDescent="0.3">
      <c r="A130">
        <v>128</v>
      </c>
      <c r="B130" s="59">
        <f>(Data!C130-Data!C129)/Data!C129</f>
        <v>-7.1138879740945352E-3</v>
      </c>
      <c r="C130" s="59">
        <f>(Data!F130-Data!F129)/Data!F129</f>
        <v>-1.5160383613654682E-2</v>
      </c>
      <c r="D130" s="59">
        <f>(Data!I130-Data!I129)/Data!I129</f>
        <v>-2.4258937440050143E-2</v>
      </c>
      <c r="E130" s="59">
        <f>(Data!L130-Data!L129)/Data!L129</f>
        <v>-4.4954583269565668E-3</v>
      </c>
    </row>
    <row r="131" spans="1:5" x14ac:dyDescent="0.3">
      <c r="A131">
        <v>129</v>
      </c>
      <c r="B131" s="59">
        <f>(Data!C131-Data!C130)/Data!C130</f>
        <v>-4.0059919541401623E-3</v>
      </c>
      <c r="C131" s="59">
        <f>(Data!F131-Data!F130)/Data!F130</f>
        <v>-6.5734849676426753E-3</v>
      </c>
      <c r="D131" s="59">
        <f>(Data!I131-Data!I130)/Data!I130</f>
        <v>2.3928644342796541E-3</v>
      </c>
      <c r="E131" s="59">
        <f>(Data!L131-Data!L130)/Data!L130</f>
        <v>9.8990773909032933E-3</v>
      </c>
    </row>
    <row r="132" spans="1:5" x14ac:dyDescent="0.3">
      <c r="A132">
        <v>130</v>
      </c>
      <c r="B132" s="59">
        <f>(Data!C132-Data!C131)/Data!C131</f>
        <v>6.3892546712602119E-3</v>
      </c>
      <c r="C132" s="59">
        <f>(Data!F132-Data!F131)/Data!F131</f>
        <v>-1.5470072847323334E-2</v>
      </c>
      <c r="D132" s="59">
        <f>(Data!I132-Data!I131)/Data!I131</f>
        <v>4.4832899385457035E-3</v>
      </c>
      <c r="E132" s="59">
        <f>(Data!L132-Data!L131)/Data!L131</f>
        <v>3.6629823461151469E-3</v>
      </c>
    </row>
    <row r="133" spans="1:5" x14ac:dyDescent="0.3">
      <c r="A133">
        <v>131</v>
      </c>
      <c r="B133" s="59">
        <f>(Data!C133-Data!C132)/Data!C132</f>
        <v>-7.602164923620233E-3</v>
      </c>
      <c r="C133" s="59">
        <f>(Data!F133-Data!F132)/Data!F132</f>
        <v>-8.1808173185224167E-3</v>
      </c>
      <c r="D133" s="59">
        <f>(Data!I133-Data!I132)/Data!I132</f>
        <v>-1.4330822701165903E-2</v>
      </c>
      <c r="E133" s="59">
        <f>(Data!L133-Data!L132)/Data!L132</f>
        <v>1.3185879427465881E-2</v>
      </c>
    </row>
    <row r="134" spans="1:5" x14ac:dyDescent="0.3">
      <c r="A134">
        <v>132</v>
      </c>
      <c r="B134" s="59">
        <f>(Data!C134-Data!C133)/Data!C133</f>
        <v>7.9194084074941801E-3</v>
      </c>
      <c r="C134" s="59">
        <f>(Data!F134-Data!F133)/Data!F133</f>
        <v>4.1826330536574932E-3</v>
      </c>
      <c r="D134" s="59">
        <f>(Data!I134-Data!I133)/Data!I133</f>
        <v>6.3552497664351839E-3</v>
      </c>
      <c r="E134" s="59">
        <f>(Data!L134-Data!L133)/Data!L133</f>
        <v>-1.1123539930007212E-2</v>
      </c>
    </row>
    <row r="135" spans="1:5" x14ac:dyDescent="0.3">
      <c r="A135">
        <v>133</v>
      </c>
      <c r="B135" s="59">
        <f>(Data!C135-Data!C134)/Data!C134</f>
        <v>3.3231159317151163E-3</v>
      </c>
      <c r="C135" s="59">
        <f>(Data!F135-Data!F134)/Data!F134</f>
        <v>1.4133082652825842E-2</v>
      </c>
      <c r="D135" s="59">
        <f>(Data!I135-Data!I134)/Data!I134</f>
        <v>-5.1605498167522895E-3</v>
      </c>
      <c r="E135" s="59">
        <f>(Data!L135-Data!L134)/Data!L134</f>
        <v>-1.2845813170642172E-2</v>
      </c>
    </row>
    <row r="136" spans="1:5" x14ac:dyDescent="0.3">
      <c r="A136">
        <v>134</v>
      </c>
      <c r="B136" s="59">
        <f>(Data!C136-Data!C135)/Data!C135</f>
        <v>2.428017769041398E-3</v>
      </c>
      <c r="C136" s="59">
        <f>(Data!F136-Data!F135)/Data!F135</f>
        <v>5.6079941470492329E-3</v>
      </c>
      <c r="D136" s="59">
        <f>(Data!I136-Data!I135)/Data!I135</f>
        <v>4.6075056840244703E-3</v>
      </c>
      <c r="E136" s="59">
        <f>(Data!L136-Data!L135)/Data!L135</f>
        <v>2.8232883187195783E-2</v>
      </c>
    </row>
    <row r="137" spans="1:5" x14ac:dyDescent="0.3">
      <c r="A137">
        <v>135</v>
      </c>
      <c r="B137" s="59">
        <f>(Data!C137-Data!C136)/Data!C136</f>
        <v>2.0685363919573665E-3</v>
      </c>
      <c r="C137" s="59">
        <f>(Data!F137-Data!F136)/Data!F136</f>
        <v>6.2981423093447335E-3</v>
      </c>
      <c r="D137" s="59">
        <f>(Data!I137-Data!I136)/Data!I136</f>
        <v>5.4386813748665552E-3</v>
      </c>
      <c r="E137" s="59">
        <f>(Data!L137-Data!L136)/Data!L136</f>
        <v>1.8542522928018412E-3</v>
      </c>
    </row>
    <row r="138" spans="1:5" x14ac:dyDescent="0.3">
      <c r="A138">
        <v>136</v>
      </c>
      <c r="B138" s="59">
        <f>(Data!C138-Data!C137)/Data!C137</f>
        <v>-3.9815191812947226E-4</v>
      </c>
      <c r="C138" s="59">
        <f>(Data!F138-Data!F137)/Data!F137</f>
        <v>-4.9098110046424566E-3</v>
      </c>
      <c r="D138" s="59">
        <f>(Data!I138-Data!I137)/Data!I137</f>
        <v>-3.346162900704931E-3</v>
      </c>
      <c r="E138" s="59">
        <f>(Data!L138-Data!L137)/Data!L137</f>
        <v>-2.6120017161350077E-3</v>
      </c>
    </row>
    <row r="139" spans="1:5" x14ac:dyDescent="0.3">
      <c r="A139">
        <v>137</v>
      </c>
      <c r="B139" s="59">
        <f>(Data!C139-Data!C138)/Data!C138</f>
        <v>-1.6912621635861431E-3</v>
      </c>
      <c r="C139" s="59">
        <f>(Data!F139-Data!F138)/Data!F138</f>
        <v>-4.2673562437332939E-3</v>
      </c>
      <c r="D139" s="59">
        <f>(Data!I139-Data!I138)/Data!I138</f>
        <v>2.6878013288883598E-3</v>
      </c>
      <c r="E139" s="59">
        <f>(Data!L139-Data!L138)/Data!L138</f>
        <v>8.612124203015803E-4</v>
      </c>
    </row>
    <row r="140" spans="1:5" x14ac:dyDescent="0.3">
      <c r="A140">
        <v>138</v>
      </c>
      <c r="B140" s="59">
        <f>(Data!C140-Data!C139)/Data!C139</f>
        <v>6.1988397272563387E-3</v>
      </c>
      <c r="C140" s="59">
        <f>(Data!F140-Data!F139)/Data!F139</f>
        <v>2.1661001175807795E-2</v>
      </c>
      <c r="D140" s="59">
        <f>(Data!I140-Data!I139)/Data!I139</f>
        <v>2.2541077170286617E-3</v>
      </c>
      <c r="E140" s="59">
        <f>(Data!L140-Data!L139)/Data!L139</f>
        <v>-9.8312361053062187E-3</v>
      </c>
    </row>
    <row r="141" spans="1:5" x14ac:dyDescent="0.3">
      <c r="A141">
        <v>139</v>
      </c>
      <c r="B141" s="59">
        <f>(Data!C141-Data!C140)/Data!C140</f>
        <v>7.6704094885201891E-3</v>
      </c>
      <c r="C141" s="59">
        <f>(Data!F141-Data!F140)/Data!F140</f>
        <v>2.8420941589444625E-3</v>
      </c>
      <c r="D141" s="59">
        <f>(Data!I141-Data!I140)/Data!I140</f>
        <v>6.2058924054526256E-3</v>
      </c>
      <c r="E141" s="59">
        <f>(Data!L141-Data!L140)/Data!L140</f>
        <v>-5.5073869258514766E-3</v>
      </c>
    </row>
    <row r="142" spans="1:5" x14ac:dyDescent="0.3">
      <c r="A142">
        <v>140</v>
      </c>
      <c r="B142" s="59">
        <f>(Data!C142-Data!C141)/Data!C141</f>
        <v>2.6927856925118674E-4</v>
      </c>
      <c r="C142" s="59">
        <f>(Data!F142-Data!F141)/Data!F141</f>
        <v>2.2863001819272192E-3</v>
      </c>
      <c r="D142" s="59">
        <f>(Data!I142-Data!I141)/Data!I141</f>
        <v>1.8101266420070801E-3</v>
      </c>
      <c r="E142" s="59">
        <f>(Data!L142-Data!L141)/Data!L141</f>
        <v>1.1050558570765649E-2</v>
      </c>
    </row>
    <row r="143" spans="1:5" x14ac:dyDescent="0.3">
      <c r="A143">
        <v>141</v>
      </c>
      <c r="B143" s="59">
        <f>(Data!C143-Data!C142)/Data!C142</f>
        <v>5.701433945571167E-3</v>
      </c>
      <c r="C143" s="59">
        <f>(Data!F143-Data!F142)/Data!F142</f>
        <v>-8.8817838145219524E-3</v>
      </c>
      <c r="D143" s="59">
        <f>(Data!I143-Data!I142)/Data!I142</f>
        <v>2.0428831706521353E-3</v>
      </c>
      <c r="E143" s="59">
        <f>(Data!L143-Data!L142)/Data!L142</f>
        <v>7.1273130620083044E-3</v>
      </c>
    </row>
    <row r="144" spans="1:5" x14ac:dyDescent="0.3">
      <c r="A144">
        <v>142</v>
      </c>
      <c r="B144" s="59">
        <f>(Data!C144-Data!C143)/Data!C143</f>
        <v>-4.4303289684483006E-3</v>
      </c>
      <c r="C144" s="59">
        <f>(Data!F144-Data!F143)/Data!F143</f>
        <v>-9.7819735570800134E-3</v>
      </c>
      <c r="D144" s="59">
        <f>(Data!I144-Data!I143)/Data!I143</f>
        <v>-1.9347577175899129E-3</v>
      </c>
      <c r="E144" s="59">
        <f>(Data!L144-Data!L143)/Data!L143</f>
        <v>1.4068392033915992E-2</v>
      </c>
    </row>
    <row r="145" spans="1:5" x14ac:dyDescent="0.3">
      <c r="A145">
        <v>143</v>
      </c>
      <c r="B145" s="59">
        <f>(Data!C145-Data!C144)/Data!C144</f>
        <v>1.344776055308613E-4</v>
      </c>
      <c r="C145" s="59">
        <f>(Data!F145-Data!F144)/Data!F144</f>
        <v>-6.3112536532344667E-3</v>
      </c>
      <c r="D145" s="59">
        <f>(Data!I145-Data!I144)/Data!I144</f>
        <v>-4.8014724874312111E-3</v>
      </c>
      <c r="E145" s="59">
        <f>(Data!L145-Data!L144)/Data!L144</f>
        <v>6.6949708725592397E-4</v>
      </c>
    </row>
    <row r="146" spans="1:5" x14ac:dyDescent="0.3">
      <c r="A146">
        <v>144</v>
      </c>
      <c r="B146" s="59">
        <f>(Data!C146-Data!C145)/Data!C145</f>
        <v>-1.6543222059174159E-3</v>
      </c>
      <c r="C146" s="59">
        <f>(Data!F146-Data!F145)/Data!F145</f>
        <v>9.4109305685455211E-3</v>
      </c>
      <c r="D146" s="59">
        <f>(Data!I146-Data!I145)/Data!I145</f>
        <v>-6.6372723337610297E-3</v>
      </c>
      <c r="E146" s="59">
        <f>(Data!L146-Data!L145)/Data!L145</f>
        <v>5.0628734283900958E-3</v>
      </c>
    </row>
    <row r="147" spans="1:5" x14ac:dyDescent="0.3">
      <c r="A147">
        <v>145</v>
      </c>
      <c r="B147" s="59">
        <f>(Data!C147-Data!C146)/Data!C146</f>
        <v>-2.8031266678487294E-3</v>
      </c>
      <c r="C147" s="59">
        <f>(Data!F147-Data!F146)/Data!F146</f>
        <v>-2.6078052855618001E-2</v>
      </c>
      <c r="D147" s="59">
        <f>(Data!I147-Data!I146)/Data!I146</f>
        <v>-6.6100717407229295E-3</v>
      </c>
      <c r="E147" s="59">
        <f>(Data!L147-Data!L146)/Data!L146</f>
        <v>-5.5459520310473442E-3</v>
      </c>
    </row>
    <row r="148" spans="1:5" x14ac:dyDescent="0.3">
      <c r="A148">
        <v>146</v>
      </c>
      <c r="B148" s="59">
        <f>(Data!C148-Data!C147)/Data!C147</f>
        <v>-3.6523051450785987E-3</v>
      </c>
      <c r="C148" s="59">
        <f>(Data!F148-Data!F147)/Data!F147</f>
        <v>-9.8748634962046011E-3</v>
      </c>
      <c r="D148" s="59">
        <f>(Data!I148-Data!I147)/Data!I147</f>
        <v>-1.5421580728053514E-2</v>
      </c>
      <c r="E148" s="59">
        <f>(Data!L148-Data!L147)/Data!L147</f>
        <v>3.1493686362156379E-3</v>
      </c>
    </row>
    <row r="149" spans="1:5" x14ac:dyDescent="0.3">
      <c r="A149">
        <v>147</v>
      </c>
      <c r="B149" s="59">
        <f>(Data!C149-Data!C148)/Data!C148</f>
        <v>-2.2133447617470312E-3</v>
      </c>
      <c r="C149" s="59">
        <f>(Data!F149-Data!F148)/Data!F148</f>
        <v>-5.0032214648344487E-5</v>
      </c>
      <c r="D149" s="59">
        <f>(Data!I149-Data!I148)/Data!I148</f>
        <v>-6.3960101392556024E-3</v>
      </c>
      <c r="E149" s="59">
        <f>(Data!L149-Data!L148)/Data!L148</f>
        <v>-3.8409926489699204E-3</v>
      </c>
    </row>
    <row r="150" spans="1:5" x14ac:dyDescent="0.3">
      <c r="A150">
        <v>148</v>
      </c>
      <c r="B150" s="59">
        <f>(Data!C150-Data!C149)/Data!C149</f>
        <v>1.8978267526508089E-3</v>
      </c>
      <c r="C150" s="59">
        <f>(Data!F150-Data!F149)/Data!F149</f>
        <v>-1.3348329733479658E-2</v>
      </c>
      <c r="D150" s="59">
        <f>(Data!I150-Data!I149)/Data!I149</f>
        <v>9.0219721487758923E-3</v>
      </c>
      <c r="E150" s="59">
        <f>(Data!L150-Data!L149)/Data!L149</f>
        <v>-7.4899768365838566E-3</v>
      </c>
    </row>
    <row r="151" spans="1:5" x14ac:dyDescent="0.3">
      <c r="A151">
        <v>149</v>
      </c>
      <c r="B151" s="59">
        <f>(Data!C151-Data!C150)/Data!C150</f>
        <v>3.7398415912945995E-3</v>
      </c>
      <c r="C151" s="59">
        <f>(Data!F151-Data!F150)/Data!F150</f>
        <v>-7.1719133264123618E-3</v>
      </c>
      <c r="D151" s="59">
        <f>(Data!I151-Data!I150)/Data!I150</f>
        <v>1.9040134830931881E-4</v>
      </c>
      <c r="E151" s="59">
        <f>(Data!L151-Data!L150)/Data!L150</f>
        <v>-8.0074484557507691E-4</v>
      </c>
    </row>
    <row r="152" spans="1:5" x14ac:dyDescent="0.3">
      <c r="A152">
        <v>150</v>
      </c>
      <c r="B152" s="59">
        <f>(Data!C152-Data!C151)/Data!C151</f>
        <v>3.5667183935811266E-4</v>
      </c>
      <c r="C152" s="59">
        <f>(Data!F152-Data!F151)/Data!F151</f>
        <v>-2.9335441018713965E-3</v>
      </c>
      <c r="D152" s="59">
        <f>(Data!I152-Data!I151)/Data!I151</f>
        <v>-7.4577299783707134E-4</v>
      </c>
      <c r="E152" s="59">
        <f>(Data!L152-Data!L151)/Data!L151</f>
        <v>-5.6201024842818534E-3</v>
      </c>
    </row>
    <row r="153" spans="1:5" x14ac:dyDescent="0.3">
      <c r="A153">
        <v>151</v>
      </c>
      <c r="B153" s="59">
        <f>(Data!C153-Data!C152)/Data!C152</f>
        <v>5.2822544106502813E-3</v>
      </c>
      <c r="C153" s="59">
        <f>(Data!F153-Data!F152)/Data!F152</f>
        <v>2.5410900678458383E-2</v>
      </c>
      <c r="D153" s="59">
        <f>(Data!I153-Data!I152)/Data!I152</f>
        <v>6.1224893757712041E-3</v>
      </c>
      <c r="E153" s="59">
        <f>(Data!L153-Data!L152)/Data!L152</f>
        <v>8.4567410927399705E-3</v>
      </c>
    </row>
    <row r="154" spans="1:5" x14ac:dyDescent="0.3">
      <c r="A154">
        <v>152</v>
      </c>
      <c r="B154" s="59">
        <f>(Data!C154-Data!C153)/Data!C153</f>
        <v>2.7548155373730498E-4</v>
      </c>
      <c r="C154" s="59">
        <f>(Data!F154-Data!F153)/Data!F153</f>
        <v>1.0065706205988957E-2</v>
      </c>
      <c r="D154" s="59">
        <f>(Data!I154-Data!I153)/Data!I153</f>
        <v>1.4214564902180395E-3</v>
      </c>
      <c r="E154" s="59">
        <f>(Data!L154-Data!L153)/Data!L153</f>
        <v>-2.0158874709252882E-2</v>
      </c>
    </row>
    <row r="155" spans="1:5" x14ac:dyDescent="0.3">
      <c r="A155">
        <v>153</v>
      </c>
      <c r="B155" s="59">
        <f>(Data!C155-Data!C154)/Data!C154</f>
        <v>-5.5697220329897499E-3</v>
      </c>
      <c r="C155" s="59">
        <f>(Data!F155-Data!F154)/Data!F154</f>
        <v>-1.2957385928696675E-2</v>
      </c>
      <c r="D155" s="59">
        <f>(Data!I155-Data!I154)/Data!I154</f>
        <v>-3.8712380304426761E-3</v>
      </c>
      <c r="E155" s="59">
        <f>(Data!L155-Data!L154)/Data!L154</f>
        <v>1.6007631915980517E-3</v>
      </c>
    </row>
    <row r="156" spans="1:5" x14ac:dyDescent="0.3">
      <c r="A156">
        <v>154</v>
      </c>
      <c r="B156" s="59">
        <f>(Data!C156-Data!C155)/Data!C155</f>
        <v>5.3690147247709239E-3</v>
      </c>
      <c r="C156" s="59">
        <f>(Data!F156-Data!F155)/Data!F155</f>
        <v>5.6366314446456367E-3</v>
      </c>
      <c r="D156" s="59">
        <f>(Data!I156-Data!I155)/Data!I155</f>
        <v>-5.3858140152609861E-3</v>
      </c>
      <c r="E156" s="59">
        <f>(Data!L156-Data!L155)/Data!L155</f>
        <v>1.5097052339805381E-2</v>
      </c>
    </row>
    <row r="157" spans="1:5" x14ac:dyDescent="0.3">
      <c r="A157">
        <v>155</v>
      </c>
      <c r="B157" s="59">
        <f>(Data!C157-Data!C156)/Data!C156</f>
        <v>1.2532725246468409E-3</v>
      </c>
      <c r="C157" s="59">
        <f>(Data!F157-Data!F156)/Data!F156</f>
        <v>1.1914824965175236E-2</v>
      </c>
      <c r="D157" s="59">
        <f>(Data!I157-Data!I156)/Data!I156</f>
        <v>1.6027318643589746E-3</v>
      </c>
      <c r="E157" s="59">
        <f>(Data!L157-Data!L156)/Data!L156</f>
        <v>-1.0711567225088606E-2</v>
      </c>
    </row>
    <row r="158" spans="1:5" x14ac:dyDescent="0.3">
      <c r="A158">
        <v>156</v>
      </c>
      <c r="B158" s="59">
        <f>(Data!C158-Data!C157)/Data!C157</f>
        <v>7.8405919579734688E-3</v>
      </c>
      <c r="C158" s="59">
        <f>(Data!F158-Data!F157)/Data!F157</f>
        <v>2.5650320772611663E-3</v>
      </c>
      <c r="D158" s="59">
        <f>(Data!I158-Data!I157)/Data!I157</f>
        <v>2.2673956246578725E-3</v>
      </c>
      <c r="E158" s="59">
        <f>(Data!L158-Data!L157)/Data!L157</f>
        <v>1.0948800701014814E-2</v>
      </c>
    </row>
    <row r="159" spans="1:5" x14ac:dyDescent="0.3">
      <c r="A159">
        <v>157</v>
      </c>
      <c r="B159" s="59">
        <f>(Data!C159-Data!C158)/Data!C158</f>
        <v>-3.6853296937642503E-4</v>
      </c>
      <c r="C159" s="59">
        <f>(Data!F159-Data!F158)/Data!F158</f>
        <v>1.7319887652444677E-2</v>
      </c>
      <c r="D159" s="59">
        <f>(Data!I159-Data!I158)/Data!I158</f>
        <v>6.5221095469170072E-3</v>
      </c>
      <c r="E159" s="59">
        <f>(Data!L159-Data!L158)/Data!L158</f>
        <v>1.2575358140847131E-2</v>
      </c>
    </row>
    <row r="160" spans="1:5" x14ac:dyDescent="0.3">
      <c r="A160">
        <v>158</v>
      </c>
      <c r="B160" s="59">
        <f>(Data!C160-Data!C159)/Data!C159</f>
        <v>-3.5156878673105706E-3</v>
      </c>
      <c r="C160" s="59">
        <f>(Data!F160-Data!F159)/Data!F159</f>
        <v>-1.6247988691704518E-2</v>
      </c>
      <c r="D160" s="59">
        <f>(Data!I160-Data!I159)/Data!I159</f>
        <v>8.1192386818306015E-3</v>
      </c>
      <c r="E160" s="59">
        <f>(Data!L160-Data!L159)/Data!L159</f>
        <v>2.5728824658788267E-3</v>
      </c>
    </row>
    <row r="161" spans="1:5" x14ac:dyDescent="0.3">
      <c r="A161">
        <v>159</v>
      </c>
      <c r="B161" s="59">
        <f>(Data!C161-Data!C160)/Data!C160</f>
        <v>-1.3050959101805544E-3</v>
      </c>
      <c r="C161" s="59">
        <f>(Data!F161-Data!F160)/Data!F160</f>
        <v>1.1544929134225137E-2</v>
      </c>
      <c r="D161" s="59">
        <f>(Data!I161-Data!I160)/Data!I160</f>
        <v>-5.4047012171121196E-3</v>
      </c>
      <c r="E161" s="59">
        <f>(Data!L161-Data!L160)/Data!L160</f>
        <v>4.895939511966714E-3</v>
      </c>
    </row>
    <row r="162" spans="1:5" x14ac:dyDescent="0.3">
      <c r="A162">
        <v>160</v>
      </c>
      <c r="B162" s="59">
        <f>(Data!C162-Data!C161)/Data!C161</f>
        <v>-3.2892781510010126E-3</v>
      </c>
      <c r="C162" s="59">
        <f>(Data!F162-Data!F161)/Data!F161</f>
        <v>-3.6380520930315136E-3</v>
      </c>
      <c r="D162" s="59">
        <f>(Data!I162-Data!I161)/Data!I161</f>
        <v>-1.1127787901940558E-3</v>
      </c>
      <c r="E162" s="59">
        <f>(Data!L162-Data!L161)/Data!L161</f>
        <v>1.3987942878312083E-2</v>
      </c>
    </row>
    <row r="163" spans="1:5" x14ac:dyDescent="0.3">
      <c r="A163">
        <v>161</v>
      </c>
      <c r="B163" s="59">
        <f>(Data!C163-Data!C162)/Data!C162</f>
        <v>2.7632869851152405E-3</v>
      </c>
      <c r="C163" s="59">
        <f>(Data!F163-Data!F162)/Data!F162</f>
        <v>2.6284628589178008E-3</v>
      </c>
      <c r="D163" s="59">
        <f>(Data!I163-Data!I162)/Data!I162</f>
        <v>1.5172899529449838E-3</v>
      </c>
      <c r="E163" s="59">
        <f>(Data!L163-Data!L162)/Data!L162</f>
        <v>-2.8322666398437825E-3</v>
      </c>
    </row>
    <row r="164" spans="1:5" x14ac:dyDescent="0.3">
      <c r="A164">
        <v>162</v>
      </c>
      <c r="B164" s="59">
        <f>(Data!C164-Data!C163)/Data!C163</f>
        <v>-6.8702814001136976E-6</v>
      </c>
      <c r="C164" s="59">
        <f>(Data!F164-Data!F163)/Data!F163</f>
        <v>-2.3827777916032616E-2</v>
      </c>
      <c r="D164" s="59">
        <f>(Data!I164-Data!I163)/Data!I163</f>
        <v>6.458049545271312E-3</v>
      </c>
      <c r="E164" s="59">
        <f>(Data!L164-Data!L163)/Data!L163</f>
        <v>3.9447601575066625E-3</v>
      </c>
    </row>
    <row r="165" spans="1:5" x14ac:dyDescent="0.3">
      <c r="A165">
        <v>163</v>
      </c>
      <c r="B165" s="59">
        <f>(Data!C165-Data!C164)/Data!C164</f>
        <v>3.6411053174084792E-3</v>
      </c>
      <c r="C165" s="59">
        <f>(Data!F165-Data!F164)/Data!F164</f>
        <v>-1.2947209280352594E-3</v>
      </c>
      <c r="D165" s="59">
        <f>(Data!I165-Data!I164)/Data!I164</f>
        <v>-9.2904337172911231E-3</v>
      </c>
      <c r="E165" s="59">
        <f>(Data!L165-Data!L164)/Data!L164</f>
        <v>6.0074065749212034E-3</v>
      </c>
    </row>
    <row r="166" spans="1:5" x14ac:dyDescent="0.3">
      <c r="A166">
        <v>164</v>
      </c>
      <c r="B166" s="59">
        <f>(Data!C166-Data!C165)/Data!C165</f>
        <v>-3.9669012240730651E-4</v>
      </c>
      <c r="C166" s="59">
        <f>(Data!F166-Data!F165)/Data!F165</f>
        <v>-1.7252450754858616E-2</v>
      </c>
      <c r="D166" s="59">
        <f>(Data!I166-Data!I165)/Data!I165</f>
        <v>4.5817815102186764E-3</v>
      </c>
      <c r="E166" s="59">
        <f>(Data!L166-Data!L165)/Data!L165</f>
        <v>1.0109508553010401E-2</v>
      </c>
    </row>
    <row r="167" spans="1:5" x14ac:dyDescent="0.3">
      <c r="A167">
        <v>165</v>
      </c>
      <c r="B167" s="59">
        <f>(Data!C167-Data!C166)/Data!C166</f>
        <v>7.1151970404056107E-4</v>
      </c>
      <c r="C167" s="59">
        <f>(Data!F167-Data!F166)/Data!F166</f>
        <v>-1.9267983826213397E-3</v>
      </c>
      <c r="D167" s="59">
        <f>(Data!I167-Data!I166)/Data!I166</f>
        <v>-2.1020647948635468E-3</v>
      </c>
      <c r="E167" s="59">
        <f>(Data!L167-Data!L166)/Data!L166</f>
        <v>3.7370134576744812E-3</v>
      </c>
    </row>
    <row r="168" spans="1:5" x14ac:dyDescent="0.3">
      <c r="A168">
        <v>166</v>
      </c>
      <c r="B168" s="59">
        <f>(Data!C168-Data!C167)/Data!C167</f>
        <v>-8.1694825580172926E-3</v>
      </c>
      <c r="C168" s="59">
        <f>(Data!F168-Data!F167)/Data!F167</f>
        <v>-1.392413287994897E-2</v>
      </c>
      <c r="D168" s="59">
        <f>(Data!I168-Data!I167)/Data!I167</f>
        <v>-3.9654530773465873E-3</v>
      </c>
      <c r="E168" s="59">
        <f>(Data!L168-Data!L167)/Data!L167</f>
        <v>-1.5026617591781852E-2</v>
      </c>
    </row>
    <row r="169" spans="1:5" x14ac:dyDescent="0.3">
      <c r="A169">
        <v>167</v>
      </c>
      <c r="B169" s="59">
        <f>(Data!C169-Data!C168)/Data!C168</f>
        <v>-5.5279787457674368E-3</v>
      </c>
      <c r="C169" s="59">
        <f>(Data!F169-Data!F168)/Data!F168</f>
        <v>-1.1319560121657891E-3</v>
      </c>
      <c r="D169" s="59">
        <f>(Data!I169-Data!I168)/Data!I168</f>
        <v>-1.6866297750467205E-2</v>
      </c>
      <c r="E169" s="59">
        <f>(Data!L169-Data!L168)/Data!L168</f>
        <v>1.4951748803248118E-2</v>
      </c>
    </row>
    <row r="170" spans="1:5" x14ac:dyDescent="0.3">
      <c r="A170">
        <v>168</v>
      </c>
      <c r="B170" s="59">
        <f>(Data!C170-Data!C169)/Data!C169</f>
        <v>-3.9511638017170617E-4</v>
      </c>
      <c r="C170" s="59">
        <f>(Data!F170-Data!F169)/Data!F169</f>
        <v>7.7026807029996719E-4</v>
      </c>
      <c r="D170" s="59">
        <f>(Data!I170-Data!I169)/Data!I169</f>
        <v>-1.7287547229111886E-2</v>
      </c>
      <c r="E170" s="59">
        <f>(Data!L170-Data!L169)/Data!L169</f>
        <v>7.9288532189281512E-3</v>
      </c>
    </row>
    <row r="171" spans="1:5" x14ac:dyDescent="0.3">
      <c r="A171">
        <v>169</v>
      </c>
      <c r="B171" s="59">
        <f>(Data!C171-Data!C170)/Data!C170</f>
        <v>-1.4179037440386971E-3</v>
      </c>
      <c r="C171" s="59">
        <f>(Data!F171-Data!F170)/Data!F170</f>
        <v>-3.5379631365325834E-2</v>
      </c>
      <c r="D171" s="59">
        <f>(Data!I171-Data!I170)/Data!I170</f>
        <v>6.6261490935043028E-3</v>
      </c>
      <c r="E171" s="59">
        <f>(Data!L171-Data!L170)/Data!L170</f>
        <v>4.3388536121687169E-4</v>
      </c>
    </row>
    <row r="172" spans="1:5" x14ac:dyDescent="0.3">
      <c r="A172">
        <v>170</v>
      </c>
      <c r="B172" s="59">
        <f>(Data!C172-Data!C171)/Data!C171</f>
        <v>-3.2864228913235163E-2</v>
      </c>
      <c r="C172" s="59">
        <f>(Data!F172-Data!F171)/Data!F171</f>
        <v>2.1179184472994012E-2</v>
      </c>
      <c r="D172" s="59">
        <f>(Data!I172-Data!I171)/Data!I171</f>
        <v>-2.5754928842055155E-2</v>
      </c>
      <c r="E172" s="59">
        <f>(Data!L172-Data!L171)/Data!L171</f>
        <v>-1.4150189068318718E-2</v>
      </c>
    </row>
    <row r="173" spans="1:5" x14ac:dyDescent="0.3">
      <c r="A173">
        <v>171</v>
      </c>
      <c r="B173" s="59">
        <f>(Data!C173-Data!C172)/Data!C172</f>
        <v>-2.0573007811006506E-2</v>
      </c>
      <c r="C173" s="59">
        <f>(Data!F173-Data!F172)/Data!F172</f>
        <v>-1.3814306219038279E-2</v>
      </c>
      <c r="D173" s="59">
        <f>(Data!I173-Data!I172)/Data!I172</f>
        <v>-1.4697474439600658E-2</v>
      </c>
      <c r="E173" s="59">
        <f>(Data!L173-Data!L172)/Data!L172</f>
        <v>-6.195970194172771E-3</v>
      </c>
    </row>
    <row r="174" spans="1:5" x14ac:dyDescent="0.3">
      <c r="A174">
        <v>172</v>
      </c>
      <c r="B174" s="59">
        <f>(Data!C174-Data!C173)/Data!C173</f>
        <v>1.4206197963573476E-2</v>
      </c>
      <c r="C174" s="59">
        <f>(Data!F174-Data!F173)/Data!F173</f>
        <v>6.7593547157138699E-4</v>
      </c>
      <c r="D174" s="59">
        <f>(Data!I174-Data!I173)/Data!I173</f>
        <v>-8.4867791283226128E-3</v>
      </c>
      <c r="E174" s="59">
        <f>(Data!L174-Data!L173)/Data!L173</f>
        <v>-1.3372290351646552E-2</v>
      </c>
    </row>
    <row r="175" spans="1:5" x14ac:dyDescent="0.3">
      <c r="A175">
        <v>173</v>
      </c>
      <c r="B175" s="59">
        <f>(Data!C175-Data!C174)/Data!C174</f>
        <v>-5.9049790544291863E-3</v>
      </c>
      <c r="C175" s="59">
        <f>(Data!F175-Data!F174)/Data!F174</f>
        <v>-3.0276122664851828E-4</v>
      </c>
      <c r="D175" s="59">
        <f>(Data!I175-Data!I174)/Data!I174</f>
        <v>5.6276406378894936E-3</v>
      </c>
      <c r="E175" s="59">
        <f>(Data!L175-Data!L174)/Data!L174</f>
        <v>-4.6191545324788218E-3</v>
      </c>
    </row>
    <row r="176" spans="1:5" x14ac:dyDescent="0.3">
      <c r="A176">
        <v>174</v>
      </c>
      <c r="B176" s="59">
        <f>(Data!C176-Data!C175)/Data!C175</f>
        <v>2.1495600231814009E-2</v>
      </c>
      <c r="C176" s="59">
        <f>(Data!F176-Data!F175)/Data!F175</f>
        <v>4.1976623716240957E-3</v>
      </c>
      <c r="D176" s="59">
        <f>(Data!I176-Data!I175)/Data!I175</f>
        <v>1.7819500385851589E-2</v>
      </c>
      <c r="E176" s="59">
        <f>(Data!L176-Data!L175)/Data!L175</f>
        <v>-5.3243779230411339E-3</v>
      </c>
    </row>
    <row r="177" spans="1:5" x14ac:dyDescent="0.3">
      <c r="A177">
        <v>175</v>
      </c>
      <c r="B177" s="59">
        <f>(Data!C177-Data!C176)/Data!C176</f>
        <v>-2.5266236039021936E-4</v>
      </c>
      <c r="C177" s="59">
        <f>(Data!F177-Data!F176)/Data!F176</f>
        <v>2.3150140092025193E-2</v>
      </c>
      <c r="D177" s="59">
        <f>(Data!I177-Data!I176)/Data!I176</f>
        <v>-6.3577976180354831E-3</v>
      </c>
      <c r="E177" s="59">
        <f>(Data!L177-Data!L176)/Data!L176</f>
        <v>-4.4263706150882041E-3</v>
      </c>
    </row>
    <row r="178" spans="1:5" x14ac:dyDescent="0.3">
      <c r="A178">
        <v>176</v>
      </c>
      <c r="B178" s="59">
        <f>(Data!C178-Data!C177)/Data!C177</f>
        <v>-1.4391922484002614E-2</v>
      </c>
      <c r="C178" s="59">
        <f>(Data!F178-Data!F177)/Data!F177</f>
        <v>-3.0841393787785141E-2</v>
      </c>
      <c r="D178" s="59">
        <f>(Data!I178-Data!I177)/Data!I177</f>
        <v>-1.4995143846911155E-2</v>
      </c>
      <c r="E178" s="59">
        <f>(Data!L178-Data!L177)/Data!L177</f>
        <v>-3.6293079835583539E-2</v>
      </c>
    </row>
    <row r="179" spans="1:5" x14ac:dyDescent="0.3">
      <c r="A179">
        <v>177</v>
      </c>
      <c r="B179" s="59">
        <f>(Data!C179-Data!C178)/Data!C178</f>
        <v>-3.6116989776221765E-4</v>
      </c>
      <c r="C179" s="59">
        <f>(Data!F179-Data!F178)/Data!F178</f>
        <v>-3.817935025405568E-3</v>
      </c>
      <c r="D179" s="59">
        <f>(Data!I179-Data!I178)/Data!I178</f>
        <v>-5.6016674503941615E-3</v>
      </c>
      <c r="E179" s="59">
        <f>(Data!L179-Data!L178)/Data!L178</f>
        <v>2.4247015347318465E-3</v>
      </c>
    </row>
    <row r="180" spans="1:5" x14ac:dyDescent="0.3">
      <c r="A180">
        <v>178</v>
      </c>
      <c r="B180" s="59">
        <f>(Data!C180-Data!C179)/Data!C179</f>
        <v>-4.2995273740375518E-3</v>
      </c>
      <c r="C180" s="59">
        <f>(Data!F180-Data!F179)/Data!F179</f>
        <v>-1.011170656174145E-2</v>
      </c>
      <c r="D180" s="59">
        <f>(Data!I180-Data!I179)/Data!I179</f>
        <v>5.6465032806308629E-3</v>
      </c>
      <c r="E180" s="59">
        <f>(Data!L180-Data!L179)/Data!L179</f>
        <v>-1.7920224187859702E-2</v>
      </c>
    </row>
    <row r="181" spans="1:5" x14ac:dyDescent="0.3">
      <c r="A181">
        <v>179</v>
      </c>
      <c r="B181" s="59">
        <f>(Data!C181-Data!C180)/Data!C180</f>
        <v>-5.5118302120861972E-3</v>
      </c>
      <c r="C181" s="59">
        <f>(Data!F181-Data!F180)/Data!F180</f>
        <v>-1.1075657110056912E-2</v>
      </c>
      <c r="D181" s="59">
        <f>(Data!I181-Data!I180)/Data!I180</f>
        <v>-2.4013993985396664E-2</v>
      </c>
      <c r="E181" s="59">
        <f>(Data!L181-Data!L180)/Data!L180</f>
        <v>8.9562941630728973E-3</v>
      </c>
    </row>
    <row r="182" spans="1:5" x14ac:dyDescent="0.3">
      <c r="A182">
        <v>180</v>
      </c>
      <c r="B182" s="59">
        <f>(Data!C182-Data!C181)/Data!C181</f>
        <v>-3.0864433708665259E-2</v>
      </c>
      <c r="C182" s="59">
        <f>(Data!F182-Data!F181)/Data!F181</f>
        <v>3.819468157710719E-3</v>
      </c>
      <c r="D182" s="59">
        <f>(Data!I182-Data!I181)/Data!I181</f>
        <v>-4.714001314836353E-3</v>
      </c>
      <c r="E182" s="59">
        <f>(Data!L182-Data!L181)/Data!L181</f>
        <v>8.099444298459952E-3</v>
      </c>
    </row>
    <row r="183" spans="1:5" x14ac:dyDescent="0.3">
      <c r="A183">
        <v>181</v>
      </c>
      <c r="B183" s="59">
        <f>(Data!C183-Data!C182)/Data!C182</f>
        <v>1.8625039785680586E-2</v>
      </c>
      <c r="C183" s="59">
        <f>(Data!F183-Data!F182)/Data!F182</f>
        <v>-9.1290266561675614E-3</v>
      </c>
      <c r="D183" s="59">
        <f>(Data!I183-Data!I182)/Data!I182</f>
        <v>1.0496433669132442E-2</v>
      </c>
      <c r="E183" s="59">
        <f>(Data!L183-Data!L182)/Data!L182</f>
        <v>-7.5190273463767955E-3</v>
      </c>
    </row>
    <row r="184" spans="1:5" x14ac:dyDescent="0.3">
      <c r="A184">
        <v>182</v>
      </c>
      <c r="B184" s="59">
        <f>(Data!C184-Data!C183)/Data!C183</f>
        <v>-1.7327264059605166E-2</v>
      </c>
      <c r="C184" s="59">
        <f>(Data!F184-Data!F183)/Data!F183</f>
        <v>1.6032201350576376E-2</v>
      </c>
      <c r="D184" s="59">
        <f>(Data!I184-Data!I183)/Data!I183</f>
        <v>-5.599568558229082E-3</v>
      </c>
      <c r="E184" s="59">
        <f>(Data!L184-Data!L183)/Data!L183</f>
        <v>-8.7538349976269553E-3</v>
      </c>
    </row>
    <row r="185" spans="1:5" x14ac:dyDescent="0.3">
      <c r="A185">
        <v>183</v>
      </c>
      <c r="B185" s="59">
        <f>(Data!C185-Data!C184)/Data!C184</f>
        <v>-6.5595994219019346E-3</v>
      </c>
      <c r="C185" s="59">
        <f>(Data!F185-Data!F184)/Data!F184</f>
        <v>1.7466612137870211E-2</v>
      </c>
      <c r="D185" s="59">
        <f>(Data!I185-Data!I184)/Data!I184</f>
        <v>3.9130165030381034E-3</v>
      </c>
      <c r="E185" s="59">
        <f>(Data!L185-Data!L184)/Data!L184</f>
        <v>5.1600094846722035E-3</v>
      </c>
    </row>
    <row r="186" spans="1:5" x14ac:dyDescent="0.3">
      <c r="A186">
        <v>184</v>
      </c>
      <c r="B186" s="59">
        <f>(Data!C186-Data!C185)/Data!C185</f>
        <v>1.5666780123047824E-2</v>
      </c>
      <c r="C186" s="59">
        <f>(Data!F186-Data!F185)/Data!F185</f>
        <v>4.2113220372993455E-2</v>
      </c>
      <c r="D186" s="59">
        <f>(Data!I186-Data!I185)/Data!I185</f>
        <v>-7.2217150729020144E-3</v>
      </c>
      <c r="E186" s="59">
        <f>(Data!L186-Data!L185)/Data!L185</f>
        <v>-2.6870254604809782E-2</v>
      </c>
    </row>
    <row r="187" spans="1:5" x14ac:dyDescent="0.3">
      <c r="A187">
        <v>185</v>
      </c>
      <c r="B187" s="59">
        <f>(Data!C187-Data!C186)/Data!C186</f>
        <v>1.0851331816018531E-2</v>
      </c>
      <c r="C187" s="59">
        <f>(Data!F187-Data!F186)/Data!F186</f>
        <v>-2.0839375457478843E-2</v>
      </c>
      <c r="D187" s="59">
        <f>(Data!I187-Data!I186)/Data!I186</f>
        <v>6.2190684842322519E-3</v>
      </c>
      <c r="E187" s="59">
        <f>(Data!L187-Data!L186)/Data!L186</f>
        <v>3.7354262704182833E-3</v>
      </c>
    </row>
    <row r="188" spans="1:5" x14ac:dyDescent="0.3">
      <c r="A188">
        <v>186</v>
      </c>
      <c r="B188" s="59">
        <f>(Data!C188-Data!C187)/Data!C187</f>
        <v>1.0557843711262267E-2</v>
      </c>
      <c r="C188" s="59">
        <f>(Data!F188-Data!F187)/Data!F187</f>
        <v>7.193934713860194E-3</v>
      </c>
      <c r="D188" s="59">
        <f>(Data!I188-Data!I187)/Data!I187</f>
        <v>4.6890561608258548E-3</v>
      </c>
      <c r="E188" s="59">
        <f>(Data!L188-Data!L187)/Data!L187</f>
        <v>-3.8891887645214646E-2</v>
      </c>
    </row>
    <row r="189" spans="1:5" x14ac:dyDescent="0.3">
      <c r="A189">
        <v>187</v>
      </c>
      <c r="B189" s="59">
        <f>(Data!C189-Data!C188)/Data!C188</f>
        <v>-6.3166861631632756E-3</v>
      </c>
      <c r="C189" s="59">
        <f>(Data!F189-Data!F188)/Data!F188</f>
        <v>1.0232592538782384E-3</v>
      </c>
      <c r="D189" s="59">
        <f>(Data!I189-Data!I188)/Data!I188</f>
        <v>1.0012166269736321E-2</v>
      </c>
      <c r="E189" s="59">
        <f>(Data!L189-Data!L188)/Data!L188</f>
        <v>-4.773786157316065E-3</v>
      </c>
    </row>
    <row r="190" spans="1:5" x14ac:dyDescent="0.3">
      <c r="A190">
        <v>188</v>
      </c>
      <c r="B190" s="59">
        <f>(Data!C190-Data!C189)/Data!C189</f>
        <v>5.6003171687664935E-3</v>
      </c>
      <c r="C190" s="59">
        <f>(Data!F190-Data!F189)/Data!F189</f>
        <v>3.0607388902890728E-3</v>
      </c>
      <c r="D190" s="59">
        <f>(Data!I190-Data!I189)/Data!I189</f>
        <v>-1.0297779410569075E-3</v>
      </c>
      <c r="E190" s="59">
        <f>(Data!L190-Data!L189)/Data!L189</f>
        <v>1.6478030336940591E-4</v>
      </c>
    </row>
    <row r="191" spans="1:5" x14ac:dyDescent="0.3">
      <c r="A191">
        <v>189</v>
      </c>
      <c r="B191" s="59">
        <f>(Data!C191-Data!C190)/Data!C190</f>
        <v>6.2592955621174036E-3</v>
      </c>
      <c r="C191" s="59">
        <f>(Data!F191-Data!F190)/Data!F190</f>
        <v>-2.3860280810768898E-2</v>
      </c>
      <c r="D191" s="59">
        <f>(Data!I191-Data!I190)/Data!I190</f>
        <v>4.4465369083393907E-3</v>
      </c>
      <c r="E191" s="59">
        <f>(Data!L191-Data!L190)/Data!L190</f>
        <v>1.2123220228346696E-2</v>
      </c>
    </row>
    <row r="192" spans="1:5" x14ac:dyDescent="0.3">
      <c r="A192">
        <v>190</v>
      </c>
      <c r="B192" s="59">
        <f>(Data!C192-Data!C191)/Data!C191</f>
        <v>2.1208856280910172E-2</v>
      </c>
      <c r="C192" s="59">
        <f>(Data!F192-Data!F191)/Data!F191</f>
        <v>1.2209930386172453E-3</v>
      </c>
      <c r="D192" s="59">
        <f>(Data!I192-Data!I191)/Data!I191</f>
        <v>1.2228015111179489E-2</v>
      </c>
      <c r="E192" s="59">
        <f>(Data!L192-Data!L191)/Data!L191</f>
        <v>1.9744008270873362E-2</v>
      </c>
    </row>
    <row r="193" spans="1:5" x14ac:dyDescent="0.3">
      <c r="A193">
        <v>191</v>
      </c>
      <c r="B193" s="59">
        <f>(Data!C193-Data!C192)/Data!C192</f>
        <v>-2.5089165775684713E-3</v>
      </c>
      <c r="C193" s="59">
        <f>(Data!F193-Data!F192)/Data!F192</f>
        <v>6.229794935458448E-3</v>
      </c>
      <c r="D193" s="59">
        <f>(Data!I193-Data!I192)/Data!I192</f>
        <v>-1.2294169358125178E-2</v>
      </c>
      <c r="E193" s="59">
        <f>(Data!L193-Data!L192)/Data!L192</f>
        <v>-8.3453265391824176E-3</v>
      </c>
    </row>
    <row r="194" spans="1:5" x14ac:dyDescent="0.3">
      <c r="A194">
        <v>192</v>
      </c>
      <c r="B194" s="59">
        <f>(Data!C194-Data!C193)/Data!C193</f>
        <v>-9.1990135784771193E-3</v>
      </c>
      <c r="C194" s="59">
        <f>(Data!F194-Data!F193)/Data!F193</f>
        <v>-5.3673537535975794E-3</v>
      </c>
      <c r="D194" s="59">
        <f>(Data!I194-Data!I193)/Data!I193</f>
        <v>2.5359103572954395E-3</v>
      </c>
      <c r="E194" s="59">
        <f>(Data!L194-Data!L193)/Data!L193</f>
        <v>2.6480265028168658E-2</v>
      </c>
    </row>
    <row r="195" spans="1:5" x14ac:dyDescent="0.3">
      <c r="A195">
        <v>193</v>
      </c>
      <c r="B195" s="59">
        <f>(Data!C195-Data!C194)/Data!C194</f>
        <v>-1.9701489316106411E-2</v>
      </c>
      <c r="C195" s="59">
        <f>(Data!F195-Data!F194)/Data!F194</f>
        <v>1.7498348685177707E-2</v>
      </c>
      <c r="D195" s="59">
        <f>(Data!I195-Data!I194)/Data!I194</f>
        <v>-1.6376392919626385E-2</v>
      </c>
      <c r="E195" s="59">
        <f>(Data!L195-Data!L194)/Data!L194</f>
        <v>-1.0615372627810772E-2</v>
      </c>
    </row>
    <row r="196" spans="1:5" x14ac:dyDescent="0.3">
      <c r="A196">
        <v>194</v>
      </c>
      <c r="B196" s="59">
        <f>(Data!C196-Data!C195)/Data!C195</f>
        <v>-1.4819196700837237E-3</v>
      </c>
      <c r="C196" s="59">
        <f>(Data!F196-Data!F195)/Data!F195</f>
        <v>3.0719997318057525E-3</v>
      </c>
      <c r="D196" s="59">
        <f>(Data!I196-Data!I195)/Data!I195</f>
        <v>6.3882439021168275E-3</v>
      </c>
      <c r="E196" s="59">
        <f>(Data!L196-Data!L195)/Data!L195</f>
        <v>8.028468095956599E-3</v>
      </c>
    </row>
    <row r="197" spans="1:5" x14ac:dyDescent="0.3">
      <c r="A197">
        <v>195</v>
      </c>
      <c r="B197" s="59">
        <f>(Data!C197-Data!C196)/Data!C196</f>
        <v>-7.5674108672402225E-3</v>
      </c>
      <c r="C197" s="59">
        <f>(Data!F197-Data!F196)/Data!F196</f>
        <v>7.1980633650328054E-3</v>
      </c>
      <c r="D197" s="59">
        <f>(Data!I197-Data!I196)/Data!I196</f>
        <v>-5.4663155725249496E-3</v>
      </c>
      <c r="E197" s="59">
        <f>(Data!L197-Data!L196)/Data!L196</f>
        <v>-3.6994604330954669E-3</v>
      </c>
    </row>
    <row r="198" spans="1:5" x14ac:dyDescent="0.3">
      <c r="A198">
        <v>196</v>
      </c>
      <c r="B198" s="59">
        <f>(Data!C198-Data!C197)/Data!C197</f>
        <v>1.0593753349405658E-2</v>
      </c>
      <c r="C198" s="59">
        <f>(Data!F198-Data!F197)/Data!F197</f>
        <v>-2.0160024116487325E-2</v>
      </c>
      <c r="D198" s="59">
        <f>(Data!I198-Data!I197)/Data!I197</f>
        <v>-8.4944440117501671E-3</v>
      </c>
      <c r="E198" s="59">
        <f>(Data!L198-Data!L197)/Data!L197</f>
        <v>1.6739959393983005E-2</v>
      </c>
    </row>
    <row r="199" spans="1:5" x14ac:dyDescent="0.3">
      <c r="A199">
        <v>197</v>
      </c>
      <c r="B199" s="59">
        <f>(Data!C199-Data!C198)/Data!C198</f>
        <v>2.2233056585385146E-3</v>
      </c>
      <c r="C199" s="59">
        <f>(Data!F199-Data!F198)/Data!F198</f>
        <v>5.0746569043460246E-3</v>
      </c>
      <c r="D199" s="59">
        <f>(Data!I199-Data!I198)/Data!I198</f>
        <v>5.8729833270459173E-3</v>
      </c>
      <c r="E199" s="59">
        <f>(Data!L199-Data!L198)/Data!L198</f>
        <v>-1.0768574814289757E-2</v>
      </c>
    </row>
    <row r="200" spans="1:5" x14ac:dyDescent="0.3">
      <c r="A200">
        <v>198</v>
      </c>
      <c r="B200" s="59">
        <f>(Data!C200-Data!C199)/Data!C199</f>
        <v>-1.6643108928262811E-2</v>
      </c>
      <c r="C200" s="59">
        <f>(Data!F200-Data!F199)/Data!F199</f>
        <v>1.8458505314627482E-3</v>
      </c>
      <c r="D200" s="59">
        <f>(Data!I200-Data!I199)/Data!I199</f>
        <v>-7.3717843987037507E-3</v>
      </c>
      <c r="E200" s="59">
        <f>(Data!L200-Data!L199)/Data!L199</f>
        <v>-3.7813626117739734E-3</v>
      </c>
    </row>
    <row r="201" spans="1:5" x14ac:dyDescent="0.3">
      <c r="A201">
        <v>199</v>
      </c>
      <c r="B201" s="59">
        <f>(Data!C201-Data!C200)/Data!C200</f>
        <v>-1.8151240504630656E-2</v>
      </c>
      <c r="C201" s="59">
        <f>(Data!F201-Data!F200)/Data!F200</f>
        <v>-3.5254630081937811E-3</v>
      </c>
      <c r="D201" s="59">
        <f>(Data!I201-Data!I200)/Data!I200</f>
        <v>-2.2066476810035034E-2</v>
      </c>
      <c r="E201" s="59">
        <f>(Data!L201-Data!L200)/Data!L200</f>
        <v>-2.5327885062914515E-2</v>
      </c>
    </row>
    <row r="202" spans="1:5" x14ac:dyDescent="0.3">
      <c r="A202">
        <v>200</v>
      </c>
      <c r="B202" s="59">
        <f>(Data!C202-Data!C201)/Data!C201</f>
        <v>3.0432907220331227E-3</v>
      </c>
      <c r="C202" s="59">
        <f>(Data!F202-Data!F201)/Data!F201</f>
        <v>1.7298115581379035E-2</v>
      </c>
      <c r="D202" s="59">
        <f>(Data!I202-Data!I201)/Data!I201</f>
        <v>1.8668061192672558E-2</v>
      </c>
      <c r="E202" s="59">
        <f>(Data!L202-Data!L201)/Data!L201</f>
        <v>-3.2167332723986425E-3</v>
      </c>
    </row>
    <row r="203" spans="1:5" x14ac:dyDescent="0.3">
      <c r="A203">
        <v>201</v>
      </c>
      <c r="B203" s="59">
        <f>(Data!C203-Data!C202)/Data!C202</f>
        <v>-6.5548423715831661E-3</v>
      </c>
      <c r="C203" s="59">
        <f>(Data!F203-Data!F202)/Data!F202</f>
        <v>-1.6764653002465653E-3</v>
      </c>
      <c r="D203" s="59">
        <f>(Data!I203-Data!I202)/Data!I202</f>
        <v>-9.2239114457297756E-3</v>
      </c>
      <c r="E203" s="59">
        <f>(Data!L203-Data!L202)/Data!L202</f>
        <v>-3.0918481917378868E-3</v>
      </c>
    </row>
    <row r="204" spans="1:5" x14ac:dyDescent="0.3">
      <c r="A204">
        <v>202</v>
      </c>
      <c r="B204" s="59">
        <f>(Data!C204-Data!C203)/Data!C203</f>
        <v>1.5532368144919935E-2</v>
      </c>
      <c r="C204" s="59">
        <f>(Data!F204-Data!F203)/Data!F203</f>
        <v>1.3314603110095306E-2</v>
      </c>
      <c r="D204" s="59">
        <f>(Data!I204-Data!I203)/Data!I203</f>
        <v>5.3090116544242949E-3</v>
      </c>
      <c r="E204" s="59">
        <f>(Data!L204-Data!L203)/Data!L203</f>
        <v>-3.3974948081211074E-3</v>
      </c>
    </row>
    <row r="205" spans="1:5" x14ac:dyDescent="0.3">
      <c r="A205">
        <v>203</v>
      </c>
      <c r="B205" s="59">
        <f>(Data!C205-Data!C204)/Data!C204</f>
        <v>3.2616922552592743E-3</v>
      </c>
      <c r="C205" s="59">
        <f>(Data!F205-Data!F204)/Data!F204</f>
        <v>-8.6772500559745766E-3</v>
      </c>
      <c r="D205" s="59">
        <f>(Data!I205-Data!I204)/Data!I204</f>
        <v>1.7426708008702003E-2</v>
      </c>
      <c r="E205" s="59">
        <f>(Data!L205-Data!L204)/Data!L204</f>
        <v>4.29753431038134E-3</v>
      </c>
    </row>
    <row r="206" spans="1:5" x14ac:dyDescent="0.3">
      <c r="A206">
        <v>204</v>
      </c>
      <c r="B206" s="59">
        <f>(Data!C206-Data!C205)/Data!C205</f>
        <v>2.2973979573244926E-2</v>
      </c>
      <c r="C206" s="59">
        <f>(Data!F206-Data!F205)/Data!F205</f>
        <v>2.1065608591011296E-3</v>
      </c>
      <c r="D206" s="59">
        <f>(Data!I206-Data!I205)/Data!I205</f>
        <v>-1.2161210081584307E-3</v>
      </c>
      <c r="E206" s="59">
        <f>(Data!L206-Data!L205)/Data!L205</f>
        <v>-1.0988708807138097E-2</v>
      </c>
    </row>
    <row r="207" spans="1:5" x14ac:dyDescent="0.3">
      <c r="A207">
        <v>205</v>
      </c>
      <c r="B207" s="59">
        <f>(Data!C207-Data!C206)/Data!C206</f>
        <v>-2.1831080056632693E-3</v>
      </c>
      <c r="C207" s="59">
        <f>(Data!F207-Data!F206)/Data!F206</f>
        <v>2.5476116951342588E-2</v>
      </c>
      <c r="D207" s="59">
        <f>(Data!I207-Data!I206)/Data!I206</f>
        <v>-6.1574893020738906E-3</v>
      </c>
      <c r="E207" s="59">
        <f>(Data!L207-Data!L206)/Data!L206</f>
        <v>-6.9549066976694798E-3</v>
      </c>
    </row>
    <row r="208" spans="1:5" x14ac:dyDescent="0.3">
      <c r="A208">
        <v>206</v>
      </c>
      <c r="B208" s="59">
        <f>(Data!C208-Data!C207)/Data!C207</f>
        <v>8.1707475343828877E-3</v>
      </c>
      <c r="C208" s="59">
        <f>(Data!F208-Data!F207)/Data!F207</f>
        <v>2.8842718465046215E-3</v>
      </c>
      <c r="D208" s="59">
        <f>(Data!I208-Data!I207)/Data!I207</f>
        <v>-2.347689636613325E-3</v>
      </c>
      <c r="E208" s="59">
        <f>(Data!L208-Data!L207)/Data!L207</f>
        <v>9.3101880674000617E-3</v>
      </c>
    </row>
    <row r="209" spans="1:5" x14ac:dyDescent="0.3">
      <c r="A209">
        <v>207</v>
      </c>
      <c r="B209" s="59">
        <f>(Data!C209-Data!C208)/Data!C208</f>
        <v>1.0941426018481153E-2</v>
      </c>
      <c r="C209" s="59">
        <f>(Data!F209-Data!F208)/Data!F208</f>
        <v>-1.6168476145071584E-2</v>
      </c>
      <c r="D209" s="59">
        <f>(Data!I209-Data!I208)/Data!I208</f>
        <v>-1.0913865329075472E-4</v>
      </c>
      <c r="E209" s="59">
        <f>(Data!L209-Data!L208)/Data!L208</f>
        <v>9.1224766217885382E-3</v>
      </c>
    </row>
    <row r="210" spans="1:5" x14ac:dyDescent="0.3">
      <c r="A210">
        <v>208</v>
      </c>
      <c r="B210" s="59">
        <f>(Data!C210-Data!C209)/Data!C209</f>
        <v>-3.2364902938788187E-2</v>
      </c>
      <c r="C210" s="59">
        <f>(Data!F210-Data!F209)/Data!F209</f>
        <v>-2.4731795335228398E-2</v>
      </c>
      <c r="D210" s="59">
        <f>(Data!I210-Data!I209)/Data!I209</f>
        <v>1.8496516257254424E-2</v>
      </c>
      <c r="E210" s="59">
        <f>(Data!L210-Data!L209)/Data!L209</f>
        <v>8.806423552443118E-3</v>
      </c>
    </row>
    <row r="211" spans="1:5" x14ac:dyDescent="0.3">
      <c r="A211">
        <v>209</v>
      </c>
      <c r="B211" s="59">
        <f>(Data!C211-Data!C210)/Data!C210</f>
        <v>-1.522228361661734E-3</v>
      </c>
      <c r="C211" s="59">
        <f>(Data!F211-Data!F210)/Data!F210</f>
        <v>-3.5410515506442458E-3</v>
      </c>
      <c r="D211" s="59">
        <f>(Data!I211-Data!I210)/Data!I210</f>
        <v>-1.6569565772808572E-2</v>
      </c>
      <c r="E211" s="59">
        <f>(Data!L211-Data!L210)/Data!L210</f>
        <v>2.4264810158193682E-3</v>
      </c>
    </row>
    <row r="212" spans="1:5" x14ac:dyDescent="0.3">
      <c r="A212">
        <v>210</v>
      </c>
      <c r="B212" s="59">
        <f>(Data!C212-Data!C211)/Data!C211</f>
        <v>-2.3320118749489388E-2</v>
      </c>
      <c r="C212" s="59">
        <f>(Data!F212-Data!F211)/Data!F211</f>
        <v>-1.1946814649749317E-2</v>
      </c>
      <c r="D212" s="59">
        <f>(Data!I212-Data!I211)/Data!I211</f>
        <v>-8.2461683662598817E-3</v>
      </c>
      <c r="E212" s="59">
        <f>(Data!L212-Data!L211)/Data!L211</f>
        <v>5.8152477301035852E-3</v>
      </c>
    </row>
    <row r="213" spans="1:5" x14ac:dyDescent="0.3">
      <c r="A213">
        <v>211</v>
      </c>
      <c r="B213" s="59">
        <f>(Data!C213-Data!C212)/Data!C212</f>
        <v>1.7621541550397273E-3</v>
      </c>
      <c r="C213" s="59">
        <f>(Data!F213-Data!F212)/Data!F212</f>
        <v>7.4902057039346855E-4</v>
      </c>
      <c r="D213" s="59">
        <f>(Data!I213-Data!I212)/Data!I212</f>
        <v>-3.432929750984718E-2</v>
      </c>
      <c r="E213" s="59">
        <f>(Data!L213-Data!L212)/Data!L212</f>
        <v>1.3707949439039354E-2</v>
      </c>
    </row>
    <row r="214" spans="1:5" x14ac:dyDescent="0.3">
      <c r="A214">
        <v>212</v>
      </c>
      <c r="B214" s="59">
        <f>(Data!C214-Data!C213)/Data!C213</f>
        <v>-3.5634639398193102E-4</v>
      </c>
      <c r="C214" s="59">
        <f>(Data!F214-Data!F213)/Data!F213</f>
        <v>1.6104544923016374E-2</v>
      </c>
      <c r="D214" s="59">
        <f>(Data!I214-Data!I213)/Data!I213</f>
        <v>1.6794495571769135E-4</v>
      </c>
      <c r="E214" s="59">
        <f>(Data!L214-Data!L213)/Data!L213</f>
        <v>3.8093805565939096E-3</v>
      </c>
    </row>
    <row r="215" spans="1:5" x14ac:dyDescent="0.3">
      <c r="A215">
        <v>213</v>
      </c>
      <c r="B215" s="59">
        <f>(Data!C215-Data!C214)/Data!C214</f>
        <v>5.4195036532567646E-3</v>
      </c>
      <c r="C215" s="59">
        <f>(Data!F215-Data!F214)/Data!F214</f>
        <v>1.2893511972519117E-2</v>
      </c>
      <c r="D215" s="59">
        <f>(Data!I215-Data!I214)/Data!I214</f>
        <v>-7.6015607181789142E-3</v>
      </c>
      <c r="E215" s="59">
        <f>(Data!L215-Data!L214)/Data!L214</f>
        <v>5.9789309898654721E-3</v>
      </c>
    </row>
    <row r="216" spans="1:5" x14ac:dyDescent="0.3">
      <c r="A216">
        <v>214</v>
      </c>
      <c r="B216" s="59">
        <f>(Data!C216-Data!C215)/Data!C215</f>
        <v>-1.999302117276265E-4</v>
      </c>
      <c r="C216" s="59">
        <f>(Data!F216-Data!F215)/Data!F215</f>
        <v>-1.6194951142336173E-2</v>
      </c>
      <c r="D216" s="59">
        <f>(Data!I216-Data!I215)/Data!I215</f>
        <v>6.2438341788050586E-3</v>
      </c>
      <c r="E216" s="59">
        <f>(Data!L216-Data!L215)/Data!L215</f>
        <v>-2.6874143057841401E-2</v>
      </c>
    </row>
    <row r="217" spans="1:5" x14ac:dyDescent="0.3">
      <c r="A217">
        <v>215</v>
      </c>
      <c r="B217" s="59">
        <f>(Data!C217-Data!C216)/Data!C216</f>
        <v>-1.908670959714558E-2</v>
      </c>
      <c r="C217" s="59">
        <f>(Data!F217-Data!F216)/Data!F216</f>
        <v>-2.6091776344939051E-4</v>
      </c>
      <c r="D217" s="59">
        <f>(Data!I217-Data!I216)/Data!I216</f>
        <v>1.7736755785162921E-2</v>
      </c>
      <c r="E217" s="59">
        <f>(Data!L217-Data!L216)/Data!L216</f>
        <v>-6.1841423589556735E-3</v>
      </c>
    </row>
    <row r="218" spans="1:5" x14ac:dyDescent="0.3">
      <c r="A218">
        <v>216</v>
      </c>
      <c r="B218" s="59">
        <f>(Data!C218-Data!C217)/Data!C217</f>
        <v>-2.0773480650743484E-2</v>
      </c>
      <c r="C218" s="59">
        <f>(Data!F218-Data!F217)/Data!F217</f>
        <v>-1.0492589463767424E-2</v>
      </c>
      <c r="D218" s="59">
        <f>(Data!I218-Data!I217)/Data!I217</f>
        <v>-1.9213541366024001E-3</v>
      </c>
      <c r="E218" s="59">
        <f>(Data!L218-Data!L217)/Data!L217</f>
        <v>-9.1733813870356617E-3</v>
      </c>
    </row>
    <row r="219" spans="1:5" x14ac:dyDescent="0.3">
      <c r="A219">
        <v>217</v>
      </c>
      <c r="B219" s="59">
        <f>(Data!C219-Data!C218)/Data!C218</f>
        <v>8.6400702725762698E-5</v>
      </c>
      <c r="C219" s="59">
        <f>(Data!F219-Data!F218)/Data!F218</f>
        <v>1.9811005549260838E-3</v>
      </c>
      <c r="D219" s="59">
        <f>(Data!I219-Data!I218)/Data!I218</f>
        <v>-9.1465004966521744E-3</v>
      </c>
      <c r="E219" s="59">
        <f>(Data!L219-Data!L218)/Data!L218</f>
        <v>1.022077137278082E-2</v>
      </c>
    </row>
    <row r="220" spans="1:5" x14ac:dyDescent="0.3">
      <c r="A220">
        <v>218</v>
      </c>
      <c r="B220" s="59">
        <f>(Data!C220-Data!C219)/Data!C219</f>
        <v>-1.5395714469955905E-2</v>
      </c>
      <c r="C220" s="59">
        <f>(Data!F220-Data!F219)/Data!F219</f>
        <v>-9.3507703597652311E-3</v>
      </c>
      <c r="D220" s="59">
        <f>(Data!I220-Data!I219)/Data!I219</f>
        <v>-7.5361630751712486E-4</v>
      </c>
      <c r="E220" s="59">
        <f>(Data!L220-Data!L219)/Data!L219</f>
        <v>-2.6136804868442096E-2</v>
      </c>
    </row>
    <row r="221" spans="1:5" x14ac:dyDescent="0.3">
      <c r="A221">
        <v>219</v>
      </c>
      <c r="B221" s="59">
        <f>(Data!C221-Data!C220)/Data!C220</f>
        <v>-1.5772106302099805E-2</v>
      </c>
      <c r="C221" s="59">
        <f>(Data!F221-Data!F220)/Data!F220</f>
        <v>5.0691933766987734E-3</v>
      </c>
      <c r="D221" s="59">
        <f>(Data!I221-Data!I220)/Data!I220</f>
        <v>-3.2550882353713523E-3</v>
      </c>
      <c r="E221" s="59">
        <f>(Data!L221-Data!L220)/Data!L220</f>
        <v>-1.5749461568352265E-3</v>
      </c>
    </row>
    <row r="222" spans="1:5" x14ac:dyDescent="0.3">
      <c r="A222">
        <v>220</v>
      </c>
      <c r="B222" s="59">
        <f>(Data!C222-Data!C221)/Data!C221</f>
        <v>-2.0588228435321883E-2</v>
      </c>
      <c r="C222" s="59">
        <f>(Data!F222-Data!F221)/Data!F221</f>
        <v>-3.9621558344114143E-3</v>
      </c>
      <c r="D222" s="59">
        <f>(Data!I222-Data!I221)/Data!I221</f>
        <v>2.7078197432847807E-3</v>
      </c>
      <c r="E222" s="59">
        <f>(Data!L222-Data!L221)/Data!L221</f>
        <v>2.166942999350854E-2</v>
      </c>
    </row>
    <row r="223" spans="1:5" x14ac:dyDescent="0.3">
      <c r="A223">
        <v>221</v>
      </c>
      <c r="B223" s="59">
        <f>(Data!C223-Data!C222)/Data!C222</f>
        <v>-2.7112254234371271E-2</v>
      </c>
      <c r="C223" s="59">
        <f>(Data!F223-Data!F222)/Data!F222</f>
        <v>-6.7247841723685033E-3</v>
      </c>
      <c r="D223" s="59">
        <f>(Data!I223-Data!I222)/Data!I222</f>
        <v>-1.62155726269371E-2</v>
      </c>
      <c r="E223" s="59">
        <f>(Data!L223-Data!L222)/Data!L222</f>
        <v>1.3113008549262386E-2</v>
      </c>
    </row>
    <row r="224" spans="1:5" x14ac:dyDescent="0.3">
      <c r="A224">
        <v>222</v>
      </c>
      <c r="B224" s="59">
        <f>(Data!C224-Data!C223)/Data!C223</f>
        <v>4.9593742562976224E-2</v>
      </c>
      <c r="C224" s="59">
        <f>(Data!F224-Data!F223)/Data!F223</f>
        <v>9.936998465556342E-4</v>
      </c>
      <c r="D224" s="59">
        <f>(Data!I224-Data!I223)/Data!I223</f>
        <v>-5.1397425000476232E-3</v>
      </c>
      <c r="E224" s="59">
        <f>(Data!L224-Data!L223)/Data!L223</f>
        <v>-2.1676261374696894E-2</v>
      </c>
    </row>
    <row r="225" spans="1:5" x14ac:dyDescent="0.3">
      <c r="A225">
        <v>223</v>
      </c>
      <c r="B225" s="59">
        <f>(Data!C225-Data!C224)/Data!C224</f>
        <v>8.562680803813779E-3</v>
      </c>
      <c r="C225" s="59">
        <f>(Data!F225-Data!F224)/Data!F224</f>
        <v>1.3389951869007977E-2</v>
      </c>
      <c r="D225" s="59">
        <f>(Data!I225-Data!I224)/Data!I224</f>
        <v>-1.8992586198194949E-2</v>
      </c>
      <c r="E225" s="59">
        <f>(Data!L225-Data!L224)/Data!L224</f>
        <v>1.2902319445083981E-2</v>
      </c>
    </row>
    <row r="226" spans="1:5" x14ac:dyDescent="0.3">
      <c r="A226">
        <v>224</v>
      </c>
      <c r="B226" s="59">
        <f>(Data!C226-Data!C225)/Data!C225</f>
        <v>-1.2415825521054006E-3</v>
      </c>
      <c r="C226" s="59">
        <f>(Data!F226-Data!F225)/Data!F225</f>
        <v>-2.767770389721633E-2</v>
      </c>
      <c r="D226" s="59">
        <f>(Data!I226-Data!I225)/Data!I225</f>
        <v>1.7092908353384274E-2</v>
      </c>
      <c r="E226" s="59">
        <f>(Data!L226-Data!L225)/Data!L225</f>
        <v>-1.9413894633240419E-2</v>
      </c>
    </row>
    <row r="227" spans="1:5" x14ac:dyDescent="0.3">
      <c r="A227">
        <v>225</v>
      </c>
      <c r="B227" s="59">
        <f>(Data!C227-Data!C226)/Data!C226</f>
        <v>8.4924843647866226E-3</v>
      </c>
      <c r="C227" s="59">
        <f>(Data!F227-Data!F226)/Data!F226</f>
        <v>-2.6259178653196208E-3</v>
      </c>
      <c r="D227" s="59">
        <f>(Data!I227-Data!I226)/Data!I226</f>
        <v>9.0447809674775795E-3</v>
      </c>
      <c r="E227" s="59">
        <f>(Data!L227-Data!L226)/Data!L226</f>
        <v>-3.5561023212100917E-4</v>
      </c>
    </row>
    <row r="228" spans="1:5" x14ac:dyDescent="0.3">
      <c r="A228">
        <v>226</v>
      </c>
      <c r="B228" s="59">
        <f>(Data!C228-Data!C227)/Data!C227</f>
        <v>1.2684966694008221E-3</v>
      </c>
      <c r="C228" s="59">
        <f>(Data!F228-Data!F227)/Data!F227</f>
        <v>2.2409107434049468E-2</v>
      </c>
      <c r="D228" s="59">
        <f>(Data!I228-Data!I227)/Data!I227</f>
        <v>-1.8630556475300569E-2</v>
      </c>
      <c r="E228" s="59">
        <f>(Data!L228-Data!L227)/Data!L227</f>
        <v>-2.5052985293139835E-2</v>
      </c>
    </row>
    <row r="229" spans="1:5" x14ac:dyDescent="0.3">
      <c r="A229">
        <v>227</v>
      </c>
      <c r="B229" s="59">
        <f>(Data!C229-Data!C228)/Data!C228</f>
        <v>-2.4756730111614129E-2</v>
      </c>
      <c r="C229" s="59">
        <f>(Data!F229-Data!F228)/Data!F228</f>
        <v>8.1819122100411663E-3</v>
      </c>
      <c r="D229" s="59">
        <f>(Data!I229-Data!I228)/Data!I228</f>
        <v>4.2825913262611044E-2</v>
      </c>
      <c r="E229" s="59">
        <f>(Data!L229-Data!L228)/Data!L228</f>
        <v>-3.3104476663588216E-3</v>
      </c>
    </row>
    <row r="230" spans="1:5" x14ac:dyDescent="0.3">
      <c r="A230">
        <v>228</v>
      </c>
      <c r="B230" s="59">
        <f>(Data!C230-Data!C229)/Data!C229</f>
        <v>3.433571429840454E-2</v>
      </c>
      <c r="C230" s="59">
        <f>(Data!F230-Data!F229)/Data!F229</f>
        <v>1.5385687711818895E-3</v>
      </c>
      <c r="D230" s="59">
        <f>(Data!I230-Data!I229)/Data!I229</f>
        <v>-5.5656339953871273E-3</v>
      </c>
      <c r="E230" s="59">
        <f>(Data!L230-Data!L229)/Data!L229</f>
        <v>-2.0867674509200886E-2</v>
      </c>
    </row>
    <row r="231" spans="1:5" x14ac:dyDescent="0.3">
      <c r="A231">
        <v>229</v>
      </c>
      <c r="B231" s="59">
        <f>(Data!C231-Data!C230)/Data!C230</f>
        <v>7.0104348498051519E-3</v>
      </c>
      <c r="C231" s="59">
        <f>(Data!F231-Data!F230)/Data!F230</f>
        <v>2.2680614702877105E-2</v>
      </c>
      <c r="D231" s="59">
        <f>(Data!I231-Data!I230)/Data!I230</f>
        <v>2.1660822228337148E-3</v>
      </c>
      <c r="E231" s="59">
        <f>(Data!L231-Data!L230)/Data!L230</f>
        <v>-2.2900424105612202E-2</v>
      </c>
    </row>
    <row r="232" spans="1:5" x14ac:dyDescent="0.3">
      <c r="A232">
        <v>230</v>
      </c>
      <c r="B232" s="59">
        <f>(Data!C232-Data!C231)/Data!C231</f>
        <v>9.6952851413394606E-3</v>
      </c>
      <c r="C232" s="59">
        <f>(Data!F232-Data!F231)/Data!F231</f>
        <v>2.2337185213104392E-3</v>
      </c>
      <c r="D232" s="59">
        <f>(Data!I232-Data!I231)/Data!I231</f>
        <v>8.4450925805099435E-3</v>
      </c>
      <c r="E232" s="59">
        <f>(Data!L232-Data!L231)/Data!L231</f>
        <v>3.7746946013945118E-3</v>
      </c>
    </row>
    <row r="233" spans="1:5" x14ac:dyDescent="0.3">
      <c r="A233">
        <v>231</v>
      </c>
      <c r="B233" s="59">
        <f>(Data!C233-Data!C232)/Data!C232</f>
        <v>4.0980455174692261E-3</v>
      </c>
      <c r="C233" s="59">
        <f>(Data!F233-Data!F232)/Data!F232</f>
        <v>5.4989434851617702E-3</v>
      </c>
      <c r="D233" s="59">
        <f>(Data!I233-Data!I232)/Data!I232</f>
        <v>-2.3898644325733515E-3</v>
      </c>
      <c r="E233" s="59">
        <f>(Data!L233-Data!L232)/Data!L232</f>
        <v>4.3391272723654416E-2</v>
      </c>
    </row>
    <row r="234" spans="1:5" x14ac:dyDescent="0.3">
      <c r="A234">
        <v>232</v>
      </c>
      <c r="B234" s="59">
        <f>(Data!C234-Data!C233)/Data!C233</f>
        <v>4.5184189218472805E-3</v>
      </c>
      <c r="C234" s="59">
        <f>(Data!F234-Data!F233)/Data!F233</f>
        <v>-1.3834916715830994E-2</v>
      </c>
      <c r="D234" s="59">
        <f>(Data!I234-Data!I233)/Data!I233</f>
        <v>-3.824124310551672E-3</v>
      </c>
      <c r="E234" s="59">
        <f>(Data!L234-Data!L233)/Data!L233</f>
        <v>-6.8165462380526667E-3</v>
      </c>
    </row>
    <row r="235" spans="1:5" x14ac:dyDescent="0.3">
      <c r="A235">
        <v>233</v>
      </c>
      <c r="B235" s="59">
        <f>(Data!C235-Data!C234)/Data!C234</f>
        <v>-1.462979140943451E-4</v>
      </c>
      <c r="C235" s="59">
        <f>(Data!F235-Data!F234)/Data!F234</f>
        <v>2.0227861747199399E-2</v>
      </c>
      <c r="D235" s="59">
        <f>(Data!I235-Data!I234)/Data!I234</f>
        <v>-3.6850663414899794E-3</v>
      </c>
      <c r="E235" s="59">
        <f>(Data!L235-Data!L234)/Data!L234</f>
        <v>-6.1332970667515091E-3</v>
      </c>
    </row>
    <row r="236" spans="1:5" x14ac:dyDescent="0.3">
      <c r="A236">
        <v>234</v>
      </c>
      <c r="B236" s="59">
        <f>(Data!C236-Data!C235)/Data!C235</f>
        <v>-5.2575254201908672E-3</v>
      </c>
      <c r="C236" s="59">
        <f>(Data!F236-Data!F235)/Data!F235</f>
        <v>2.676473064877644E-3</v>
      </c>
      <c r="D236" s="59">
        <f>(Data!I236-Data!I235)/Data!I235</f>
        <v>9.2676613813863062E-4</v>
      </c>
      <c r="E236" s="59">
        <f>(Data!L236-Data!L235)/Data!L235</f>
        <v>-6.6579348641848737E-3</v>
      </c>
    </row>
    <row r="237" spans="1:5" x14ac:dyDescent="0.3">
      <c r="A237">
        <v>235</v>
      </c>
      <c r="B237" s="59">
        <f>(Data!C237-Data!C236)/Data!C236</f>
        <v>1.0721688854600295E-2</v>
      </c>
      <c r="C237" s="59">
        <f>(Data!F237-Data!F236)/Data!F236</f>
        <v>-5.4445099872799376E-3</v>
      </c>
      <c r="D237" s="59">
        <f>(Data!I237-Data!I236)/Data!I236</f>
        <v>4.0636304873049233E-3</v>
      </c>
      <c r="E237" s="59">
        <f>(Data!L237-Data!L236)/Data!L236</f>
        <v>1.9193419727604581E-2</v>
      </c>
    </row>
    <row r="238" spans="1:5" x14ac:dyDescent="0.3">
      <c r="A238">
        <v>236</v>
      </c>
      <c r="B238" s="59">
        <f>(Data!C238-Data!C237)/Data!C237</f>
        <v>2.2219855538147541E-3</v>
      </c>
      <c r="C238" s="59">
        <f>(Data!F238-Data!F237)/Data!F237</f>
        <v>1.2527444774760499E-2</v>
      </c>
      <c r="D238" s="59">
        <f>(Data!I238-Data!I237)/Data!I237</f>
        <v>-1.7695526614828997E-3</v>
      </c>
      <c r="E238" s="59">
        <f>(Data!L238-Data!L237)/Data!L237</f>
        <v>-2.2124350005413456E-3</v>
      </c>
    </row>
    <row r="239" spans="1:5" x14ac:dyDescent="0.3">
      <c r="A239">
        <v>237</v>
      </c>
      <c r="B239" s="59">
        <f>(Data!C239-Data!C238)/Data!C238</f>
        <v>7.5914002737062442E-3</v>
      </c>
      <c r="C239" s="59">
        <f>(Data!F239-Data!F238)/Data!F238</f>
        <v>3.9027446527142677E-3</v>
      </c>
      <c r="D239" s="59">
        <f>(Data!I239-Data!I238)/Data!I238</f>
        <v>2.8084707196567364E-2</v>
      </c>
      <c r="E239" s="59">
        <f>(Data!L239-Data!L238)/Data!L238</f>
        <v>1.9388516733875864E-2</v>
      </c>
    </row>
    <row r="240" spans="1:5" x14ac:dyDescent="0.3">
      <c r="A240">
        <v>238</v>
      </c>
      <c r="B240" s="59">
        <f>(Data!C240-Data!C239)/Data!C239</f>
        <v>1.3183053048657441E-2</v>
      </c>
      <c r="C240" s="59">
        <f>(Data!F240-Data!F239)/Data!F239</f>
        <v>-7.0262559348948416E-3</v>
      </c>
      <c r="D240" s="59">
        <f>(Data!I240-Data!I239)/Data!I239</f>
        <v>-1.3261080917349038E-2</v>
      </c>
      <c r="E240" s="59">
        <f>(Data!L240-Data!L239)/Data!L239</f>
        <v>-5.5125296190998629E-3</v>
      </c>
    </row>
    <row r="241" spans="1:5" x14ac:dyDescent="0.3">
      <c r="A241">
        <v>239</v>
      </c>
      <c r="B241" s="59">
        <f>(Data!C241-Data!C240)/Data!C240</f>
        <v>-1.4157306316348407E-2</v>
      </c>
      <c r="C241" s="59">
        <f>(Data!F241-Data!F240)/Data!F240</f>
        <v>1.0183129996097053E-4</v>
      </c>
      <c r="D241" s="59">
        <f>(Data!I241-Data!I240)/Data!I240</f>
        <v>5.20296686853254E-3</v>
      </c>
      <c r="E241" s="59">
        <f>(Data!L241-Data!L240)/Data!L240</f>
        <v>4.6825568183304633E-3</v>
      </c>
    </row>
    <row r="242" spans="1:5" x14ac:dyDescent="0.3">
      <c r="A242">
        <v>240</v>
      </c>
      <c r="B242" s="59">
        <f>(Data!C242-Data!C241)/Data!C241</f>
        <v>2.2029128397908779E-3</v>
      </c>
      <c r="C242" s="59">
        <f>(Data!F242-Data!F241)/Data!F241</f>
        <v>4.1758152435672005E-3</v>
      </c>
      <c r="D242" s="59">
        <f>(Data!I242-Data!I241)/Data!I241</f>
        <v>7.603385148326528E-5</v>
      </c>
      <c r="E242" s="59">
        <f>(Data!L242-Data!L241)/Data!L241</f>
        <v>1.337358558683301E-2</v>
      </c>
    </row>
    <row r="243" spans="1:5" x14ac:dyDescent="0.3">
      <c r="A243">
        <v>241</v>
      </c>
      <c r="B243" s="59">
        <f>(Data!C243-Data!C242)/Data!C242</f>
        <v>1.3757255722175522E-3</v>
      </c>
      <c r="C243" s="59">
        <f>(Data!F243-Data!F242)/Data!F242</f>
        <v>8.2631412332662916E-3</v>
      </c>
      <c r="D243" s="59">
        <f>(Data!I243-Data!I242)/Data!I242</f>
        <v>5.9123137387760696E-3</v>
      </c>
      <c r="E243" s="59">
        <f>(Data!L243-Data!L242)/Data!L242</f>
        <v>2.9287690340580271E-4</v>
      </c>
    </row>
    <row r="244" spans="1:5" x14ac:dyDescent="0.3">
      <c r="A244">
        <v>242</v>
      </c>
      <c r="B244" s="59">
        <f>(Data!C244-Data!C243)/Data!C243</f>
        <v>8.4886941971221846E-3</v>
      </c>
      <c r="C244" s="59">
        <f>(Data!F244-Data!F243)/Data!F243</f>
        <v>8.1954213095193507E-3</v>
      </c>
      <c r="D244" s="59">
        <f>(Data!I244-Data!I243)/Data!I243</f>
        <v>1.7788458628638093E-2</v>
      </c>
      <c r="E244" s="59">
        <f>(Data!L244-Data!L243)/Data!L243</f>
        <v>2.4405349447031353E-2</v>
      </c>
    </row>
    <row r="245" spans="1:5" x14ac:dyDescent="0.3">
      <c r="A245">
        <v>243</v>
      </c>
      <c r="B245" s="59">
        <f>(Data!C245-Data!C244)/Data!C244</f>
        <v>-7.8468274522027516E-3</v>
      </c>
      <c r="C245" s="59">
        <f>(Data!F245-Data!F244)/Data!F244</f>
        <v>2.8189022434818177E-4</v>
      </c>
      <c r="D245" s="59">
        <f>(Data!I245-Data!I244)/Data!I244</f>
        <v>-9.5384914372449274E-3</v>
      </c>
      <c r="E245" s="59">
        <f>(Data!L245-Data!L244)/Data!L244</f>
        <v>1.6936111334382688E-2</v>
      </c>
    </row>
    <row r="246" spans="1:5" x14ac:dyDescent="0.3">
      <c r="A246">
        <v>244</v>
      </c>
      <c r="B246" s="59">
        <f>(Data!C246-Data!C245)/Data!C245</f>
        <v>-1.4562467073728508E-3</v>
      </c>
      <c r="C246" s="59">
        <f>(Data!F246-Data!F245)/Data!F245</f>
        <v>-1.6419956536111711E-3</v>
      </c>
      <c r="D246" s="59">
        <f>(Data!I246-Data!I245)/Data!I245</f>
        <v>2.1593574806105915E-3</v>
      </c>
      <c r="E246" s="59">
        <f>(Data!L246-Data!L245)/Data!L245</f>
        <v>-6.5903575846912909E-3</v>
      </c>
    </row>
    <row r="247" spans="1:5" x14ac:dyDescent="0.3">
      <c r="A247">
        <v>245</v>
      </c>
      <c r="B247" s="59">
        <f>(Data!C247-Data!C246)/Data!C246</f>
        <v>1.5549260984848464E-2</v>
      </c>
      <c r="C247" s="59">
        <f>(Data!F247-Data!F246)/Data!F246</f>
        <v>4.0378909772241069E-3</v>
      </c>
      <c r="D247" s="59">
        <f>(Data!I247-Data!I246)/Data!I246</f>
        <v>-5.5746141851388559E-3</v>
      </c>
      <c r="E247" s="59">
        <f>(Data!L247-Data!L246)/Data!L246</f>
        <v>-3.8810012586729033E-4</v>
      </c>
    </row>
    <row r="248" spans="1:5" x14ac:dyDescent="0.3">
      <c r="A248">
        <v>246</v>
      </c>
      <c r="B248" s="59">
        <f>(Data!C248-Data!C247)/Data!C247</f>
        <v>8.5973960122815839E-3</v>
      </c>
      <c r="C248" s="59">
        <f>(Data!F248-Data!F247)/Data!F247</f>
        <v>1.0839008938588189E-2</v>
      </c>
      <c r="D248" s="59">
        <f>(Data!I248-Data!I247)/Data!I247</f>
        <v>-2.7757685024655592E-3</v>
      </c>
      <c r="E248" s="59">
        <f>(Data!L248-Data!L247)/Data!L247</f>
        <v>-7.4053346894089175E-3</v>
      </c>
    </row>
    <row r="249" spans="1:5" x14ac:dyDescent="0.3">
      <c r="A249">
        <v>247</v>
      </c>
      <c r="B249" s="59">
        <f>(Data!C249-Data!C248)/Data!C248</f>
        <v>8.9860985612083815E-4</v>
      </c>
      <c r="C249" s="59">
        <f>(Data!F249-Data!F248)/Data!F248</f>
        <v>-4.1980786612185323E-4</v>
      </c>
      <c r="D249" s="59">
        <f>(Data!I249-Data!I248)/Data!I248</f>
        <v>-3.4453069523142578E-3</v>
      </c>
      <c r="E249" s="59">
        <f>(Data!L249-Data!L248)/Data!L248</f>
        <v>-1.1411869429224715E-2</v>
      </c>
    </row>
    <row r="250" spans="1:5" x14ac:dyDescent="0.3">
      <c r="A250">
        <v>248</v>
      </c>
      <c r="B250" s="59">
        <f>(Data!C250-Data!C249)/Data!C249</f>
        <v>6.7762366585587671E-3</v>
      </c>
      <c r="C250" s="59">
        <f>(Data!F250-Data!F249)/Data!F249</f>
        <v>2.1292204754246439E-3</v>
      </c>
      <c r="D250" s="59">
        <f>(Data!I250-Data!I249)/Data!I249</f>
        <v>-1.4205965762315196E-3</v>
      </c>
      <c r="E250" s="59">
        <f>(Data!L250-Data!L249)/Data!L249</f>
        <v>1.2630359662902116E-2</v>
      </c>
    </row>
    <row r="251" spans="1:5" x14ac:dyDescent="0.3">
      <c r="A251">
        <v>249</v>
      </c>
      <c r="B251" s="59">
        <f>(Data!C251-Data!C250)/Data!C250</f>
        <v>4.7084203830329279E-3</v>
      </c>
      <c r="C251" s="59">
        <f>(Data!F251-Data!F250)/Data!F250</f>
        <v>-7.1830358994200887E-4</v>
      </c>
      <c r="D251" s="59">
        <f>(Data!I251-Data!I250)/Data!I250</f>
        <v>1.4705750716619982E-2</v>
      </c>
      <c r="E251" s="59">
        <f>(Data!L251-Data!L250)/Data!L250</f>
        <v>2.3052712456840107E-3</v>
      </c>
    </row>
    <row r="252" spans="1:5" x14ac:dyDescent="0.3">
      <c r="A252">
        <v>250</v>
      </c>
      <c r="B252" s="59">
        <f>(Data!C252-Data!C251)/Data!C251</f>
        <v>-2.2244380717381562E-3</v>
      </c>
      <c r="C252" s="59">
        <f>(Data!F252-Data!F251)/Data!F251</f>
        <v>-7.1881992087169291E-4</v>
      </c>
      <c r="D252" s="59">
        <f>(Data!I252-Data!I251)/Data!I251</f>
        <v>-8.0281447541892467E-3</v>
      </c>
      <c r="E252" s="59">
        <f>(Data!L252-Data!L251)/Data!L251</f>
        <v>-4.5990876795641762E-4</v>
      </c>
    </row>
    <row r="253" spans="1:5" x14ac:dyDescent="0.3">
      <c r="A253">
        <v>251</v>
      </c>
      <c r="B253" s="59">
        <f>(Data!C253-Data!C252)/Data!C252</f>
        <v>-9.3571399280226886E-3</v>
      </c>
      <c r="C253" s="59">
        <f>(Data!F253-Data!F252)/Data!F252</f>
        <v>-1.316524865832205E-4</v>
      </c>
      <c r="D253" s="59">
        <f>(Data!I253-Data!I252)/Data!I252</f>
        <v>-2.1895600527670492E-2</v>
      </c>
      <c r="E253" s="59">
        <f>(Data!L253-Data!L252)/Data!L252</f>
        <v>-1.1330420319227251E-2</v>
      </c>
    </row>
    <row r="254" spans="1:5" x14ac:dyDescent="0.3">
      <c r="A254">
        <v>252</v>
      </c>
      <c r="B254" s="59">
        <f>(Data!C254-Data!C253)/Data!C253</f>
        <v>6.7620109268722505E-4</v>
      </c>
      <c r="C254" s="59">
        <f>(Data!F254-Data!F253)/Data!F253</f>
        <v>7.0678189038045252E-3</v>
      </c>
      <c r="D254" s="59">
        <f>(Data!I254-Data!I253)/Data!I253</f>
        <v>-1.6218687196959208E-2</v>
      </c>
      <c r="E254" s="59">
        <f>(Data!L254-Data!L253)/Data!L253</f>
        <v>9.5077543026892003E-3</v>
      </c>
    </row>
    <row r="255" spans="1:5" x14ac:dyDescent="0.3">
      <c r="A255">
        <v>253</v>
      </c>
      <c r="B255" s="59">
        <f>(Data!C255-Data!C254)/Data!C254</f>
        <v>7.091030928124373E-4</v>
      </c>
      <c r="C255" s="59">
        <f>(Data!F255-Data!F254)/Data!F254</f>
        <v>9.7677623779762702E-4</v>
      </c>
      <c r="D255" s="59">
        <f>(Data!I255-Data!I254)/Data!I254</f>
        <v>1.28427588215168E-2</v>
      </c>
      <c r="E255" s="59">
        <f>(Data!L255-Data!L254)/Data!L254</f>
        <v>-1.6940878077639503E-3</v>
      </c>
    </row>
    <row r="256" spans="1:5" x14ac:dyDescent="0.3">
      <c r="A256">
        <v>254</v>
      </c>
      <c r="B256" s="59">
        <f>(Data!C256-Data!C255)/Data!C255</f>
        <v>1.2890224506745563E-2</v>
      </c>
      <c r="C256" s="59">
        <f>(Data!F256-Data!F255)/Data!F255</f>
        <v>1.1581269506858866E-2</v>
      </c>
      <c r="D256" s="59">
        <f>(Data!I256-Data!I255)/Data!I255</f>
        <v>1.0032651198764179E-2</v>
      </c>
      <c r="E256" s="59">
        <f>(Data!L256-Data!L255)/Data!L255</f>
        <v>1.1990771501058846E-2</v>
      </c>
    </row>
    <row r="257" spans="1:5" x14ac:dyDescent="0.3">
      <c r="A257">
        <v>255</v>
      </c>
      <c r="B257" s="59">
        <f>(Data!C257-Data!C256)/Data!C256</f>
        <v>3.023994731897068E-3</v>
      </c>
      <c r="C257" s="59">
        <f>(Data!F257-Data!F256)/Data!F256</f>
        <v>-2.2998107334257453E-3</v>
      </c>
      <c r="D257" s="59">
        <f>(Data!I257-Data!I256)/Data!I256</f>
        <v>4.5859721842528524E-3</v>
      </c>
      <c r="E257" s="59">
        <f>(Data!L257-Data!L256)/Data!L256</f>
        <v>-1.016771515970398E-3</v>
      </c>
    </row>
    <row r="258" spans="1:5" x14ac:dyDescent="0.3">
      <c r="A258">
        <v>256</v>
      </c>
      <c r="B258" s="59">
        <f>(Data!C258-Data!C257)/Data!C257</f>
        <v>-2.6516416178183084E-3</v>
      </c>
      <c r="C258" s="59">
        <f>(Data!F258-Data!F257)/Data!F257</f>
        <v>-1.8683525191049166E-2</v>
      </c>
      <c r="D258" s="59">
        <f>(Data!I258-Data!I257)/Data!I257</f>
        <v>-4.562523798752896E-3</v>
      </c>
      <c r="E258" s="59">
        <f>(Data!L258-Data!L257)/Data!L257</f>
        <v>1.7309145088604143E-2</v>
      </c>
    </row>
    <row r="259" spans="1:5" x14ac:dyDescent="0.3">
      <c r="A259">
        <v>257</v>
      </c>
      <c r="B259" s="59">
        <f>(Data!C259-Data!C258)/Data!C258</f>
        <v>1.0878752906358192E-2</v>
      </c>
      <c r="C259" s="59">
        <f>(Data!F259-Data!F258)/Data!F258</f>
        <v>1.599127210846122E-2</v>
      </c>
      <c r="D259" s="59">
        <f>(Data!I259-Data!I258)/Data!I258</f>
        <v>2.0015933566358682E-2</v>
      </c>
      <c r="E259" s="59">
        <f>(Data!L259-Data!L258)/Data!L258</f>
        <v>-4.478003712263103E-3</v>
      </c>
    </row>
    <row r="260" spans="1:5" x14ac:dyDescent="0.3">
      <c r="A260">
        <v>258</v>
      </c>
      <c r="B260" s="59">
        <f>(Data!C260-Data!C259)/Data!C259</f>
        <v>1.4987432818573409E-3</v>
      </c>
      <c r="C260" s="59">
        <f>(Data!F260-Data!F259)/Data!F259</f>
        <v>-4.1937018395000573E-3</v>
      </c>
      <c r="D260" s="59">
        <f>(Data!I260-Data!I259)/Data!I259</f>
        <v>-1.7274263160939034E-3</v>
      </c>
      <c r="E260" s="59">
        <f>(Data!L260-Data!L259)/Data!L259</f>
        <v>-2.7104607425208309E-2</v>
      </c>
    </row>
    <row r="261" spans="1:5" x14ac:dyDescent="0.3">
      <c r="A261">
        <v>259</v>
      </c>
      <c r="B261" s="59">
        <f>(Data!C261-Data!C260)/Data!C260</f>
        <v>1.7771106074729415E-3</v>
      </c>
      <c r="C261" s="59">
        <f>(Data!F261-Data!F260)/Data!F260</f>
        <v>1.0128900260104979E-2</v>
      </c>
      <c r="D261" s="59">
        <f>(Data!I261-Data!I260)/Data!I260</f>
        <v>1.3276578974736905E-3</v>
      </c>
      <c r="E261" s="59">
        <f>(Data!L261-Data!L260)/Data!L260</f>
        <v>2.5218454917804233E-2</v>
      </c>
    </row>
    <row r="262" spans="1:5" x14ac:dyDescent="0.3">
      <c r="A262">
        <v>260</v>
      </c>
      <c r="B262" s="59">
        <f>(Data!C262-Data!C261)/Data!C261</f>
        <v>-3.5264366620445247E-3</v>
      </c>
      <c r="C262" s="59">
        <f>(Data!F262-Data!F261)/Data!F261</f>
        <v>4.0635805094801922E-3</v>
      </c>
      <c r="D262" s="59">
        <f>(Data!I262-Data!I261)/Data!I261</f>
        <v>1.0782031014681422E-2</v>
      </c>
      <c r="E262" s="59">
        <f>(Data!L262-Data!L261)/Data!L261</f>
        <v>2.8078312499951494E-3</v>
      </c>
    </row>
    <row r="263" spans="1:5" x14ac:dyDescent="0.3">
      <c r="A263">
        <v>261</v>
      </c>
      <c r="B263" s="59">
        <f>(Data!C263-Data!C262)/Data!C262</f>
        <v>6.4111023720301256E-3</v>
      </c>
      <c r="C263" s="59">
        <f>(Data!F263-Data!F262)/Data!F262</f>
        <v>6.5100028050298431E-3</v>
      </c>
      <c r="D263" s="59">
        <f>(Data!I263-Data!I262)/Data!I262</f>
        <v>4.690692694534454E-3</v>
      </c>
      <c r="E263" s="59">
        <f>(Data!L263-Data!L262)/Data!L262</f>
        <v>2.7284881124024708E-3</v>
      </c>
    </row>
    <row r="264" spans="1:5" x14ac:dyDescent="0.3">
      <c r="A264">
        <v>262</v>
      </c>
      <c r="B264" s="59">
        <f>(Data!C264-Data!C263)/Data!C263</f>
        <v>1.2318623740310147E-3</v>
      </c>
      <c r="C264" s="59">
        <f>(Data!F264-Data!F263)/Data!F263</f>
        <v>4.9624690235842688E-3</v>
      </c>
      <c r="D264" s="59">
        <f>(Data!I264-Data!I263)/Data!I263</f>
        <v>9.0041962215753443E-4</v>
      </c>
      <c r="E264" s="59">
        <f>(Data!L264-Data!L263)/Data!L263</f>
        <v>-1.7627035536076936E-2</v>
      </c>
    </row>
    <row r="265" spans="1:5" x14ac:dyDescent="0.3">
      <c r="A265">
        <v>263</v>
      </c>
      <c r="B265" s="59">
        <f>(Data!C265-Data!C264)/Data!C264</f>
        <v>-7.9045706907845308E-4</v>
      </c>
      <c r="C265" s="59">
        <f>(Data!F265-Data!F264)/Data!F264</f>
        <v>-6.4656338015883913E-3</v>
      </c>
      <c r="D265" s="59">
        <f>(Data!I265-Data!I264)/Data!I264</f>
        <v>4.5154858830748828E-3</v>
      </c>
      <c r="E265" s="59">
        <f>(Data!L265-Data!L264)/Data!L264</f>
        <v>1.4211111020549361E-2</v>
      </c>
    </row>
    <row r="266" spans="1:5" x14ac:dyDescent="0.3">
      <c r="A266">
        <v>264</v>
      </c>
      <c r="B266" s="59">
        <f>(Data!C266-Data!C265)/Data!C265</f>
        <v>-5.4404919765090693E-4</v>
      </c>
      <c r="C266" s="59">
        <f>(Data!F266-Data!F265)/Data!F265</f>
        <v>-5.0816986069239826E-4</v>
      </c>
      <c r="D266" s="59">
        <f>(Data!I266-Data!I265)/Data!I265</f>
        <v>1.4894268537774737E-3</v>
      </c>
      <c r="E266" s="59">
        <f>(Data!L266-Data!L265)/Data!L265</f>
        <v>1.6007348438606992E-2</v>
      </c>
    </row>
    <row r="267" spans="1:5" x14ac:dyDescent="0.3">
      <c r="A267">
        <v>265</v>
      </c>
      <c r="B267" s="59">
        <f>(Data!C267-Data!C266)/Data!C266</f>
        <v>-2.825508466105802E-3</v>
      </c>
      <c r="C267" s="59">
        <f>(Data!F267-Data!F266)/Data!F266</f>
        <v>-4.320960675344084E-3</v>
      </c>
      <c r="D267" s="59">
        <f>(Data!I267-Data!I266)/Data!I266</f>
        <v>-7.0864971669565152E-3</v>
      </c>
      <c r="E267" s="59">
        <f>(Data!L267-Data!L266)/Data!L266</f>
        <v>-1.4486959499517638E-3</v>
      </c>
    </row>
    <row r="268" spans="1:5" x14ac:dyDescent="0.3">
      <c r="A268">
        <v>266</v>
      </c>
      <c r="B268" s="59">
        <f>(Data!C268-Data!C267)/Data!C267</f>
        <v>6.8953205322889507E-3</v>
      </c>
      <c r="C268" s="59">
        <f>(Data!F268-Data!F267)/Data!F267</f>
        <v>6.2511476528405736E-3</v>
      </c>
      <c r="D268" s="59">
        <f>(Data!I268-Data!I267)/Data!I267</f>
        <v>2.5205718985683525E-4</v>
      </c>
      <c r="E268" s="59">
        <f>(Data!L268-Data!L267)/Data!L267</f>
        <v>1.072322789910317E-2</v>
      </c>
    </row>
    <row r="269" spans="1:5" x14ac:dyDescent="0.3">
      <c r="A269">
        <v>267</v>
      </c>
      <c r="B269" s="59">
        <f>(Data!C269-Data!C268)/Data!C268</f>
        <v>-3.8805582032796471E-3</v>
      </c>
      <c r="C269" s="59">
        <f>(Data!F269-Data!F268)/Data!F268</f>
        <v>5.1165851929614896E-3</v>
      </c>
      <c r="D269" s="59">
        <f>(Data!I269-Data!I268)/Data!I268</f>
        <v>8.0955132808190489E-3</v>
      </c>
      <c r="E269" s="59">
        <f>(Data!L269-Data!L268)/Data!L268</f>
        <v>-1.3364748004020795E-2</v>
      </c>
    </row>
    <row r="270" spans="1:5" x14ac:dyDescent="0.3">
      <c r="A270">
        <v>268</v>
      </c>
      <c r="B270" s="59">
        <f>(Data!C270-Data!C269)/Data!C269</f>
        <v>-1.1315330914882669E-3</v>
      </c>
      <c r="C270" s="59">
        <f>(Data!F270-Data!F269)/Data!F269</f>
        <v>6.9398945593791448E-5</v>
      </c>
      <c r="D270" s="59">
        <f>(Data!I270-Data!I269)/Data!I269</f>
        <v>-1.1732658600610823E-2</v>
      </c>
      <c r="E270" s="59">
        <f>(Data!L270-Data!L269)/Data!L269</f>
        <v>5.0549197743226101E-3</v>
      </c>
    </row>
    <row r="271" spans="1:5" x14ac:dyDescent="0.3">
      <c r="A271">
        <v>269</v>
      </c>
      <c r="B271" s="59">
        <f>(Data!C271-Data!C270)/Data!C270</f>
        <v>-6.5240985927846563E-3</v>
      </c>
      <c r="C271" s="59">
        <f>(Data!F271-Data!F270)/Data!F270</f>
        <v>2.6241644462339734E-3</v>
      </c>
      <c r="D271" s="59">
        <f>(Data!I271-Data!I270)/Data!I270</f>
        <v>7.082157149407721E-3</v>
      </c>
      <c r="E271" s="59">
        <f>(Data!L271-Data!L270)/Data!L270</f>
        <v>1.9683346200421595E-3</v>
      </c>
    </row>
    <row r="272" spans="1:5" x14ac:dyDescent="0.3">
      <c r="A272">
        <v>270</v>
      </c>
      <c r="B272" s="59">
        <f>(Data!C272-Data!C271)/Data!C271</f>
        <v>-8.1257173675008381E-3</v>
      </c>
      <c r="C272" s="59">
        <f>(Data!F272-Data!F271)/Data!F271</f>
        <v>-8.8902110875580653E-3</v>
      </c>
      <c r="D272" s="59">
        <f>(Data!I272-Data!I271)/Data!I271</f>
        <v>-2.7605160219339106E-3</v>
      </c>
      <c r="E272" s="59">
        <f>(Data!L272-Data!L271)/Data!L271</f>
        <v>-5.6705324636121743E-4</v>
      </c>
    </row>
    <row r="273" spans="1:5" x14ac:dyDescent="0.3">
      <c r="A273">
        <v>271</v>
      </c>
      <c r="B273" s="59">
        <f>(Data!C273-Data!C272)/Data!C272</f>
        <v>-2.1316891099281811E-3</v>
      </c>
      <c r="C273" s="59">
        <f>(Data!F273-Data!F272)/Data!F272</f>
        <v>-1.9146624134704179E-2</v>
      </c>
      <c r="D273" s="59">
        <f>(Data!I273-Data!I272)/Data!I272</f>
        <v>-2.7768043390709871E-4</v>
      </c>
      <c r="E273" s="59">
        <f>(Data!L273-Data!L272)/Data!L272</f>
        <v>-1.0003147382035156E-2</v>
      </c>
    </row>
    <row r="274" spans="1:5" x14ac:dyDescent="0.3">
      <c r="A274">
        <v>272</v>
      </c>
      <c r="B274" s="59">
        <f>(Data!C274-Data!C273)/Data!C273</f>
        <v>1.4666042063348398E-2</v>
      </c>
      <c r="C274" s="59">
        <f>(Data!F274-Data!F273)/Data!F273</f>
        <v>9.7377345157662522E-3</v>
      </c>
      <c r="D274" s="59">
        <f>(Data!I274-Data!I273)/Data!I273</f>
        <v>-2.7417475863383625E-3</v>
      </c>
      <c r="E274" s="59">
        <f>(Data!L274-Data!L273)/Data!L273</f>
        <v>2.817403064465515E-3</v>
      </c>
    </row>
    <row r="275" spans="1:5" x14ac:dyDescent="0.3">
      <c r="A275">
        <v>273</v>
      </c>
      <c r="B275" s="59">
        <f>(Data!C275-Data!C274)/Data!C274</f>
        <v>2.9533183111009917E-3</v>
      </c>
      <c r="C275" s="59">
        <f>(Data!F275-Data!F274)/Data!F274</f>
        <v>1.4649824706559691E-2</v>
      </c>
      <c r="D275" s="59">
        <f>(Data!I275-Data!I274)/Data!I274</f>
        <v>4.5405392193741661E-3</v>
      </c>
      <c r="E275" s="59">
        <f>(Data!L275-Data!L274)/Data!L274</f>
        <v>1.2669219894160469E-2</v>
      </c>
    </row>
    <row r="276" spans="1:5" x14ac:dyDescent="0.3">
      <c r="A276">
        <v>274</v>
      </c>
      <c r="B276" s="59">
        <f>(Data!C276-Data!C275)/Data!C275</f>
        <v>6.9495836895341742E-3</v>
      </c>
      <c r="C276" s="59">
        <f>(Data!F276-Data!F275)/Data!F275</f>
        <v>-3.9217328306087543E-3</v>
      </c>
      <c r="D276" s="59">
        <f>(Data!I276-Data!I275)/Data!I275</f>
        <v>2.7096469958176535E-4</v>
      </c>
      <c r="E276" s="59">
        <f>(Data!L276-Data!L275)/Data!L275</f>
        <v>-6.4357441474010933E-3</v>
      </c>
    </row>
    <row r="277" spans="1:5" x14ac:dyDescent="0.3">
      <c r="A277">
        <v>275</v>
      </c>
      <c r="B277" s="59">
        <f>(Data!C277-Data!C276)/Data!C276</f>
        <v>-8.6802259320995824E-4</v>
      </c>
      <c r="C277" s="59">
        <f>(Data!F277-Data!F276)/Data!F276</f>
        <v>1.5253487271971987E-3</v>
      </c>
      <c r="D277" s="59">
        <f>(Data!I277-Data!I276)/Data!I276</f>
        <v>5.4278215478170142E-3</v>
      </c>
      <c r="E277" s="59">
        <f>(Data!L277-Data!L276)/Data!L276</f>
        <v>-8.4231579281141833E-3</v>
      </c>
    </row>
    <row r="278" spans="1:5" x14ac:dyDescent="0.3">
      <c r="A278">
        <v>276</v>
      </c>
      <c r="B278" s="59">
        <f>(Data!C278-Data!C277)/Data!C277</f>
        <v>4.9849029011059566E-3</v>
      </c>
      <c r="C278" s="59">
        <f>(Data!F278-Data!F277)/Data!F277</f>
        <v>5.575784650761504E-3</v>
      </c>
      <c r="D278" s="59">
        <f>(Data!I278-Data!I277)/Data!I277</f>
        <v>2.8030651756685934E-3</v>
      </c>
      <c r="E278" s="59">
        <f>(Data!L278-Data!L277)/Data!L277</f>
        <v>-7.2832109191999245E-3</v>
      </c>
    </row>
    <row r="279" spans="1:5" x14ac:dyDescent="0.3">
      <c r="A279">
        <v>277</v>
      </c>
      <c r="B279" s="59">
        <f>(Data!C279-Data!C278)/Data!C278</f>
        <v>3.7059469240238938E-3</v>
      </c>
      <c r="C279" s="59">
        <f>(Data!F279-Data!F278)/Data!F278</f>
        <v>1.3675253261897252E-2</v>
      </c>
      <c r="D279" s="59">
        <f>(Data!I279-Data!I278)/Data!I278</f>
        <v>1.4783877927313746E-2</v>
      </c>
      <c r="E279" s="59">
        <f>(Data!L279-Data!L278)/Data!L278</f>
        <v>-2.4229053792571374E-2</v>
      </c>
    </row>
    <row r="280" spans="1:5" x14ac:dyDescent="0.3">
      <c r="A280">
        <v>278</v>
      </c>
      <c r="B280" s="59">
        <f>(Data!C280-Data!C279)/Data!C279</f>
        <v>-1.3056153949721089E-4</v>
      </c>
      <c r="C280" s="59">
        <f>(Data!F280-Data!F279)/Data!F279</f>
        <v>1.9473464579624238E-3</v>
      </c>
      <c r="D280" s="59">
        <f>(Data!I280-Data!I279)/Data!I279</f>
        <v>-8.213739176469113E-3</v>
      </c>
      <c r="E280" s="59">
        <f>(Data!L280-Data!L279)/Data!L279</f>
        <v>6.0171319692839112E-3</v>
      </c>
    </row>
    <row r="281" spans="1:5" x14ac:dyDescent="0.3">
      <c r="A281">
        <v>279</v>
      </c>
      <c r="B281" s="59">
        <f>(Data!C281-Data!C280)/Data!C280</f>
        <v>-2.9443536434347168E-3</v>
      </c>
      <c r="C281" s="59">
        <f>(Data!F281-Data!F280)/Data!F280</f>
        <v>-4.9313519543948301E-3</v>
      </c>
      <c r="D281" s="59">
        <f>(Data!I281-Data!I280)/Data!I280</f>
        <v>5.6581550525615174E-3</v>
      </c>
      <c r="E281" s="59">
        <f>(Data!L281-Data!L280)/Data!L280</f>
        <v>1.766181532902714E-2</v>
      </c>
    </row>
    <row r="282" spans="1:5" x14ac:dyDescent="0.3">
      <c r="A282">
        <v>280</v>
      </c>
      <c r="B282" s="59">
        <f>(Data!C282-Data!C281)/Data!C281</f>
        <v>1.0852481284119786E-2</v>
      </c>
      <c r="C282" s="59">
        <f>(Data!F282-Data!F281)/Data!F281</f>
        <v>-8.5062039223168517E-3</v>
      </c>
      <c r="D282" s="59">
        <f>(Data!I282-Data!I281)/Data!I281</f>
        <v>-1.3560945328749486E-2</v>
      </c>
      <c r="E282" s="59">
        <f>(Data!L282-Data!L281)/Data!L281</f>
        <v>-2.3670550796383136E-3</v>
      </c>
    </row>
    <row r="283" spans="1:5" x14ac:dyDescent="0.3">
      <c r="A283">
        <v>281</v>
      </c>
      <c r="B283" s="59">
        <f>(Data!C283-Data!C282)/Data!C282</f>
        <v>-1.8974501282021203E-2</v>
      </c>
      <c r="C283" s="59">
        <f>(Data!F283-Data!F282)/Data!F282</f>
        <v>1.4377909962012747E-3</v>
      </c>
      <c r="D283" s="59">
        <f>(Data!I283-Data!I282)/Data!I282</f>
        <v>-8.4291531256052744E-3</v>
      </c>
      <c r="E283" s="59">
        <f>(Data!L283-Data!L282)/Data!L282</f>
        <v>-1.0938828137273347E-3</v>
      </c>
    </row>
    <row r="284" spans="1:5" x14ac:dyDescent="0.3">
      <c r="A284">
        <v>282</v>
      </c>
      <c r="B284" s="59">
        <f>(Data!C284-Data!C283)/Data!C283</f>
        <v>-8.3902083140413065E-4</v>
      </c>
      <c r="C284" s="59">
        <f>(Data!F284-Data!F283)/Data!F283</f>
        <v>-2.0265945897904387E-2</v>
      </c>
      <c r="D284" s="59">
        <f>(Data!I284-Data!I283)/Data!I283</f>
        <v>-1.7482015342937501E-2</v>
      </c>
      <c r="E284" s="59">
        <f>(Data!L284-Data!L283)/Data!L283</f>
        <v>1.6495181545561562E-2</v>
      </c>
    </row>
    <row r="285" spans="1:5" x14ac:dyDescent="0.3">
      <c r="A285">
        <v>283</v>
      </c>
      <c r="B285" s="59">
        <f>(Data!C285-Data!C284)/Data!C284</f>
        <v>7.1827260364814979E-3</v>
      </c>
      <c r="C285" s="59">
        <f>(Data!F285-Data!F284)/Data!F284</f>
        <v>1.5271890432622262E-3</v>
      </c>
      <c r="D285" s="59">
        <f>(Data!I285-Data!I284)/Data!I284</f>
        <v>-4.645478155463869E-3</v>
      </c>
      <c r="E285" s="59">
        <f>(Data!L285-Data!L284)/Data!L284</f>
        <v>1.2621251434361149E-2</v>
      </c>
    </row>
    <row r="286" spans="1:5" x14ac:dyDescent="0.3">
      <c r="A286">
        <v>284</v>
      </c>
      <c r="B286" s="59">
        <f>(Data!C286-Data!C285)/Data!C285</f>
        <v>-4.6443249792896685E-3</v>
      </c>
      <c r="C286" s="59">
        <f>(Data!F286-Data!F285)/Data!F285</f>
        <v>5.6477877067887573E-3</v>
      </c>
      <c r="D286" s="59">
        <f>(Data!I286-Data!I285)/Data!I285</f>
        <v>6.2393078992547578E-3</v>
      </c>
      <c r="E286" s="59">
        <f>(Data!L286-Data!L285)/Data!L285</f>
        <v>6.8911940463232298E-3</v>
      </c>
    </row>
    <row r="287" spans="1:5" x14ac:dyDescent="0.3">
      <c r="A287">
        <v>285</v>
      </c>
      <c r="B287" s="59">
        <f>(Data!C287-Data!C286)/Data!C286</f>
        <v>3.5894814516555119E-3</v>
      </c>
      <c r="C287" s="59">
        <f>(Data!F287-Data!F286)/Data!F286</f>
        <v>1.6346605867048087E-3</v>
      </c>
      <c r="D287" s="59">
        <f>(Data!I287-Data!I286)/Data!I286</f>
        <v>-1.0187479292272932E-3</v>
      </c>
      <c r="E287" s="59">
        <f>(Data!L287-Data!L286)/Data!L286</f>
        <v>-3.3792962521073566E-3</v>
      </c>
    </row>
    <row r="288" spans="1:5" x14ac:dyDescent="0.3">
      <c r="A288">
        <v>286</v>
      </c>
      <c r="B288" s="59">
        <f>(Data!C288-Data!C287)/Data!C287</f>
        <v>6.7342800405345319E-3</v>
      </c>
      <c r="C288" s="59">
        <f>(Data!F288-Data!F287)/Data!F287</f>
        <v>9.5967476170721218E-3</v>
      </c>
      <c r="D288" s="59">
        <f>(Data!I288-Data!I287)/Data!I287</f>
        <v>-7.189026092802288E-4</v>
      </c>
      <c r="E288" s="59">
        <f>(Data!L288-Data!L287)/Data!L287</f>
        <v>6.0286399724005521E-3</v>
      </c>
    </row>
    <row r="289" spans="1:5" x14ac:dyDescent="0.3">
      <c r="A289">
        <v>287</v>
      </c>
      <c r="B289" s="59">
        <f>(Data!C289-Data!C288)/Data!C288</f>
        <v>1.1568600103627853E-2</v>
      </c>
      <c r="C289" s="59">
        <f>(Data!F289-Data!F288)/Data!F288</f>
        <v>1.7577840314055848E-2</v>
      </c>
      <c r="D289" s="59">
        <f>(Data!I289-Data!I288)/Data!I288</f>
        <v>1.261923927803405E-2</v>
      </c>
      <c r="E289" s="59">
        <f>(Data!L289-Data!L288)/Data!L288</f>
        <v>-3.1508436924604623E-2</v>
      </c>
    </row>
    <row r="290" spans="1:5" x14ac:dyDescent="0.3">
      <c r="A290">
        <v>288</v>
      </c>
      <c r="B290" s="59">
        <f>(Data!C290-Data!C289)/Data!C289</f>
        <v>1.7455767155240763E-5</v>
      </c>
      <c r="C290" s="59">
        <f>(Data!F290-Data!F289)/Data!F289</f>
        <v>2.1192865708752427E-3</v>
      </c>
      <c r="D290" s="59">
        <f>(Data!I290-Data!I289)/Data!I289</f>
        <v>1.1907013722780945E-2</v>
      </c>
      <c r="E290" s="59">
        <f>(Data!L290-Data!L289)/Data!L289</f>
        <v>2.2407919761616314E-2</v>
      </c>
    </row>
    <row r="291" spans="1:5" x14ac:dyDescent="0.3">
      <c r="A291">
        <v>289</v>
      </c>
      <c r="B291" s="59">
        <f>(Data!C291-Data!C290)/Data!C290</f>
        <v>2.1483768437535206E-3</v>
      </c>
      <c r="C291" s="59">
        <f>(Data!F291-Data!F290)/Data!F290</f>
        <v>1.2210117579449453E-2</v>
      </c>
      <c r="D291" s="59">
        <f>(Data!I291-Data!I290)/Data!I290</f>
        <v>5.7834282084454096E-3</v>
      </c>
      <c r="E291" s="59">
        <f>(Data!L291-Data!L290)/Data!L290</f>
        <v>-7.1014985447615123E-3</v>
      </c>
    </row>
    <row r="292" spans="1:5" x14ac:dyDescent="0.3">
      <c r="A292">
        <v>290</v>
      </c>
      <c r="B292" s="59">
        <f>(Data!C292-Data!C291)/Data!C291</f>
        <v>2.0846353463820498E-3</v>
      </c>
      <c r="C292" s="59">
        <f>(Data!F292-Data!F291)/Data!F291</f>
        <v>-1.6697678832429119E-3</v>
      </c>
      <c r="D292" s="59">
        <f>(Data!I292-Data!I291)/Data!I291</f>
        <v>2.0970776312372676E-2</v>
      </c>
      <c r="E292" s="59">
        <f>(Data!L292-Data!L291)/Data!L291</f>
        <v>-1.6307688474085921E-2</v>
      </c>
    </row>
    <row r="293" spans="1:5" x14ac:dyDescent="0.3">
      <c r="A293">
        <v>291</v>
      </c>
      <c r="B293" s="59">
        <f>(Data!C293-Data!C292)/Data!C292</f>
        <v>4.6364325416488519E-3</v>
      </c>
      <c r="C293" s="59">
        <f>(Data!F293-Data!F292)/Data!F292</f>
        <v>2.3521607954409144E-3</v>
      </c>
      <c r="D293" s="59">
        <f>(Data!I293-Data!I292)/Data!I292</f>
        <v>2.9895839898386282E-3</v>
      </c>
      <c r="E293" s="59">
        <f>(Data!L293-Data!L292)/Data!L292</f>
        <v>3.1952492874279164E-3</v>
      </c>
    </row>
    <row r="294" spans="1:5" x14ac:dyDescent="0.3">
      <c r="A294">
        <v>292</v>
      </c>
      <c r="B294" s="59">
        <f>(Data!C294-Data!C293)/Data!C293</f>
        <v>1.0474601970707699E-3</v>
      </c>
      <c r="C294" s="59">
        <f>(Data!F294-Data!F293)/Data!F293</f>
        <v>2.3466411182017106E-3</v>
      </c>
      <c r="D294" s="59">
        <f>(Data!I294-Data!I293)/Data!I293</f>
        <v>1.9914085953260394E-3</v>
      </c>
      <c r="E294" s="59">
        <f>(Data!L294-Data!L293)/Data!L293</f>
        <v>1.791882543373987E-2</v>
      </c>
    </row>
    <row r="295" spans="1:5" x14ac:dyDescent="0.3">
      <c r="A295">
        <v>293</v>
      </c>
      <c r="B295" s="59">
        <f>(Data!C295-Data!C294)/Data!C294</f>
        <v>-6.0674946140922741E-3</v>
      </c>
      <c r="C295" s="59">
        <f>(Data!F295-Data!F294)/Data!F294</f>
        <v>2.6711254874743984E-3</v>
      </c>
      <c r="D295" s="59">
        <f>(Data!I295-Data!I294)/Data!I294</f>
        <v>-2.8865380882753915E-3</v>
      </c>
      <c r="E295" s="59">
        <f>(Data!L295-Data!L294)/Data!L294</f>
        <v>8.7258721494179947E-4</v>
      </c>
    </row>
    <row r="296" spans="1:5" x14ac:dyDescent="0.3">
      <c r="A296">
        <v>294</v>
      </c>
      <c r="B296" s="59">
        <f>(Data!C296-Data!C295)/Data!C295</f>
        <v>3.4778716456172871E-3</v>
      </c>
      <c r="C296" s="59">
        <f>(Data!F296-Data!F295)/Data!F295</f>
        <v>-1.2577202779704528E-3</v>
      </c>
      <c r="D296" s="59">
        <f>(Data!I296-Data!I295)/Data!I295</f>
        <v>-7.4984545399081485E-3</v>
      </c>
      <c r="E296" s="59">
        <f>(Data!L296-Data!L295)/Data!L295</f>
        <v>1.1960092287190553E-2</v>
      </c>
    </row>
    <row r="297" spans="1:5" x14ac:dyDescent="0.3">
      <c r="A297">
        <v>295</v>
      </c>
      <c r="B297" s="59">
        <f>(Data!C297-Data!C296)/Data!C296</f>
        <v>3.8122920939531678E-5</v>
      </c>
      <c r="C297" s="59">
        <f>(Data!F297-Data!F296)/Data!F296</f>
        <v>-9.2999805745141387E-3</v>
      </c>
      <c r="D297" s="59">
        <f>(Data!I297-Data!I296)/Data!I296</f>
        <v>4.9366015261473623E-3</v>
      </c>
      <c r="E297" s="59">
        <f>(Data!L297-Data!L296)/Data!L296</f>
        <v>2.203650847707038E-3</v>
      </c>
    </row>
    <row r="298" spans="1:5" x14ac:dyDescent="0.3">
      <c r="A298">
        <v>296</v>
      </c>
      <c r="B298" s="59">
        <f>(Data!C298-Data!C297)/Data!C297</f>
        <v>6.6093242959803736E-3</v>
      </c>
      <c r="C298" s="59">
        <f>(Data!F298-Data!F297)/Data!F297</f>
        <v>2.35629506710976E-3</v>
      </c>
      <c r="D298" s="59">
        <f>(Data!I298-Data!I297)/Data!I297</f>
        <v>1.1294267069256918E-3</v>
      </c>
      <c r="E298" s="59">
        <f>(Data!L298-Data!L297)/Data!L297</f>
        <v>1.3195203675558591E-2</v>
      </c>
    </row>
    <row r="299" spans="1:5" x14ac:dyDescent="0.3">
      <c r="A299">
        <v>297</v>
      </c>
      <c r="B299" s="59">
        <f>(Data!C299-Data!C298)/Data!C298</f>
        <v>-6.2936911387957012E-4</v>
      </c>
      <c r="C299" s="59">
        <f>(Data!F299-Data!F298)/Data!F298</f>
        <v>-3.3112624031365438E-3</v>
      </c>
      <c r="D299" s="59">
        <f>(Data!I299-Data!I298)/Data!I298</f>
        <v>6.6707237949019281E-3</v>
      </c>
      <c r="E299" s="59">
        <f>(Data!L299-Data!L298)/Data!L298</f>
        <v>2.233906537710557E-3</v>
      </c>
    </row>
    <row r="300" spans="1:5" x14ac:dyDescent="0.3">
      <c r="A300">
        <v>298</v>
      </c>
      <c r="B300" s="59">
        <f>(Data!C300-Data!C299)/Data!C299</f>
        <v>5.0935818675445653E-4</v>
      </c>
      <c r="C300" s="59">
        <f>(Data!F300-Data!F299)/Data!F299</f>
        <v>1.070582765105311E-2</v>
      </c>
      <c r="D300" s="59">
        <f>(Data!I300-Data!I299)/Data!I299</f>
        <v>-4.598506451719663E-3</v>
      </c>
      <c r="E300" s="59">
        <f>(Data!L300-Data!L299)/Data!L299</f>
        <v>2.0986277037871107E-2</v>
      </c>
    </row>
    <row r="301" spans="1:5" x14ac:dyDescent="0.3">
      <c r="A301">
        <v>299</v>
      </c>
      <c r="B301" s="59">
        <f>(Data!C301-Data!C300)/Data!C300</f>
        <v>-2.2738119838754439E-3</v>
      </c>
      <c r="C301" s="59">
        <f>(Data!F301-Data!F300)/Data!F300</f>
        <v>-1.7223616125624632E-4</v>
      </c>
      <c r="D301" s="59">
        <f>(Data!I301-Data!I300)/Data!I300</f>
        <v>8.1765588648420682E-3</v>
      </c>
      <c r="E301" s="59">
        <f>(Data!L301-Data!L300)/Data!L300</f>
        <v>6.2741459681110983E-3</v>
      </c>
    </row>
    <row r="302" spans="1:5" x14ac:dyDescent="0.3">
      <c r="A302">
        <v>300</v>
      </c>
      <c r="B302" s="59">
        <f>(Data!C302-Data!C301)/Data!C301</f>
        <v>1.5790922365065687E-3</v>
      </c>
      <c r="C302" s="59">
        <f>(Data!F302-Data!F301)/Data!F301</f>
        <v>-5.3583946342938369E-3</v>
      </c>
      <c r="D302" s="59">
        <f>(Data!I302-Data!I301)/Data!I301</f>
        <v>5.6161426016144217E-3</v>
      </c>
      <c r="E302" s="59">
        <f>(Data!L302-Data!L301)/Data!L301</f>
        <v>-6.6217263498897653E-3</v>
      </c>
    </row>
    <row r="303" spans="1:5" x14ac:dyDescent="0.3">
      <c r="A303">
        <v>301</v>
      </c>
      <c r="B303" s="59">
        <f>(Data!C303-Data!C302)/Data!C302</f>
        <v>1.0120177659616108E-3</v>
      </c>
      <c r="C303" s="59">
        <f>(Data!F303-Data!F302)/Data!F302</f>
        <v>-6.5186498901255346E-7</v>
      </c>
      <c r="D303" s="59">
        <f>(Data!I303-Data!I302)/Data!I302</f>
        <v>1.7735783977110594E-3</v>
      </c>
      <c r="E303" s="59">
        <f>(Data!L303-Data!L302)/Data!L302</f>
        <v>-3.2480704742718206E-3</v>
      </c>
    </row>
    <row r="304" spans="1:5" x14ac:dyDescent="0.3">
      <c r="A304">
        <v>302</v>
      </c>
      <c r="B304" s="59">
        <f>(Data!C304-Data!C303)/Data!C303</f>
        <v>8.8412058089990583E-3</v>
      </c>
      <c r="C304" s="59">
        <f>(Data!F304-Data!F303)/Data!F303</f>
        <v>-5.2534423770825844E-3</v>
      </c>
      <c r="D304" s="59">
        <f>(Data!I304-Data!I303)/Data!I303</f>
        <v>-5.0856292398109284E-3</v>
      </c>
      <c r="E304" s="59">
        <f>(Data!L304-Data!L303)/Data!L303</f>
        <v>1.7945459750037154E-2</v>
      </c>
    </row>
    <row r="305" spans="1:5" x14ac:dyDescent="0.3">
      <c r="A305">
        <v>303</v>
      </c>
      <c r="B305" s="59">
        <f>(Data!C305-Data!C304)/Data!C304</f>
        <v>-2.1917632969648744E-3</v>
      </c>
      <c r="C305" s="59">
        <f>(Data!F305-Data!F304)/Data!F304</f>
        <v>-8.5899066165910087E-3</v>
      </c>
      <c r="D305" s="59">
        <f>(Data!I305-Data!I304)/Data!I304</f>
        <v>4.9017116110777687E-3</v>
      </c>
      <c r="E305" s="59">
        <f>(Data!L305-Data!L304)/Data!L304</f>
        <v>5.2703561790969407E-3</v>
      </c>
    </row>
    <row r="306" spans="1:5" x14ac:dyDescent="0.3">
      <c r="A306">
        <v>304</v>
      </c>
      <c r="B306" s="59">
        <f>(Data!C306-Data!C305)/Data!C305</f>
        <v>-3.6897361004354176E-4</v>
      </c>
      <c r="C306" s="59">
        <f>(Data!F306-Data!F305)/Data!F305</f>
        <v>9.3416848068056965E-4</v>
      </c>
      <c r="D306" s="59">
        <f>(Data!I306-Data!I305)/Data!I305</f>
        <v>-5.1020800189863799E-4</v>
      </c>
      <c r="E306" s="59">
        <f>(Data!L306-Data!L305)/Data!L305</f>
        <v>6.4466329781724804E-3</v>
      </c>
    </row>
    <row r="307" spans="1:5" x14ac:dyDescent="0.3">
      <c r="A307">
        <v>305</v>
      </c>
      <c r="B307" s="59">
        <f>(Data!C307-Data!C306)/Data!C306</f>
        <v>4.6852921619225159E-3</v>
      </c>
      <c r="C307" s="59">
        <f>(Data!F307-Data!F306)/Data!F306</f>
        <v>9.3329662439093806E-4</v>
      </c>
      <c r="D307" s="59">
        <f>(Data!I307-Data!I306)/Data!I306</f>
        <v>5.349775395364389E-3</v>
      </c>
      <c r="E307" s="59">
        <f>(Data!L307-Data!L306)/Data!L306</f>
        <v>-8.252143459669908E-3</v>
      </c>
    </row>
    <row r="308" spans="1:5" x14ac:dyDescent="0.3">
      <c r="A308">
        <v>306</v>
      </c>
      <c r="B308" s="59">
        <f>(Data!C308-Data!C307)/Data!C307</f>
        <v>1.071522009526928E-3</v>
      </c>
      <c r="C308" s="59">
        <f>(Data!F308-Data!F307)/Data!F307</f>
        <v>9.7213540301049894E-3</v>
      </c>
      <c r="D308" s="59">
        <f>(Data!I308-Data!I307)/Data!I307</f>
        <v>3.101624606755169E-3</v>
      </c>
      <c r="E308" s="59">
        <f>(Data!L308-Data!L307)/Data!L307</f>
        <v>2.112852031327845E-2</v>
      </c>
    </row>
    <row r="309" spans="1:5" x14ac:dyDescent="0.3">
      <c r="A309">
        <v>307</v>
      </c>
      <c r="B309" s="59">
        <f>(Data!C309-Data!C308)/Data!C308</f>
        <v>9.5141706758301804E-4</v>
      </c>
      <c r="C309" s="59">
        <f>(Data!F309-Data!F308)/Data!F308</f>
        <v>-6.4798581483480255E-3</v>
      </c>
      <c r="D309" s="59">
        <f>(Data!I309-Data!I308)/Data!I308</f>
        <v>4.9850855825756761E-4</v>
      </c>
      <c r="E309" s="59">
        <f>(Data!L309-Data!L308)/Data!L308</f>
        <v>2.2601321885620442E-3</v>
      </c>
    </row>
    <row r="310" spans="1:5" x14ac:dyDescent="0.3">
      <c r="A310">
        <v>308</v>
      </c>
      <c r="B310" s="59">
        <f>(Data!C310-Data!C309)/Data!C309</f>
        <v>-7.5021631984300381E-3</v>
      </c>
      <c r="C310" s="59">
        <f>(Data!F310-Data!F309)/Data!F309</f>
        <v>4.1258865696204147E-3</v>
      </c>
      <c r="D310" s="59">
        <f>(Data!I310-Data!I309)/Data!I309</f>
        <v>-1.9459866645653687E-3</v>
      </c>
      <c r="E310" s="59">
        <f>(Data!L310-Data!L309)/Data!L309</f>
        <v>-9.7751853708177155E-4</v>
      </c>
    </row>
    <row r="311" spans="1:5" x14ac:dyDescent="0.3">
      <c r="A311">
        <v>309</v>
      </c>
      <c r="B311" s="59">
        <f>(Data!C311-Data!C310)/Data!C310</f>
        <v>-2.1239854714627708E-3</v>
      </c>
      <c r="C311" s="59">
        <f>(Data!F311-Data!F310)/Data!F310</f>
        <v>4.1089335757647045E-3</v>
      </c>
      <c r="D311" s="59">
        <f>(Data!I311-Data!I310)/Data!I310</f>
        <v>7.5236116771204417E-3</v>
      </c>
      <c r="E311" s="59">
        <f>(Data!L311-Data!L310)/Data!L310</f>
        <v>-1.5290814276114124E-2</v>
      </c>
    </row>
    <row r="312" spans="1:5" x14ac:dyDescent="0.3">
      <c r="A312">
        <v>310</v>
      </c>
      <c r="B312" s="59">
        <f>(Data!C312-Data!C311)/Data!C311</f>
        <v>9.6382793630324769E-3</v>
      </c>
      <c r="C312" s="59">
        <f>(Data!F312-Data!F311)/Data!F311</f>
        <v>4.5875724241346699E-3</v>
      </c>
      <c r="D312" s="59">
        <f>(Data!I312-Data!I311)/Data!I311</f>
        <v>-9.521505990707578E-3</v>
      </c>
      <c r="E312" s="59">
        <f>(Data!L312-Data!L311)/Data!L311</f>
        <v>7.5030601127213797E-3</v>
      </c>
    </row>
    <row r="313" spans="1:5" x14ac:dyDescent="0.3">
      <c r="A313">
        <v>311</v>
      </c>
      <c r="B313" s="59">
        <f>(Data!C313-Data!C312)/Data!C312</f>
        <v>-4.4709884705516657E-3</v>
      </c>
      <c r="C313" s="59">
        <f>(Data!F313-Data!F312)/Data!F312</f>
        <v>-2.8978907182890409E-2</v>
      </c>
      <c r="D313" s="59">
        <f>(Data!I313-Data!I312)/Data!I312</f>
        <v>-1.7381890909529549E-2</v>
      </c>
      <c r="E313" s="59">
        <f>(Data!L313-Data!L312)/Data!L312</f>
        <v>-1.3078622631303098E-2</v>
      </c>
    </row>
    <row r="314" spans="1:5" x14ac:dyDescent="0.3">
      <c r="A314">
        <v>312</v>
      </c>
      <c r="B314" s="59">
        <f>(Data!C314-Data!C313)/Data!C313</f>
        <v>-1.6511651433377982E-2</v>
      </c>
      <c r="C314" s="59">
        <f>(Data!F314-Data!F313)/Data!F313</f>
        <v>5.2447846771525586E-3</v>
      </c>
      <c r="D314" s="59">
        <f>(Data!I314-Data!I313)/Data!I313</f>
        <v>7.6603162648351949E-3</v>
      </c>
      <c r="E314" s="59">
        <f>(Data!L314-Data!L313)/Data!L313</f>
        <v>-1.1395157664859936E-2</v>
      </c>
    </row>
    <row r="315" spans="1:5" x14ac:dyDescent="0.3">
      <c r="A315">
        <v>313</v>
      </c>
      <c r="B315" s="59">
        <f>(Data!C315-Data!C314)/Data!C314</f>
        <v>-1.6054253294270422E-3</v>
      </c>
      <c r="C315" s="59">
        <f>(Data!F315-Data!F314)/Data!F314</f>
        <v>-1.2254199934040233E-2</v>
      </c>
      <c r="D315" s="59">
        <f>(Data!I315-Data!I314)/Data!I314</f>
        <v>-1.4014689918938766E-2</v>
      </c>
      <c r="E315" s="59">
        <f>(Data!L315-Data!L314)/Data!L314</f>
        <v>-7.0071633618969346E-3</v>
      </c>
    </row>
    <row r="316" spans="1:5" x14ac:dyDescent="0.3">
      <c r="A316">
        <v>314</v>
      </c>
      <c r="B316" s="59">
        <f>(Data!C316-Data!C315)/Data!C315</f>
        <v>-3.0214248826747041E-3</v>
      </c>
      <c r="C316" s="59">
        <f>(Data!F316-Data!F315)/Data!F315</f>
        <v>-2.3863881386801882E-2</v>
      </c>
      <c r="D316" s="59">
        <f>(Data!I316-Data!I315)/Data!I315</f>
        <v>7.6234830230979683E-3</v>
      </c>
      <c r="E316" s="59">
        <f>(Data!L316-Data!L315)/Data!L315</f>
        <v>-2.0979062341306278E-2</v>
      </c>
    </row>
    <row r="317" spans="1:5" x14ac:dyDescent="0.3">
      <c r="A317">
        <v>315</v>
      </c>
      <c r="B317" s="59">
        <f>(Data!C317-Data!C316)/Data!C316</f>
        <v>3.7202970362448231E-3</v>
      </c>
      <c r="C317" s="59">
        <f>(Data!F317-Data!F316)/Data!F316</f>
        <v>8.447929320785072E-3</v>
      </c>
      <c r="D317" s="59">
        <f>(Data!I317-Data!I316)/Data!I316</f>
        <v>-1.527695304120494E-2</v>
      </c>
      <c r="E317" s="59">
        <f>(Data!L317-Data!L316)/Data!L316</f>
        <v>-6.5241707345832277E-3</v>
      </c>
    </row>
    <row r="318" spans="1:5" x14ac:dyDescent="0.3">
      <c r="A318">
        <v>316</v>
      </c>
      <c r="B318" s="59">
        <f>(Data!C318-Data!C317)/Data!C317</f>
        <v>-2.4130557147495929E-2</v>
      </c>
      <c r="C318" s="59">
        <f>(Data!F318-Data!F317)/Data!F317</f>
        <v>-7.499423813779966E-3</v>
      </c>
      <c r="D318" s="59">
        <f>(Data!I318-Data!I317)/Data!I317</f>
        <v>7.7017848162738165E-3</v>
      </c>
      <c r="E318" s="59">
        <f>(Data!L318-Data!L317)/Data!L317</f>
        <v>-9.9540495515648662E-3</v>
      </c>
    </row>
    <row r="319" spans="1:5" x14ac:dyDescent="0.3">
      <c r="A319">
        <v>317</v>
      </c>
      <c r="B319" s="59">
        <f>(Data!C319-Data!C318)/Data!C318</f>
        <v>8.0159445714540947E-3</v>
      </c>
      <c r="C319" s="59">
        <f>(Data!F319-Data!F318)/Data!F318</f>
        <v>-7.5560901360855939E-3</v>
      </c>
      <c r="D319" s="59">
        <f>(Data!I319-Data!I318)/Data!I318</f>
        <v>8.5518896912586094E-3</v>
      </c>
      <c r="E319" s="59">
        <f>(Data!L319-Data!L318)/Data!L318</f>
        <v>-6.209741725656092E-3</v>
      </c>
    </row>
    <row r="320" spans="1:5" x14ac:dyDescent="0.3">
      <c r="A320">
        <v>318</v>
      </c>
      <c r="B320" s="59">
        <f>(Data!C320-Data!C319)/Data!C319</f>
        <v>5.8389751355060688E-3</v>
      </c>
      <c r="C320" s="59">
        <f>(Data!F320-Data!F319)/Data!F319</f>
        <v>5.2162472484699402E-3</v>
      </c>
      <c r="D320" s="59">
        <f>(Data!I320-Data!I319)/Data!I319</f>
        <v>1.4515169829025407E-2</v>
      </c>
      <c r="E320" s="59">
        <f>(Data!L320-Data!L319)/Data!L319</f>
        <v>6.6603221744926484E-3</v>
      </c>
    </row>
    <row r="321" spans="1:5" x14ac:dyDescent="0.3">
      <c r="A321">
        <v>319</v>
      </c>
      <c r="B321" s="59">
        <f>(Data!C321-Data!C320)/Data!C320</f>
        <v>8.8952869724289937E-3</v>
      </c>
      <c r="C321" s="59">
        <f>(Data!F321-Data!F320)/Data!F320</f>
        <v>2.2496161971969687E-4</v>
      </c>
      <c r="D321" s="59">
        <f>(Data!I321-Data!I320)/Data!I320</f>
        <v>-6.5145755605194337E-3</v>
      </c>
      <c r="E321" s="59">
        <f>(Data!L321-Data!L320)/Data!L320</f>
        <v>-1.1506491973906335E-2</v>
      </c>
    </row>
    <row r="322" spans="1:5" x14ac:dyDescent="0.3">
      <c r="A322">
        <v>320</v>
      </c>
      <c r="B322" s="59">
        <f>(Data!C322-Data!C321)/Data!C321</f>
        <v>-5.8373333297620962E-3</v>
      </c>
      <c r="C322" s="59">
        <f>(Data!F322-Data!F321)/Data!F321</f>
        <v>-1.1621876492696647E-2</v>
      </c>
      <c r="D322" s="59">
        <f>(Data!I322-Data!I321)/Data!I321</f>
        <v>-1.5444036430211064E-2</v>
      </c>
      <c r="E322" s="59">
        <f>(Data!L322-Data!L321)/Data!L321</f>
        <v>9.7829926205113722E-3</v>
      </c>
    </row>
    <row r="323" spans="1:5" x14ac:dyDescent="0.3">
      <c r="A323">
        <v>321</v>
      </c>
      <c r="B323" s="59">
        <f>(Data!C323-Data!C322)/Data!C322</f>
        <v>-6.7493779761946832E-3</v>
      </c>
      <c r="C323" s="59">
        <f>(Data!F323-Data!F322)/Data!F322</f>
        <v>-5.6841388021336633E-3</v>
      </c>
      <c r="D323" s="59">
        <f>(Data!I323-Data!I322)/Data!I322</f>
        <v>7.4924606875452172E-3</v>
      </c>
      <c r="E323" s="59">
        <f>(Data!L323-Data!L322)/Data!L322</f>
        <v>-8.3581903758504199E-3</v>
      </c>
    </row>
    <row r="324" spans="1:5" x14ac:dyDescent="0.3">
      <c r="A324">
        <v>322</v>
      </c>
      <c r="B324" s="59">
        <f>(Data!C324-Data!C323)/Data!C323</f>
        <v>8.4958356083544694E-3</v>
      </c>
      <c r="C324" s="59">
        <f>(Data!F324-Data!F323)/Data!F323</f>
        <v>-4.6916285327262492E-3</v>
      </c>
      <c r="D324" s="59">
        <f>(Data!I324-Data!I323)/Data!I323</f>
        <v>1.9013628980129242E-3</v>
      </c>
      <c r="E324" s="59">
        <f>(Data!L324-Data!L323)/Data!L323</f>
        <v>-3.1635532960220077E-4</v>
      </c>
    </row>
    <row r="325" spans="1:5" x14ac:dyDescent="0.3">
      <c r="A325">
        <v>323</v>
      </c>
      <c r="B325" s="59">
        <f>(Data!C325-Data!C324)/Data!C324</f>
        <v>-2.8243959201321328E-3</v>
      </c>
      <c r="C325" s="59">
        <f>(Data!F325-Data!F324)/Data!F324</f>
        <v>1.7608126692312128E-3</v>
      </c>
      <c r="D325" s="59">
        <f>(Data!I325-Data!I324)/Data!I324</f>
        <v>-1.557621911582327E-2</v>
      </c>
      <c r="E325" s="59">
        <f>(Data!L325-Data!L324)/Data!L324</f>
        <v>7.7846666608616995E-4</v>
      </c>
    </row>
    <row r="326" spans="1:5" x14ac:dyDescent="0.3">
      <c r="A326">
        <v>324</v>
      </c>
      <c r="B326" s="59">
        <f>(Data!C326-Data!C325)/Data!C325</f>
        <v>-1.19141501894838E-2</v>
      </c>
      <c r="C326" s="59">
        <f>(Data!F326-Data!F325)/Data!F325</f>
        <v>-1.5838069477643501E-2</v>
      </c>
      <c r="D326" s="59">
        <f>(Data!I326-Data!I325)/Data!I325</f>
        <v>7.1523818541362472E-3</v>
      </c>
      <c r="E326" s="59">
        <f>(Data!L326-Data!L325)/Data!L325</f>
        <v>-7.6153024056342684E-3</v>
      </c>
    </row>
    <row r="327" spans="1:5" x14ac:dyDescent="0.3">
      <c r="A327">
        <v>325</v>
      </c>
      <c r="B327" s="59">
        <f>(Data!C327-Data!C326)/Data!C326</f>
        <v>1.3535592343441622E-3</v>
      </c>
      <c r="C327" s="59">
        <f>(Data!F327-Data!F326)/Data!F326</f>
        <v>3.183276944275568E-3</v>
      </c>
      <c r="D327" s="59">
        <f>(Data!I327-Data!I326)/Data!I326</f>
        <v>4.1997963689389102E-3</v>
      </c>
      <c r="E327" s="59">
        <f>(Data!L327-Data!L326)/Data!L326</f>
        <v>2.4638154326455577E-3</v>
      </c>
    </row>
    <row r="328" spans="1:5" x14ac:dyDescent="0.3">
      <c r="A328">
        <v>326</v>
      </c>
      <c r="B328" s="59">
        <f>(Data!C328-Data!C327)/Data!C327</f>
        <v>-8.3756769162137198E-3</v>
      </c>
      <c r="C328" s="59">
        <f>(Data!F328-Data!F327)/Data!F327</f>
        <v>-2.4069610747331242E-3</v>
      </c>
      <c r="D328" s="59">
        <f>(Data!I328-Data!I327)/Data!I327</f>
        <v>-6.5925111521282836E-3</v>
      </c>
      <c r="E328" s="59">
        <f>(Data!L328-Data!L327)/Data!L327</f>
        <v>-5.7982366438590624E-3</v>
      </c>
    </row>
    <row r="329" spans="1:5" x14ac:dyDescent="0.3">
      <c r="A329">
        <v>327</v>
      </c>
      <c r="B329" s="59">
        <f>(Data!C329-Data!C328)/Data!C328</f>
        <v>-6.9119122390440685E-3</v>
      </c>
      <c r="C329" s="59">
        <f>(Data!F329-Data!F328)/Data!F328</f>
        <v>3.7643053649865227E-3</v>
      </c>
      <c r="D329" s="59">
        <f>(Data!I329-Data!I328)/Data!I328</f>
        <v>-1.8291543206820731E-2</v>
      </c>
      <c r="E329" s="59">
        <f>(Data!L329-Data!L328)/Data!L328</f>
        <v>1.5515148088727751E-3</v>
      </c>
    </row>
    <row r="330" spans="1:5" x14ac:dyDescent="0.3">
      <c r="A330">
        <v>328</v>
      </c>
      <c r="B330" s="59">
        <f>(Data!C330-Data!C329)/Data!C329</f>
        <v>2.0984710702871764E-3</v>
      </c>
      <c r="C330" s="59">
        <f>(Data!F330-Data!F329)/Data!F329</f>
        <v>-5.6624687587781778E-3</v>
      </c>
      <c r="D330" s="59">
        <f>(Data!I330-Data!I329)/Data!I329</f>
        <v>5.519559400863126E-3</v>
      </c>
      <c r="E330" s="59">
        <f>(Data!L330-Data!L329)/Data!L329</f>
        <v>-3.0829918455029062E-3</v>
      </c>
    </row>
    <row r="331" spans="1:5" x14ac:dyDescent="0.3">
      <c r="A331">
        <v>329</v>
      </c>
      <c r="B331" s="59">
        <f>(Data!C331-Data!C330)/Data!C330</f>
        <v>-1.3195372513534276E-2</v>
      </c>
      <c r="C331" s="59">
        <f>(Data!F331-Data!F330)/Data!F330</f>
        <v>-4.4364576814264608E-3</v>
      </c>
      <c r="D331" s="59">
        <f>(Data!I331-Data!I330)/Data!I330</f>
        <v>-1.144956466543459E-2</v>
      </c>
      <c r="E331" s="59">
        <f>(Data!L331-Data!L330)/Data!L330</f>
        <v>4.2246139181983014E-2</v>
      </c>
    </row>
    <row r="332" spans="1:5" x14ac:dyDescent="0.3">
      <c r="A332">
        <v>330</v>
      </c>
      <c r="B332" s="59">
        <f>(Data!C332-Data!C331)/Data!C331</f>
        <v>-2.7652405241348895E-3</v>
      </c>
      <c r="C332" s="59">
        <f>(Data!F332-Data!F331)/Data!F331</f>
        <v>-7.884637816103067E-3</v>
      </c>
      <c r="D332" s="59">
        <f>(Data!I332-Data!I331)/Data!I331</f>
        <v>1.3096614332943129E-2</v>
      </c>
      <c r="E332" s="59">
        <f>(Data!L332-Data!L331)/Data!L331</f>
        <v>-2.046212305609129E-2</v>
      </c>
    </row>
    <row r="333" spans="1:5" x14ac:dyDescent="0.3">
      <c r="A333">
        <v>331</v>
      </c>
      <c r="B333" s="59">
        <f>(Data!C333-Data!C332)/Data!C332</f>
        <v>2.1432370802960902E-2</v>
      </c>
      <c r="C333" s="59">
        <f>(Data!F333-Data!F332)/Data!F332</f>
        <v>-2.6877977962709126E-4</v>
      </c>
      <c r="D333" s="59">
        <f>(Data!I333-Data!I332)/Data!I332</f>
        <v>1.5214693513282751E-2</v>
      </c>
      <c r="E333" s="59">
        <f>(Data!L333-Data!L332)/Data!L332</f>
        <v>-1.844910050176618E-2</v>
      </c>
    </row>
    <row r="334" spans="1:5" x14ac:dyDescent="0.3">
      <c r="A334">
        <v>332</v>
      </c>
      <c r="B334" s="59">
        <f>(Data!C334-Data!C333)/Data!C333</f>
        <v>8.1618544902071835E-3</v>
      </c>
      <c r="C334" s="59">
        <f>(Data!F334-Data!F333)/Data!F333</f>
        <v>-4.9208201082147638E-3</v>
      </c>
      <c r="D334" s="59">
        <f>(Data!I334-Data!I333)/Data!I333</f>
        <v>-2.0399788606245014E-3</v>
      </c>
      <c r="E334" s="59">
        <f>(Data!L334-Data!L333)/Data!L333</f>
        <v>1.4370337103887152E-3</v>
      </c>
    </row>
    <row r="335" spans="1:5" x14ac:dyDescent="0.3">
      <c r="A335">
        <v>333</v>
      </c>
      <c r="B335" s="59">
        <f>(Data!C335-Data!C334)/Data!C334</f>
        <v>6.1355867881348926E-3</v>
      </c>
      <c r="C335" s="59">
        <f>(Data!F335-Data!F334)/Data!F334</f>
        <v>5.0041972334519073E-3</v>
      </c>
      <c r="D335" s="59">
        <f>(Data!I335-Data!I334)/Data!I334</f>
        <v>1.8682642156982445E-3</v>
      </c>
      <c r="E335" s="59">
        <f>(Data!L335-Data!L334)/Data!L334</f>
        <v>1.8568050788876619E-2</v>
      </c>
    </row>
    <row r="336" spans="1:5" x14ac:dyDescent="0.3">
      <c r="A336">
        <v>334</v>
      </c>
      <c r="B336" s="59">
        <f>(Data!C336-Data!C335)/Data!C335</f>
        <v>1.0497697584650153E-2</v>
      </c>
      <c r="C336" s="59">
        <f>(Data!F336-Data!F335)/Data!F335</f>
        <v>2.5967169683933831E-3</v>
      </c>
      <c r="D336" s="59">
        <f>(Data!I336-Data!I335)/Data!I335</f>
        <v>1.3349520483740844E-2</v>
      </c>
      <c r="E336" s="59">
        <f>(Data!L336-Data!L335)/Data!L335</f>
        <v>4.1198121337715863E-3</v>
      </c>
    </row>
    <row r="337" spans="1:5" x14ac:dyDescent="0.3">
      <c r="A337">
        <v>335</v>
      </c>
      <c r="B337" s="59">
        <f>(Data!C337-Data!C336)/Data!C336</f>
        <v>4.6600442655294018E-3</v>
      </c>
      <c r="C337" s="59">
        <f>(Data!F337-Data!F336)/Data!F336</f>
        <v>2.2746336918833116E-2</v>
      </c>
      <c r="D337" s="59">
        <f>(Data!I337-Data!I336)/Data!I336</f>
        <v>7.2089468557393387E-3</v>
      </c>
      <c r="E337" s="59">
        <f>(Data!L337-Data!L336)/Data!L336</f>
        <v>2.6032526762378706E-2</v>
      </c>
    </row>
    <row r="338" spans="1:5" x14ac:dyDescent="0.3">
      <c r="A338">
        <v>336</v>
      </c>
      <c r="B338" s="59">
        <f>(Data!C338-Data!C337)/Data!C337</f>
        <v>-3.4987997041555021E-4</v>
      </c>
      <c r="C338" s="59">
        <f>(Data!F338-Data!F337)/Data!F337</f>
        <v>7.6399421517897737E-3</v>
      </c>
      <c r="D338" s="59">
        <f>(Data!I338-Data!I337)/Data!I337</f>
        <v>-2.0677544161948175E-3</v>
      </c>
      <c r="E338" s="59">
        <f>(Data!L338-Data!L337)/Data!L337</f>
        <v>1.1767110875545205E-2</v>
      </c>
    </row>
    <row r="339" spans="1:5" x14ac:dyDescent="0.3">
      <c r="A339">
        <v>337</v>
      </c>
      <c r="B339" s="59">
        <f>(Data!C339-Data!C338)/Data!C338</f>
        <v>-2.0375792034881624E-3</v>
      </c>
      <c r="C339" s="59">
        <f>(Data!F339-Data!F338)/Data!F338</f>
        <v>-1.7304437913944339E-2</v>
      </c>
      <c r="D339" s="59">
        <f>(Data!I339-Data!I338)/Data!I338</f>
        <v>9.4647231983023496E-4</v>
      </c>
      <c r="E339" s="59">
        <f>(Data!L339-Data!L338)/Data!L338</f>
        <v>5.8953929682626369E-4</v>
      </c>
    </row>
    <row r="340" spans="1:5" x14ac:dyDescent="0.3">
      <c r="A340">
        <v>338</v>
      </c>
      <c r="B340" s="59">
        <f>(Data!C340-Data!C339)/Data!C339</f>
        <v>4.0973820210256431E-3</v>
      </c>
      <c r="C340" s="59">
        <f>(Data!F340-Data!F339)/Data!F339</f>
        <v>-5.0350695453755536E-4</v>
      </c>
      <c r="D340" s="59">
        <f>(Data!I340-Data!I339)/Data!I339</f>
        <v>-6.7626324972191862E-3</v>
      </c>
      <c r="E340" s="59">
        <f>(Data!L340-Data!L339)/Data!L339</f>
        <v>-2.9577944081510374E-3</v>
      </c>
    </row>
    <row r="341" spans="1:5" x14ac:dyDescent="0.3">
      <c r="A341">
        <v>339</v>
      </c>
      <c r="B341" s="59">
        <f>(Data!C341-Data!C340)/Data!C340</f>
        <v>-1.6115122119045825E-3</v>
      </c>
      <c r="C341" s="59">
        <f>(Data!F341-Data!F340)/Data!F340</f>
        <v>-6.4613737584766975E-3</v>
      </c>
      <c r="D341" s="59">
        <f>(Data!I341-Data!I340)/Data!I340</f>
        <v>-7.0759923242657372E-3</v>
      </c>
      <c r="E341" s="59">
        <f>(Data!L341-Data!L340)/Data!L340</f>
        <v>-2.2952367299412142E-3</v>
      </c>
    </row>
    <row r="342" spans="1:5" x14ac:dyDescent="0.3">
      <c r="A342">
        <v>340</v>
      </c>
      <c r="B342" s="59">
        <f>(Data!C342-Data!C341)/Data!C341</f>
        <v>9.3174944704672792E-4</v>
      </c>
      <c r="C342" s="59">
        <f>(Data!F342-Data!F341)/Data!F341</f>
        <v>4.0124324882916092E-3</v>
      </c>
      <c r="D342" s="59">
        <f>(Data!I342-Data!I341)/Data!I341</f>
        <v>2.1167951303106596E-2</v>
      </c>
      <c r="E342" s="59">
        <f>(Data!L342-Data!L341)/Data!L341</f>
        <v>1.4387149503162422E-2</v>
      </c>
    </row>
    <row r="343" spans="1:5" x14ac:dyDescent="0.3">
      <c r="A343">
        <v>341</v>
      </c>
      <c r="B343" s="59">
        <f>(Data!C343-Data!C342)/Data!C342</f>
        <v>9.7173998269550303E-3</v>
      </c>
      <c r="C343" s="59">
        <f>(Data!F343-Data!F342)/Data!F342</f>
        <v>9.9756777219435853E-3</v>
      </c>
      <c r="D343" s="59">
        <f>(Data!I343-Data!I342)/Data!I342</f>
        <v>-4.0185030968723709E-3</v>
      </c>
      <c r="E343" s="59">
        <f>(Data!L343-Data!L342)/Data!L342</f>
        <v>-8.47852370927475E-3</v>
      </c>
    </row>
    <row r="344" spans="1:5" x14ac:dyDescent="0.3">
      <c r="A344">
        <v>342</v>
      </c>
      <c r="B344" s="59">
        <f>(Data!C344-Data!C343)/Data!C343</f>
        <v>2.9851635678176751E-3</v>
      </c>
      <c r="C344" s="59">
        <f>(Data!F344-Data!F343)/Data!F343</f>
        <v>2.557827517362448E-2</v>
      </c>
      <c r="D344" s="59">
        <f>(Data!I344-Data!I343)/Data!I343</f>
        <v>7.2149689264758452E-3</v>
      </c>
      <c r="E344" s="59">
        <f>(Data!L344-Data!L343)/Data!L343</f>
        <v>-1.2991289459469951E-2</v>
      </c>
    </row>
    <row r="345" spans="1:5" x14ac:dyDescent="0.3">
      <c r="A345">
        <v>343</v>
      </c>
      <c r="B345" s="59">
        <f>(Data!C345-Data!C344)/Data!C344</f>
        <v>9.4721852919278631E-3</v>
      </c>
      <c r="C345" s="59">
        <f>(Data!F345-Data!F344)/Data!F344</f>
        <v>1.2349738540458774E-2</v>
      </c>
      <c r="D345" s="59">
        <f>(Data!I345-Data!I344)/Data!I344</f>
        <v>4.3503873819948228E-3</v>
      </c>
      <c r="E345" s="59">
        <f>(Data!L345-Data!L344)/Data!L344</f>
        <v>2.2078355151525706E-2</v>
      </c>
    </row>
    <row r="346" spans="1:5" x14ac:dyDescent="0.3">
      <c r="A346">
        <v>344</v>
      </c>
      <c r="B346" s="59">
        <f>(Data!C346-Data!C345)/Data!C345</f>
        <v>-1.2592228928593192E-3</v>
      </c>
      <c r="C346" s="59">
        <f>(Data!F346-Data!F345)/Data!F345</f>
        <v>-2.6871311864089704E-3</v>
      </c>
      <c r="D346" s="59">
        <f>(Data!I346-Data!I345)/Data!I345</f>
        <v>1.1335903461827503E-3</v>
      </c>
      <c r="E346" s="59">
        <f>(Data!L346-Data!L345)/Data!L345</f>
        <v>4.8230516075991438E-3</v>
      </c>
    </row>
    <row r="347" spans="1:5" x14ac:dyDescent="0.3">
      <c r="A347">
        <v>345</v>
      </c>
      <c r="B347" s="59">
        <f>(Data!C347-Data!C346)/Data!C346</f>
        <v>-1.7318869151060248E-3</v>
      </c>
      <c r="C347" s="59">
        <f>(Data!F347-Data!F346)/Data!F346</f>
        <v>1.3798363720679326E-3</v>
      </c>
      <c r="D347" s="59">
        <f>(Data!I347-Data!I346)/Data!I346</f>
        <v>-1.2165100019409676E-3</v>
      </c>
      <c r="E347" s="59">
        <f>(Data!L347-Data!L346)/Data!L346</f>
        <v>-1.3482459448458167E-2</v>
      </c>
    </row>
    <row r="348" spans="1:5" x14ac:dyDescent="0.3">
      <c r="A348">
        <v>346</v>
      </c>
      <c r="B348" s="59">
        <f>(Data!C348-Data!C347)/Data!C347</f>
        <v>-9.4963973956755168E-3</v>
      </c>
      <c r="C348" s="59">
        <f>(Data!F348-Data!F347)/Data!F347</f>
        <v>-1.1469137972153097E-2</v>
      </c>
      <c r="D348" s="59">
        <f>(Data!I348-Data!I347)/Data!I347</f>
        <v>-7.2853013586202445E-4</v>
      </c>
      <c r="E348" s="59">
        <f>(Data!L348-Data!L347)/Data!L347</f>
        <v>1.0986715880975616E-2</v>
      </c>
    </row>
    <row r="349" spans="1:5" x14ac:dyDescent="0.3">
      <c r="A349">
        <v>347</v>
      </c>
      <c r="B349" s="59">
        <f>(Data!C349-Data!C348)/Data!C348</f>
        <v>-1.2339339216592693E-3</v>
      </c>
      <c r="C349" s="59">
        <f>(Data!F349-Data!F348)/Data!F348</f>
        <v>1.27723071544712E-3</v>
      </c>
      <c r="D349" s="59">
        <f>(Data!I349-Data!I348)/Data!I348</f>
        <v>1.6589747828935648E-3</v>
      </c>
      <c r="E349" s="59">
        <f>(Data!L349-Data!L348)/Data!L348</f>
        <v>-3.6745627088002435E-3</v>
      </c>
    </row>
    <row r="350" spans="1:5" x14ac:dyDescent="0.3">
      <c r="A350">
        <v>348</v>
      </c>
      <c r="B350" s="59">
        <f>(Data!C350-Data!C349)/Data!C349</f>
        <v>3.8231756993074061E-3</v>
      </c>
      <c r="C350" s="59">
        <f>(Data!F350-Data!F349)/Data!F349</f>
        <v>1.4153487684493373E-2</v>
      </c>
      <c r="D350" s="59">
        <f>(Data!I350-Data!I349)/Data!I349</f>
        <v>1.0234510564886225E-2</v>
      </c>
      <c r="E350" s="59">
        <f>(Data!L350-Data!L349)/Data!L349</f>
        <v>-9.9974231440876273E-3</v>
      </c>
    </row>
    <row r="351" spans="1:5" x14ac:dyDescent="0.3">
      <c r="A351">
        <v>349</v>
      </c>
      <c r="B351" s="59">
        <f>(Data!C351-Data!C350)/Data!C350</f>
        <v>5.7574526650579268E-3</v>
      </c>
      <c r="C351" s="59">
        <f>(Data!F351-Data!F350)/Data!F350</f>
        <v>-2.7532100508902862E-3</v>
      </c>
      <c r="D351" s="59">
        <f>(Data!I351-Data!I350)/Data!I350</f>
        <v>1.0508462479250608E-2</v>
      </c>
      <c r="E351" s="59">
        <f>(Data!L351-Data!L350)/Data!L350</f>
        <v>1.0605796817286461E-2</v>
      </c>
    </row>
    <row r="352" spans="1:5" x14ac:dyDescent="0.3">
      <c r="A352">
        <v>350</v>
      </c>
      <c r="B352" s="59">
        <f>(Data!C352-Data!C351)/Data!C351</f>
        <v>7.6723009094137465E-3</v>
      </c>
      <c r="C352" s="59">
        <f>(Data!F352-Data!F351)/Data!F351</f>
        <v>1.1664711088890469E-2</v>
      </c>
      <c r="D352" s="59">
        <f>(Data!I352-Data!I351)/Data!I351</f>
        <v>-7.1392009998316177E-3</v>
      </c>
      <c r="E352" s="59">
        <f>(Data!L352-Data!L351)/Data!L351</f>
        <v>-1.2358862855306656E-3</v>
      </c>
    </row>
    <row r="353" spans="1:5" x14ac:dyDescent="0.3">
      <c r="A353">
        <v>351</v>
      </c>
      <c r="B353" s="59">
        <f>(Data!C353-Data!C352)/Data!C352</f>
        <v>2.9281260087797847E-3</v>
      </c>
      <c r="C353" s="59">
        <f>(Data!F353-Data!F352)/Data!F352</f>
        <v>-7.0716971768435965E-4</v>
      </c>
      <c r="D353" s="59">
        <f>(Data!I353-Data!I352)/Data!I352</f>
        <v>7.4140803207570025E-3</v>
      </c>
      <c r="E353" s="59">
        <f>(Data!L353-Data!L352)/Data!L352</f>
        <v>2.2490576186425779E-2</v>
      </c>
    </row>
    <row r="354" spans="1:5" x14ac:dyDescent="0.3">
      <c r="A354">
        <v>352</v>
      </c>
      <c r="B354" s="59">
        <f>(Data!C354-Data!C353)/Data!C353</f>
        <v>7.6723784727519388E-3</v>
      </c>
      <c r="C354" s="59">
        <f>(Data!F354-Data!F353)/Data!F353</f>
        <v>-2.0575569106240517E-3</v>
      </c>
      <c r="D354" s="59">
        <f>(Data!I354-Data!I353)/Data!I353</f>
        <v>4.6199987083176634E-4</v>
      </c>
      <c r="E354" s="59">
        <f>(Data!L354-Data!L353)/Data!L353</f>
        <v>-6.6149434826222511E-3</v>
      </c>
    </row>
    <row r="355" spans="1:5" x14ac:dyDescent="0.3">
      <c r="A355">
        <v>353</v>
      </c>
      <c r="B355" s="59">
        <f>(Data!C355-Data!C354)/Data!C354</f>
        <v>-1.8059015151773512E-3</v>
      </c>
      <c r="C355" s="59">
        <f>(Data!F355-Data!F354)/Data!F354</f>
        <v>-7.2717115538320401E-4</v>
      </c>
      <c r="D355" s="59">
        <f>(Data!I355-Data!I354)/Data!I354</f>
        <v>-4.7709073113113764E-3</v>
      </c>
      <c r="E355" s="59">
        <f>(Data!L355-Data!L354)/Data!L354</f>
        <v>-5.1521402512900265E-3</v>
      </c>
    </row>
    <row r="356" spans="1:5" x14ac:dyDescent="0.3">
      <c r="A356">
        <v>354</v>
      </c>
      <c r="B356" s="59">
        <f>(Data!C356-Data!C355)/Data!C355</f>
        <v>-4.8354444459184969E-3</v>
      </c>
      <c r="C356" s="59">
        <f>(Data!F356-Data!F355)/Data!F355</f>
        <v>-1.5400286423891171E-2</v>
      </c>
      <c r="D356" s="59">
        <f>(Data!I356-Data!I355)/Data!I355</f>
        <v>-7.7401374208258857E-3</v>
      </c>
      <c r="E356" s="59">
        <f>(Data!L356-Data!L355)/Data!L355</f>
        <v>-4.5345075533364315E-3</v>
      </c>
    </row>
    <row r="357" spans="1:5" x14ac:dyDescent="0.3">
      <c r="A357">
        <v>355</v>
      </c>
      <c r="B357" s="59">
        <f>(Data!C357-Data!C356)/Data!C356</f>
        <v>1.2365570861712413E-3</v>
      </c>
      <c r="C357" s="59">
        <f>(Data!F357-Data!F356)/Data!F356</f>
        <v>-7.603152517866891E-3</v>
      </c>
      <c r="D357" s="59">
        <f>(Data!I357-Data!I356)/Data!I356</f>
        <v>-8.9690274629547102E-3</v>
      </c>
      <c r="E357" s="59">
        <f>(Data!L357-Data!L356)/Data!L356</f>
        <v>2.6727105492028295E-3</v>
      </c>
    </row>
    <row r="358" spans="1:5" x14ac:dyDescent="0.3">
      <c r="A358">
        <v>356</v>
      </c>
      <c r="B358" s="59">
        <f>(Data!C358-Data!C357)/Data!C357</f>
        <v>4.510689423770935E-3</v>
      </c>
      <c r="C358" s="59">
        <f>(Data!F358-Data!F357)/Data!F357</f>
        <v>3.1444472103189553E-3</v>
      </c>
      <c r="D358" s="59">
        <f>(Data!I358-Data!I357)/Data!I357</f>
        <v>-5.4318602649537327E-3</v>
      </c>
      <c r="E358" s="59">
        <f>(Data!L358-Data!L357)/Data!L357</f>
        <v>-4.6894404276294939E-3</v>
      </c>
    </row>
    <row r="359" spans="1:5" x14ac:dyDescent="0.3">
      <c r="A359">
        <v>357</v>
      </c>
      <c r="B359" s="59">
        <f>(Data!C359-Data!C358)/Data!C358</f>
        <v>2.2852268221607449E-3</v>
      </c>
      <c r="C359" s="59">
        <f>(Data!F359-Data!F358)/Data!F358</f>
        <v>8.0522541607294506E-3</v>
      </c>
      <c r="D359" s="59">
        <f>(Data!I359-Data!I358)/Data!I358</f>
        <v>4.864041314180647E-4</v>
      </c>
      <c r="E359" s="59">
        <f>(Data!L359-Data!L358)/Data!L358</f>
        <v>2.1752826323823068E-3</v>
      </c>
    </row>
    <row r="360" spans="1:5" x14ac:dyDescent="0.3">
      <c r="A360">
        <v>358</v>
      </c>
      <c r="B360" s="59">
        <f>(Data!C360-Data!C359)/Data!C359</f>
        <v>4.6201747407673003E-3</v>
      </c>
      <c r="C360" s="59">
        <f>(Data!F360-Data!F359)/Data!F359</f>
        <v>1.4004867404180806E-3</v>
      </c>
      <c r="D360" s="59">
        <f>(Data!I360-Data!I359)/Data!I359</f>
        <v>-4.4713879773928926E-4</v>
      </c>
      <c r="E360" s="59">
        <f>(Data!L360-Data!L359)/Data!L359</f>
        <v>-5.9976854891789491E-3</v>
      </c>
    </row>
    <row r="361" spans="1:5" x14ac:dyDescent="0.3">
      <c r="A361">
        <v>359</v>
      </c>
      <c r="B361" s="59">
        <f>(Data!C361-Data!C360)/Data!C360</f>
        <v>1.7586909302389742E-4</v>
      </c>
      <c r="C361" s="59">
        <f>(Data!F361-Data!F360)/Data!F360</f>
        <v>2.9243759403940073E-3</v>
      </c>
      <c r="D361" s="59">
        <f>(Data!I361-Data!I360)/Data!I360</f>
        <v>6.6239659753456158E-3</v>
      </c>
      <c r="E361" s="59">
        <f>(Data!L361-Data!L360)/Data!L360</f>
        <v>9.9720698408555571E-3</v>
      </c>
    </row>
    <row r="362" spans="1:5" x14ac:dyDescent="0.3">
      <c r="A362">
        <v>360</v>
      </c>
      <c r="B362" s="59">
        <f>(Data!C362-Data!C361)/Data!C361</f>
        <v>-3.4037785997461482E-3</v>
      </c>
      <c r="C362" s="59">
        <f>(Data!F362-Data!F361)/Data!F361</f>
        <v>2.2671529368189993E-3</v>
      </c>
      <c r="D362" s="59">
        <f>(Data!I362-Data!I361)/Data!I361</f>
        <v>2.3646700052116889E-3</v>
      </c>
      <c r="E362" s="59">
        <f>(Data!L362-Data!L361)/Data!L361</f>
        <v>7.1098553194690059E-3</v>
      </c>
    </row>
    <row r="363" spans="1:5" x14ac:dyDescent="0.3">
      <c r="A363">
        <v>361</v>
      </c>
      <c r="B363" s="59">
        <f>(Data!C363-Data!C362)/Data!C362</f>
        <v>-6.5312435071708235E-3</v>
      </c>
      <c r="C363" s="59">
        <f>(Data!F363-Data!F362)/Data!F362</f>
        <v>-9.2416390552550937E-4</v>
      </c>
      <c r="D363" s="59">
        <f>(Data!I363-Data!I362)/Data!I362</f>
        <v>-1.2085179953075524E-2</v>
      </c>
      <c r="E363" s="59">
        <f>(Data!L363-Data!L362)/Data!L362</f>
        <v>-1.7328554265540447E-2</v>
      </c>
    </row>
    <row r="364" spans="1:5" x14ac:dyDescent="0.3">
      <c r="A364">
        <v>362</v>
      </c>
      <c r="B364" s="59">
        <f>(Data!C364-Data!C363)/Data!C363</f>
        <v>3.5819976006714006E-3</v>
      </c>
      <c r="C364" s="59">
        <f>(Data!F364-Data!F363)/Data!F363</f>
        <v>-4.5993419532967912E-3</v>
      </c>
      <c r="D364" s="59">
        <f>(Data!I364-Data!I363)/Data!I363</f>
        <v>-7.6675531270695898E-3</v>
      </c>
      <c r="E364" s="59">
        <f>(Data!L364-Data!L363)/Data!L363</f>
        <v>1.0067724275885405E-3</v>
      </c>
    </row>
    <row r="365" spans="1:5" x14ac:dyDescent="0.3">
      <c r="A365">
        <v>363</v>
      </c>
      <c r="B365" s="59">
        <f>(Data!C365-Data!C364)/Data!C364</f>
        <v>-6.1767345236366632E-3</v>
      </c>
      <c r="C365" s="59">
        <f>(Data!F365-Data!F364)/Data!F364</f>
        <v>1.067190857227506E-2</v>
      </c>
      <c r="D365" s="59">
        <f>(Data!I365-Data!I364)/Data!I364</f>
        <v>7.3711809509985349E-3</v>
      </c>
      <c r="E365" s="59">
        <f>(Data!L365-Data!L364)/Data!L364</f>
        <v>-9.3004883850248202E-3</v>
      </c>
    </row>
    <row r="366" spans="1:5" x14ac:dyDescent="0.3">
      <c r="A366">
        <v>364</v>
      </c>
      <c r="B366" s="59">
        <f>(Data!C366-Data!C365)/Data!C365</f>
        <v>2.8286949574615693E-3</v>
      </c>
      <c r="C366" s="59">
        <f>(Data!F366-Data!F365)/Data!F365</f>
        <v>-1.3701899491839418E-2</v>
      </c>
      <c r="D366" s="59">
        <f>(Data!I366-Data!I365)/Data!I365</f>
        <v>-2.6761002361319723E-3</v>
      </c>
      <c r="E366" s="59">
        <f>(Data!L366-Data!L365)/Data!L365</f>
        <v>2.7224310032779253E-2</v>
      </c>
    </row>
    <row r="367" spans="1:5" x14ac:dyDescent="0.3">
      <c r="A367">
        <v>365</v>
      </c>
      <c r="B367" s="59">
        <f>(Data!C367-Data!C366)/Data!C366</f>
        <v>6.8474828733456512E-3</v>
      </c>
      <c r="C367" s="59">
        <f>(Data!F367-Data!F366)/Data!F366</f>
        <v>3.3562381009993396E-3</v>
      </c>
      <c r="D367" s="59">
        <f>(Data!I367-Data!I366)/Data!I366</f>
        <v>1.5930116044890443E-2</v>
      </c>
      <c r="E367" s="59">
        <f>(Data!L367-Data!L366)/Data!L366</f>
        <v>1.3666223132531167E-2</v>
      </c>
    </row>
    <row r="368" spans="1:5" x14ac:dyDescent="0.3">
      <c r="A368">
        <v>366</v>
      </c>
      <c r="B368" s="59">
        <f>(Data!C368-Data!C367)/Data!C367</f>
        <v>4.6881479888191248E-3</v>
      </c>
      <c r="C368" s="59">
        <f>(Data!F368-Data!F367)/Data!F367</f>
        <v>2.0219778859801112E-3</v>
      </c>
      <c r="D368" s="59">
        <f>(Data!I368-Data!I367)/Data!I367</f>
        <v>-3.0600848356861911E-3</v>
      </c>
      <c r="E368" s="59">
        <f>(Data!L368-Data!L367)/Data!L367</f>
        <v>1.6462166581030443E-2</v>
      </c>
    </row>
    <row r="369" spans="1:5" x14ac:dyDescent="0.3">
      <c r="A369">
        <v>367</v>
      </c>
      <c r="B369" s="59">
        <f>(Data!C369-Data!C368)/Data!C368</f>
        <v>-5.2624013728881647E-3</v>
      </c>
      <c r="C369" s="59">
        <f>(Data!F369-Data!F368)/Data!F368</f>
        <v>2.4632457501835001E-3</v>
      </c>
      <c r="D369" s="59">
        <f>(Data!I369-Data!I368)/Data!I368</f>
        <v>-1.3902296722307842E-2</v>
      </c>
      <c r="E369" s="59">
        <f>(Data!L369-Data!L368)/Data!L368</f>
        <v>9.9631156007052232E-3</v>
      </c>
    </row>
    <row r="370" spans="1:5" x14ac:dyDescent="0.3">
      <c r="A370">
        <v>368</v>
      </c>
      <c r="B370" s="59">
        <f>(Data!C370-Data!C369)/Data!C369</f>
        <v>7.3876909168583164E-3</v>
      </c>
      <c r="C370" s="59">
        <f>(Data!F370-Data!F369)/Data!F369</f>
        <v>-6.8741162270562822E-3</v>
      </c>
      <c r="D370" s="59">
        <f>(Data!I370-Data!I369)/Data!I369</f>
        <v>5.7582690322722369E-3</v>
      </c>
      <c r="E370" s="59">
        <f>(Data!L370-Data!L369)/Data!L369</f>
        <v>-9.1146393307754078E-3</v>
      </c>
    </row>
    <row r="371" spans="1:5" x14ac:dyDescent="0.3">
      <c r="A371">
        <v>369</v>
      </c>
      <c r="B371" s="59">
        <f>(Data!C371-Data!C370)/Data!C370</f>
        <v>-1.6161143698240324E-3</v>
      </c>
      <c r="C371" s="59">
        <f>(Data!F371-Data!F370)/Data!F370</f>
        <v>-1.025891763215714E-2</v>
      </c>
      <c r="D371" s="59">
        <f>(Data!I371-Data!I370)/Data!I370</f>
        <v>-2.348138406500984E-3</v>
      </c>
      <c r="E371" s="59">
        <f>(Data!L371-Data!L370)/Data!L370</f>
        <v>3.8782653099185185E-3</v>
      </c>
    </row>
    <row r="372" spans="1:5" x14ac:dyDescent="0.3">
      <c r="A372">
        <v>370</v>
      </c>
      <c r="B372" s="59">
        <f>(Data!C372-Data!C371)/Data!C371</f>
        <v>-2.5786548938853981E-3</v>
      </c>
      <c r="C372" s="59">
        <f>(Data!F372-Data!F371)/Data!F371</f>
        <v>1.4263594595498321E-3</v>
      </c>
      <c r="D372" s="59">
        <f>(Data!I372-Data!I371)/Data!I371</f>
        <v>-1.9915314081470358E-2</v>
      </c>
      <c r="E372" s="59">
        <f>(Data!L372-Data!L371)/Data!L371</f>
        <v>-8.4306472867293658E-4</v>
      </c>
    </row>
    <row r="373" spans="1:5" x14ac:dyDescent="0.3">
      <c r="A373">
        <v>371</v>
      </c>
      <c r="B373" s="59">
        <f>(Data!C373-Data!C372)/Data!C372</f>
        <v>-1.0885526168438568E-2</v>
      </c>
      <c r="C373" s="59">
        <f>(Data!F373-Data!F372)/Data!F372</f>
        <v>-1.3101096051018805E-2</v>
      </c>
      <c r="D373" s="59">
        <f>(Data!I373-Data!I372)/Data!I372</f>
        <v>4.5215158812583244E-3</v>
      </c>
      <c r="E373" s="59">
        <f>(Data!L373-Data!L372)/Data!L372</f>
        <v>1.5720939773990149E-2</v>
      </c>
    </row>
    <row r="374" spans="1:5" x14ac:dyDescent="0.3">
      <c r="A374">
        <v>372</v>
      </c>
      <c r="B374" s="59">
        <f>(Data!C374-Data!C373)/Data!C373</f>
        <v>-8.9987937957102873E-3</v>
      </c>
      <c r="C374" s="59">
        <f>(Data!F374-Data!F373)/Data!F373</f>
        <v>-7.6338357498357693E-3</v>
      </c>
      <c r="D374" s="59">
        <f>(Data!I374-Data!I373)/Data!I373</f>
        <v>-8.6721320586680812E-4</v>
      </c>
      <c r="E374" s="59">
        <f>(Data!L374-Data!L373)/Data!L373</f>
        <v>-1.8863947287284927E-2</v>
      </c>
    </row>
    <row r="375" spans="1:5" x14ac:dyDescent="0.3">
      <c r="A375">
        <v>373</v>
      </c>
      <c r="B375" s="59">
        <f>(Data!C375-Data!C374)/Data!C374</f>
        <v>-7.2827400053895319E-3</v>
      </c>
      <c r="C375" s="59">
        <f>(Data!F375-Data!F374)/Data!F374</f>
        <v>-2.3475520641027824E-2</v>
      </c>
      <c r="D375" s="59">
        <f>(Data!I375-Data!I374)/Data!I374</f>
        <v>-3.1769394028430972E-2</v>
      </c>
      <c r="E375" s="59">
        <f>(Data!L375-Data!L374)/Data!L374</f>
        <v>5.5959930662855912E-3</v>
      </c>
    </row>
    <row r="376" spans="1:5" x14ac:dyDescent="0.3">
      <c r="A376">
        <v>374</v>
      </c>
      <c r="B376" s="59">
        <f>(Data!C376-Data!C375)/Data!C375</f>
        <v>-2.9777820139795273E-2</v>
      </c>
      <c r="C376" s="59">
        <f>(Data!F376-Data!F375)/Data!F375</f>
        <v>-2.8502980572406307E-2</v>
      </c>
      <c r="D376" s="59">
        <f>(Data!I376-Data!I375)/Data!I375</f>
        <v>-1.5449163018169038E-2</v>
      </c>
      <c r="E376" s="59">
        <f>(Data!L376-Data!L375)/Data!L375</f>
        <v>-3.4534702412894747E-3</v>
      </c>
    </row>
    <row r="377" spans="1:5" x14ac:dyDescent="0.3">
      <c r="A377">
        <v>375</v>
      </c>
      <c r="B377" s="59">
        <f>(Data!C377-Data!C376)/Data!C376</f>
        <v>1.3017017418171808E-2</v>
      </c>
      <c r="C377" s="59">
        <f>(Data!F377-Data!F376)/Data!F376</f>
        <v>-6.6948848817000948E-3</v>
      </c>
      <c r="D377" s="59">
        <f>(Data!I377-Data!I376)/Data!I376</f>
        <v>1.8174030753095101E-4</v>
      </c>
      <c r="E377" s="59">
        <f>(Data!L377-Data!L376)/Data!L376</f>
        <v>-1.3671779122061852E-2</v>
      </c>
    </row>
    <row r="378" spans="1:5" x14ac:dyDescent="0.3">
      <c r="A378">
        <v>376</v>
      </c>
      <c r="B378" s="59">
        <f>(Data!C378-Data!C377)/Data!C377</f>
        <v>7.6687590774510779E-4</v>
      </c>
      <c r="C378" s="59">
        <f>(Data!F378-Data!F377)/Data!F377</f>
        <v>8.0031069980596365E-4</v>
      </c>
      <c r="D378" s="59">
        <f>(Data!I378-Data!I377)/Data!I377</f>
        <v>6.7452939615943279E-3</v>
      </c>
      <c r="E378" s="59">
        <f>(Data!L378-Data!L377)/Data!L377</f>
        <v>2.7316070244224205E-2</v>
      </c>
    </row>
    <row r="379" spans="1:5" x14ac:dyDescent="0.3">
      <c r="A379">
        <v>377</v>
      </c>
      <c r="B379" s="59">
        <f>(Data!C379-Data!C378)/Data!C378</f>
        <v>1.876230361349452E-2</v>
      </c>
      <c r="C379" s="59">
        <f>(Data!F379-Data!F378)/Data!F378</f>
        <v>4.7597836116712875E-3</v>
      </c>
      <c r="D379" s="59">
        <f>(Data!I379-Data!I378)/Data!I378</f>
        <v>1.8122619193344618E-2</v>
      </c>
      <c r="E379" s="59">
        <f>(Data!L379-Data!L378)/Data!L378</f>
        <v>-1.6832819186569328E-2</v>
      </c>
    </row>
    <row r="380" spans="1:5" x14ac:dyDescent="0.3">
      <c r="A380">
        <v>378</v>
      </c>
      <c r="B380" s="59">
        <f>(Data!C380-Data!C379)/Data!C379</f>
        <v>-6.6166065089015109E-3</v>
      </c>
      <c r="C380" s="59">
        <f>(Data!F380-Data!F379)/Data!F379</f>
        <v>-6.9472972373433271E-3</v>
      </c>
      <c r="D380" s="59">
        <f>(Data!I380-Data!I379)/Data!I379</f>
        <v>-1.5088751968655875E-2</v>
      </c>
      <c r="E380" s="59">
        <f>(Data!L380-Data!L379)/Data!L379</f>
        <v>-7.471654395255301E-3</v>
      </c>
    </row>
    <row r="381" spans="1:5" x14ac:dyDescent="0.3">
      <c r="A381">
        <v>379</v>
      </c>
      <c r="B381" s="59">
        <f>(Data!C381-Data!C380)/Data!C380</f>
        <v>-1.2317322120534364E-2</v>
      </c>
      <c r="C381" s="59">
        <f>(Data!F381-Data!F380)/Data!F380</f>
        <v>-4.4172384971892858E-3</v>
      </c>
      <c r="D381" s="59">
        <f>(Data!I381-Data!I380)/Data!I380</f>
        <v>5.786221511251714E-4</v>
      </c>
      <c r="E381" s="59">
        <f>(Data!L381-Data!L380)/Data!L380</f>
        <v>-2.8848042025440696E-3</v>
      </c>
    </row>
    <row r="382" spans="1:5" x14ac:dyDescent="0.3">
      <c r="A382">
        <v>380</v>
      </c>
      <c r="B382" s="59">
        <f>(Data!C382-Data!C381)/Data!C381</f>
        <v>1.5131688258040262E-2</v>
      </c>
      <c r="C382" s="59">
        <f>(Data!F382-Data!F381)/Data!F381</f>
        <v>-2.1042625329801477E-2</v>
      </c>
      <c r="D382" s="59">
        <f>(Data!I382-Data!I381)/Data!I381</f>
        <v>6.7501978316635014E-3</v>
      </c>
      <c r="E382" s="59">
        <f>(Data!L382-Data!L381)/Data!L381</f>
        <v>-1.6122308508028397E-3</v>
      </c>
    </row>
    <row r="383" spans="1:5" x14ac:dyDescent="0.3">
      <c r="A383">
        <v>381</v>
      </c>
      <c r="B383" s="59">
        <f>(Data!C383-Data!C382)/Data!C382</f>
        <v>-2.9292752675063875E-2</v>
      </c>
      <c r="C383" s="59">
        <f>(Data!F383-Data!F382)/Data!F382</f>
        <v>8.2980366325789711E-4</v>
      </c>
      <c r="D383" s="59">
        <f>(Data!I383-Data!I382)/Data!I382</f>
        <v>-2.5401507461341465E-2</v>
      </c>
      <c r="E383" s="59">
        <f>(Data!L383-Data!L382)/Data!L382</f>
        <v>2.1799485236579982E-3</v>
      </c>
    </row>
    <row r="384" spans="1:5" x14ac:dyDescent="0.3">
      <c r="A384">
        <v>382</v>
      </c>
      <c r="B384" s="59">
        <f>(Data!C384-Data!C383)/Data!C383</f>
        <v>2.4642680273539862E-3</v>
      </c>
      <c r="C384" s="59">
        <f>(Data!F384-Data!F383)/Data!F383</f>
        <v>7.6349501454955511E-3</v>
      </c>
      <c r="D384" s="59">
        <f>(Data!I384-Data!I383)/Data!I383</f>
        <v>-1.0248914988918528E-2</v>
      </c>
      <c r="E384" s="59">
        <f>(Data!L384-Data!L383)/Data!L383</f>
        <v>-1.0493264596239945E-2</v>
      </c>
    </row>
    <row r="385" spans="1:5" x14ac:dyDescent="0.3">
      <c r="A385">
        <v>383</v>
      </c>
      <c r="B385" s="59">
        <f>(Data!C385-Data!C384)/Data!C384</f>
        <v>1.4426124661553555E-2</v>
      </c>
      <c r="C385" s="59">
        <f>(Data!F385-Data!F384)/Data!F384</f>
        <v>9.3647949954941603E-3</v>
      </c>
      <c r="D385" s="59">
        <f>(Data!I385-Data!I384)/Data!I384</f>
        <v>1.0055862101855167E-2</v>
      </c>
      <c r="E385" s="59">
        <f>(Data!L385-Data!L384)/Data!L384</f>
        <v>2.6558694319317113E-3</v>
      </c>
    </row>
    <row r="386" spans="1:5" x14ac:dyDescent="0.3">
      <c r="A386">
        <v>384</v>
      </c>
      <c r="B386" s="59">
        <f>(Data!C386-Data!C385)/Data!C385</f>
        <v>1.2105865247517531E-2</v>
      </c>
      <c r="C386" s="59">
        <f>(Data!F386-Data!F385)/Data!F385</f>
        <v>2.1668390406514082E-2</v>
      </c>
      <c r="D386" s="59">
        <f>(Data!I386-Data!I385)/Data!I385</f>
        <v>1.3017605914111489E-2</v>
      </c>
      <c r="E386" s="59">
        <f>(Data!L386-Data!L385)/Data!L385</f>
        <v>-1.6065669281798915E-2</v>
      </c>
    </row>
    <row r="387" spans="1:5" x14ac:dyDescent="0.3">
      <c r="A387">
        <v>385</v>
      </c>
      <c r="B387" s="59">
        <f>(Data!C387-Data!C386)/Data!C386</f>
        <v>-7.9147274043211164E-3</v>
      </c>
      <c r="C387" s="59">
        <f>(Data!F387-Data!F386)/Data!F386</f>
        <v>-2.2935169755249722E-3</v>
      </c>
      <c r="D387" s="59">
        <f>(Data!I387-Data!I386)/Data!I386</f>
        <v>-7.1816498972723823E-3</v>
      </c>
      <c r="E387" s="59">
        <f>(Data!L387-Data!L386)/Data!L386</f>
        <v>-2.5805719975438425E-3</v>
      </c>
    </row>
    <row r="388" spans="1:5" x14ac:dyDescent="0.3">
      <c r="A388">
        <v>386</v>
      </c>
      <c r="B388" s="59">
        <f>(Data!C388-Data!C387)/Data!C387</f>
        <v>8.2467986380091972E-3</v>
      </c>
      <c r="C388" s="59">
        <f>(Data!F388-Data!F387)/Data!F387</f>
        <v>1.4676988608077759E-3</v>
      </c>
      <c r="D388" s="59">
        <f>(Data!I388-Data!I387)/Data!I387</f>
        <v>1.438897283409514E-2</v>
      </c>
      <c r="E388" s="59">
        <f>(Data!L388-Data!L387)/Data!L387</f>
        <v>1.2586538498234559E-3</v>
      </c>
    </row>
    <row r="389" spans="1:5" x14ac:dyDescent="0.3">
      <c r="A389">
        <v>387</v>
      </c>
      <c r="B389" s="59">
        <f>(Data!C389-Data!C388)/Data!C388</f>
        <v>-5.0607504177328756E-4</v>
      </c>
      <c r="C389" s="59">
        <f>(Data!F389-Data!F388)/Data!F388</f>
        <v>-8.4247442293193028E-3</v>
      </c>
      <c r="D389" s="59">
        <f>(Data!I389-Data!I388)/Data!I388</f>
        <v>-5.5358232570248541E-3</v>
      </c>
      <c r="E389" s="59">
        <f>(Data!L389-Data!L388)/Data!L388</f>
        <v>7.3527670839619187E-3</v>
      </c>
    </row>
    <row r="390" spans="1:5" x14ac:dyDescent="0.3">
      <c r="A390">
        <v>388</v>
      </c>
      <c r="B390" s="59">
        <f>(Data!C390-Data!C389)/Data!C389</f>
        <v>-2.5946336841673853E-2</v>
      </c>
      <c r="C390" s="59">
        <f>(Data!F390-Data!F389)/Data!F389</f>
        <v>5.0140418214456514E-3</v>
      </c>
      <c r="D390" s="59">
        <f>(Data!I390-Data!I389)/Data!I389</f>
        <v>-1.2161539723529844E-2</v>
      </c>
      <c r="E390" s="59">
        <f>(Data!L390-Data!L389)/Data!L389</f>
        <v>-5.3819155727104573E-3</v>
      </c>
    </row>
    <row r="391" spans="1:5" x14ac:dyDescent="0.3">
      <c r="A391">
        <v>389</v>
      </c>
      <c r="B391" s="59">
        <f>(Data!C391-Data!C390)/Data!C390</f>
        <v>1.0982987950876637E-2</v>
      </c>
      <c r="C391" s="59">
        <f>(Data!F391-Data!F390)/Data!F390</f>
        <v>-1.906083916254743E-2</v>
      </c>
      <c r="D391" s="59">
        <f>(Data!I391-Data!I390)/Data!I390</f>
        <v>9.9883427846987356E-3</v>
      </c>
      <c r="E391" s="59">
        <f>(Data!L391-Data!L390)/Data!L390</f>
        <v>-2.2198291400174069E-2</v>
      </c>
    </row>
    <row r="392" spans="1:5" x14ac:dyDescent="0.3">
      <c r="A392">
        <v>390</v>
      </c>
      <c r="B392" s="59">
        <f>(Data!C392-Data!C391)/Data!C391</f>
        <v>-3.2031807387391982E-3</v>
      </c>
      <c r="C392" s="59">
        <f>(Data!F392-Data!F391)/Data!F391</f>
        <v>-6.3316028067447608E-4</v>
      </c>
      <c r="D392" s="59">
        <f>(Data!I392-Data!I391)/Data!I391</f>
        <v>1.9310607947617944E-3</v>
      </c>
      <c r="E392" s="59">
        <f>(Data!L392-Data!L391)/Data!L391</f>
        <v>1.2488775678631051E-2</v>
      </c>
    </row>
    <row r="393" spans="1:5" x14ac:dyDescent="0.3">
      <c r="A393">
        <v>391</v>
      </c>
      <c r="B393" s="59">
        <f>(Data!C393-Data!C392)/Data!C392</f>
        <v>6.5454800624580919E-3</v>
      </c>
      <c r="C393" s="59">
        <f>(Data!F393-Data!F392)/Data!F392</f>
        <v>-1.8933023252896784E-3</v>
      </c>
      <c r="D393" s="59">
        <f>(Data!I393-Data!I392)/Data!I392</f>
        <v>-3.1014740446682659E-3</v>
      </c>
      <c r="E393" s="59">
        <f>(Data!L393-Data!L392)/Data!L392</f>
        <v>1.4028222327953643E-2</v>
      </c>
    </row>
    <row r="394" spans="1:5" x14ac:dyDescent="0.3">
      <c r="A394">
        <v>392</v>
      </c>
      <c r="B394" s="59">
        <f>(Data!C394-Data!C393)/Data!C393</f>
        <v>1.2687291892681319E-2</v>
      </c>
      <c r="C394" s="59">
        <f>(Data!F394-Data!F393)/Data!F393</f>
        <v>3.4361850485889766E-3</v>
      </c>
      <c r="D394" s="59">
        <f>(Data!I394-Data!I393)/Data!I393</f>
        <v>1.0595978030062715E-2</v>
      </c>
      <c r="E394" s="59">
        <f>(Data!L394-Data!L393)/Data!L393</f>
        <v>-1.9899183317508683E-3</v>
      </c>
    </row>
    <row r="395" spans="1:5" x14ac:dyDescent="0.3">
      <c r="A395">
        <v>393</v>
      </c>
      <c r="B395" s="59">
        <f>(Data!C395-Data!C394)/Data!C394</f>
        <v>6.4278732326099894E-4</v>
      </c>
      <c r="C395" s="59">
        <f>(Data!F395-Data!F394)/Data!F394</f>
        <v>8.2597580096079948E-4</v>
      </c>
      <c r="D395" s="59">
        <f>(Data!I395-Data!I394)/Data!I394</f>
        <v>6.0226325568678851E-3</v>
      </c>
      <c r="E395" s="59">
        <f>(Data!L395-Data!L394)/Data!L394</f>
        <v>1.5715494776555063E-2</v>
      </c>
    </row>
    <row r="396" spans="1:5" x14ac:dyDescent="0.3">
      <c r="A396">
        <v>394</v>
      </c>
      <c r="B396" s="59">
        <f>(Data!C396-Data!C395)/Data!C395</f>
        <v>-6.8991003700939035E-3</v>
      </c>
      <c r="C396" s="59">
        <f>(Data!F396-Data!F395)/Data!F395</f>
        <v>-3.8165487532827169E-3</v>
      </c>
      <c r="D396" s="59">
        <f>(Data!I396-Data!I395)/Data!I395</f>
        <v>-5.6710793343937816E-3</v>
      </c>
      <c r="E396" s="59">
        <f>(Data!L396-Data!L395)/Data!L395</f>
        <v>-1.0256603000929621E-2</v>
      </c>
    </row>
    <row r="397" spans="1:5" x14ac:dyDescent="0.3">
      <c r="A397">
        <v>395</v>
      </c>
      <c r="B397" s="59">
        <f>(Data!C397-Data!C396)/Data!C396</f>
        <v>1.0842078947640275E-2</v>
      </c>
      <c r="C397" s="59">
        <f>(Data!F397-Data!F396)/Data!F396</f>
        <v>-3.851519966283478E-3</v>
      </c>
      <c r="D397" s="59">
        <f>(Data!I397-Data!I396)/Data!I396</f>
        <v>-4.0444344772211467E-3</v>
      </c>
      <c r="E397" s="59">
        <f>(Data!L397-Data!L396)/Data!L396</f>
        <v>6.3598293989956052E-4</v>
      </c>
    </row>
    <row r="398" spans="1:5" x14ac:dyDescent="0.3">
      <c r="A398">
        <v>396</v>
      </c>
      <c r="B398" s="59">
        <f>(Data!C398-Data!C397)/Data!C397</f>
        <v>1.3009813744635538E-2</v>
      </c>
      <c r="C398" s="59">
        <f>(Data!F398-Data!F397)/Data!F397</f>
        <v>3.899195879190185E-2</v>
      </c>
      <c r="D398" s="59">
        <f>(Data!I398-Data!I397)/Data!I397</f>
        <v>9.218056769189225E-3</v>
      </c>
      <c r="E398" s="59">
        <f>(Data!L398-Data!L397)/Data!L397</f>
        <v>-9.203954781055932E-3</v>
      </c>
    </row>
    <row r="399" spans="1:5" x14ac:dyDescent="0.3">
      <c r="A399">
        <v>397</v>
      </c>
      <c r="B399" s="59">
        <f>(Data!C399-Data!C398)/Data!C398</f>
        <v>9.106051747311899E-4</v>
      </c>
      <c r="C399" s="59">
        <f>(Data!F399-Data!F398)/Data!F398</f>
        <v>-2.9035573208159219E-4</v>
      </c>
      <c r="D399" s="59">
        <f>(Data!I399-Data!I398)/Data!I398</f>
        <v>1.4346297700512585E-2</v>
      </c>
      <c r="E399" s="59">
        <f>(Data!L399-Data!L398)/Data!L398</f>
        <v>7.2247818630602218E-4</v>
      </c>
    </row>
    <row r="400" spans="1:5" x14ac:dyDescent="0.3">
      <c r="A400">
        <v>398</v>
      </c>
      <c r="B400" s="59">
        <f>(Data!C400-Data!C399)/Data!C399</f>
        <v>-9.4010159990871696E-5</v>
      </c>
      <c r="C400" s="59">
        <f>(Data!F400-Data!F399)/Data!F399</f>
        <v>6.6085978159155338E-3</v>
      </c>
      <c r="D400" s="59">
        <f>(Data!I400-Data!I399)/Data!I399</f>
        <v>5.5382256222852666E-3</v>
      </c>
      <c r="E400" s="59">
        <f>(Data!L400-Data!L399)/Data!L399</f>
        <v>1.8354781923187149E-2</v>
      </c>
    </row>
    <row r="401" spans="1:5" x14ac:dyDescent="0.3">
      <c r="A401">
        <v>399</v>
      </c>
      <c r="B401" s="59">
        <f>(Data!C401-Data!C400)/Data!C400</f>
        <v>3.2230437576734008E-4</v>
      </c>
      <c r="C401" s="59">
        <f>(Data!F401-Data!F400)/Data!F400</f>
        <v>-3.5065974449794264E-4</v>
      </c>
      <c r="D401" s="59">
        <f>(Data!I401-Data!I400)/Data!I400</f>
        <v>2.637251604256772E-3</v>
      </c>
      <c r="E401" s="59">
        <f>(Data!L401-Data!L400)/Data!L400</f>
        <v>5.0215158191412746E-3</v>
      </c>
    </row>
    <row r="402" spans="1:5" x14ac:dyDescent="0.3">
      <c r="A402">
        <v>400</v>
      </c>
      <c r="B402" s="59">
        <f>(Data!C402-Data!C401)/Data!C401</f>
        <v>7.2296811674792032E-3</v>
      </c>
      <c r="C402" s="59">
        <f>(Data!F402-Data!F401)/Data!F401</f>
        <v>8.5426438140392529E-5</v>
      </c>
      <c r="D402" s="59">
        <f>(Data!I402-Data!I401)/Data!I401</f>
        <v>5.2137741877599196E-3</v>
      </c>
      <c r="E402" s="59">
        <f>(Data!L402-Data!L401)/Data!L401</f>
        <v>-7.0796888971743016E-4</v>
      </c>
    </row>
    <row r="403" spans="1:5" x14ac:dyDescent="0.3">
      <c r="A403">
        <v>401</v>
      </c>
      <c r="B403" s="59">
        <f>(Data!C403-Data!C402)/Data!C402</f>
        <v>2.8791528612071519E-3</v>
      </c>
      <c r="C403" s="59">
        <f>(Data!F403-Data!F402)/Data!F402</f>
        <v>1.7815416185414084E-2</v>
      </c>
      <c r="D403" s="59">
        <f>(Data!I403-Data!I402)/Data!I402</f>
        <v>6.3622085632862929E-3</v>
      </c>
      <c r="E403" s="59">
        <f>(Data!L403-Data!L402)/Data!L402</f>
        <v>5.7314533894106401E-3</v>
      </c>
    </row>
    <row r="404" spans="1:5" x14ac:dyDescent="0.3">
      <c r="A404">
        <v>402</v>
      </c>
      <c r="B404" s="59">
        <f>(Data!C404-Data!C403)/Data!C403</f>
        <v>-7.2441410259266401E-4</v>
      </c>
      <c r="C404" s="59">
        <f>(Data!F404-Data!F403)/Data!F403</f>
        <v>-2.6300500297640225E-3</v>
      </c>
      <c r="D404" s="59">
        <f>(Data!I404-Data!I403)/Data!I403</f>
        <v>1.3209529669320182E-3</v>
      </c>
      <c r="E404" s="59">
        <f>(Data!L404-Data!L403)/Data!L403</f>
        <v>6.4295265735198536E-3</v>
      </c>
    </row>
    <row r="405" spans="1:5" x14ac:dyDescent="0.3">
      <c r="A405">
        <v>403</v>
      </c>
      <c r="B405" s="59">
        <f>(Data!C405-Data!C404)/Data!C404</f>
        <v>-3.1355867830603259E-3</v>
      </c>
      <c r="C405" s="59">
        <f>(Data!F405-Data!F404)/Data!F404</f>
        <v>9.785226156533107E-3</v>
      </c>
      <c r="D405" s="59">
        <f>(Data!I405-Data!I404)/Data!I404</f>
        <v>9.8989819528691163E-3</v>
      </c>
      <c r="E405" s="59">
        <f>(Data!L405-Data!L404)/Data!L404</f>
        <v>7.0278517488005666E-3</v>
      </c>
    </row>
    <row r="406" spans="1:5" x14ac:dyDescent="0.3">
      <c r="A406">
        <v>404</v>
      </c>
      <c r="B406" s="59">
        <f>(Data!C406-Data!C405)/Data!C405</f>
        <v>2.5817522917878735E-3</v>
      </c>
      <c r="C406" s="59">
        <f>(Data!F406-Data!F405)/Data!F405</f>
        <v>-8.3406303570992268E-3</v>
      </c>
      <c r="D406" s="59">
        <f>(Data!I406-Data!I405)/Data!I405</f>
        <v>-6.2677757966722895E-3</v>
      </c>
      <c r="E406" s="59">
        <f>(Data!L406-Data!L405)/Data!L405</f>
        <v>4.0116235848342577E-4</v>
      </c>
    </row>
    <row r="407" spans="1:5" x14ac:dyDescent="0.3">
      <c r="A407">
        <v>405</v>
      </c>
      <c r="B407" s="59">
        <f>(Data!C407-Data!C406)/Data!C406</f>
        <v>3.4269189100439689E-4</v>
      </c>
      <c r="C407" s="59">
        <f>(Data!F407-Data!F406)/Data!F406</f>
        <v>-1.2325016908083658E-2</v>
      </c>
      <c r="D407" s="59">
        <f>(Data!I407-Data!I406)/Data!I406</f>
        <v>-7.3909121697303499E-3</v>
      </c>
      <c r="E407" s="59">
        <f>(Data!L407-Data!L406)/Data!L406</f>
        <v>-9.5224213181498776E-3</v>
      </c>
    </row>
    <row r="408" spans="1:5" x14ac:dyDescent="0.3">
      <c r="A408">
        <v>406</v>
      </c>
      <c r="B408" s="59">
        <f>(Data!C408-Data!C407)/Data!C407</f>
        <v>1.9974856538301507E-5</v>
      </c>
      <c r="C408" s="59">
        <f>(Data!F408-Data!F407)/Data!F407</f>
        <v>-1.348292985971883E-3</v>
      </c>
      <c r="D408" s="59">
        <f>(Data!I408-Data!I407)/Data!I407</f>
        <v>7.7483358066954538E-3</v>
      </c>
      <c r="E408" s="59">
        <f>(Data!L408-Data!L407)/Data!L407</f>
        <v>3.6225098179969656E-3</v>
      </c>
    </row>
    <row r="409" spans="1:5" x14ac:dyDescent="0.3">
      <c r="A409">
        <v>407</v>
      </c>
      <c r="B409" s="59">
        <f>(Data!C409-Data!C408)/Data!C408</f>
        <v>-4.8955766146197436E-3</v>
      </c>
      <c r="C409" s="59">
        <f>(Data!F409-Data!F408)/Data!F408</f>
        <v>-1.0658916501683127E-2</v>
      </c>
      <c r="D409" s="59">
        <f>(Data!I409-Data!I408)/Data!I408</f>
        <v>1.0434241336246439E-3</v>
      </c>
      <c r="E409" s="59">
        <f>(Data!L409-Data!L408)/Data!L408</f>
        <v>1.8196594947597438E-2</v>
      </c>
    </row>
    <row r="410" spans="1:5" x14ac:dyDescent="0.3">
      <c r="A410">
        <v>408</v>
      </c>
      <c r="B410" s="59">
        <f>(Data!C410-Data!C409)/Data!C409</f>
        <v>-9.6935898360779585E-5</v>
      </c>
      <c r="C410" s="59">
        <f>(Data!F410-Data!F409)/Data!F409</f>
        <v>-1.2572957363984568E-3</v>
      </c>
      <c r="D410" s="59">
        <f>(Data!I410-Data!I409)/Data!I409</f>
        <v>2.825769840510077E-3</v>
      </c>
      <c r="E410" s="59">
        <f>(Data!L410-Data!L409)/Data!L409</f>
        <v>4.6758624691077763E-3</v>
      </c>
    </row>
    <row r="411" spans="1:5" x14ac:dyDescent="0.3">
      <c r="A411">
        <v>409</v>
      </c>
      <c r="B411" s="59">
        <f>(Data!C411-Data!C410)/Data!C410</f>
        <v>-8.4163711088132698E-3</v>
      </c>
      <c r="C411" s="59">
        <f>(Data!F411-Data!F410)/Data!F410</f>
        <v>-8.0674910690466863E-3</v>
      </c>
      <c r="D411" s="59">
        <f>(Data!I411-Data!I410)/Data!I410</f>
        <v>-1.2500952710698799E-2</v>
      </c>
      <c r="E411" s="59">
        <f>(Data!L411-Data!L410)/Data!L410</f>
        <v>-7.7899193204062226E-3</v>
      </c>
    </row>
    <row r="412" spans="1:5" x14ac:dyDescent="0.3">
      <c r="A412">
        <v>410</v>
      </c>
      <c r="B412" s="59">
        <f>(Data!C412-Data!C411)/Data!C411</f>
        <v>6.1585715622126461E-3</v>
      </c>
      <c r="C412" s="59">
        <f>(Data!F412-Data!F411)/Data!F411</f>
        <v>2.2347156677583837E-3</v>
      </c>
      <c r="D412" s="59">
        <f>(Data!I412-Data!I411)/Data!I411</f>
        <v>-4.4799532322786322E-3</v>
      </c>
      <c r="E412" s="59">
        <f>(Data!L412-Data!L411)/Data!L411</f>
        <v>-6.2015713400277624E-3</v>
      </c>
    </row>
    <row r="413" spans="1:5" x14ac:dyDescent="0.3">
      <c r="A413">
        <v>411</v>
      </c>
      <c r="B413" s="59">
        <f>(Data!C413-Data!C412)/Data!C412</f>
        <v>-2.4289164070183224E-3</v>
      </c>
      <c r="C413" s="59">
        <f>(Data!F413-Data!F412)/Data!F412</f>
        <v>-1.2771598911761359E-2</v>
      </c>
      <c r="D413" s="59">
        <f>(Data!I413-Data!I412)/Data!I412</f>
        <v>-4.1210716261120411E-3</v>
      </c>
      <c r="E413" s="59">
        <f>(Data!L413-Data!L412)/Data!L412</f>
        <v>-1.5316552650930721E-2</v>
      </c>
    </row>
    <row r="414" spans="1:5" x14ac:dyDescent="0.3">
      <c r="A414">
        <v>412</v>
      </c>
      <c r="B414" s="59">
        <f>(Data!C414-Data!C413)/Data!C413</f>
        <v>-5.3163524485954289E-3</v>
      </c>
      <c r="C414" s="59">
        <f>(Data!F414-Data!F413)/Data!F413</f>
        <v>3.7224427674120231E-3</v>
      </c>
      <c r="D414" s="59">
        <f>(Data!I414-Data!I413)/Data!I413</f>
        <v>-2.0304905892868084E-3</v>
      </c>
      <c r="E414" s="59">
        <f>(Data!L414-Data!L413)/Data!L413</f>
        <v>-1.355287891114561E-3</v>
      </c>
    </row>
    <row r="415" spans="1:5" x14ac:dyDescent="0.3">
      <c r="A415">
        <v>413</v>
      </c>
      <c r="B415" s="59">
        <f>(Data!C415-Data!C414)/Data!C414</f>
        <v>5.0476066173305327E-3</v>
      </c>
      <c r="C415" s="59">
        <f>(Data!F415-Data!F414)/Data!F414</f>
        <v>-3.3453412263892974E-3</v>
      </c>
      <c r="D415" s="59">
        <f>(Data!I415-Data!I414)/Data!I414</f>
        <v>5.8622800125977693E-3</v>
      </c>
      <c r="E415" s="59">
        <f>(Data!L415-Data!L414)/Data!L414</f>
        <v>1.3003398956404769E-2</v>
      </c>
    </row>
    <row r="416" spans="1:5" x14ac:dyDescent="0.3">
      <c r="A416">
        <v>414</v>
      </c>
      <c r="B416" s="59">
        <f>(Data!C416-Data!C415)/Data!C415</f>
        <v>-1.225837329514293E-2</v>
      </c>
      <c r="C416" s="59">
        <f>(Data!F416-Data!F415)/Data!F415</f>
        <v>5.2960888984754902E-3</v>
      </c>
      <c r="D416" s="59">
        <f>(Data!I416-Data!I415)/Data!I415</f>
        <v>5.0935449658316648E-3</v>
      </c>
      <c r="E416" s="59">
        <f>(Data!L416-Data!L415)/Data!L415</f>
        <v>-8.6821032242982987E-3</v>
      </c>
    </row>
    <row r="417" spans="1:5" x14ac:dyDescent="0.3">
      <c r="A417">
        <v>415</v>
      </c>
      <c r="B417" s="59">
        <f>(Data!C417-Data!C416)/Data!C416</f>
        <v>-1.7903203128985641E-2</v>
      </c>
      <c r="C417" s="59">
        <f>(Data!F417-Data!F416)/Data!F416</f>
        <v>-1.9001826552917341E-3</v>
      </c>
      <c r="D417" s="59">
        <f>(Data!I417-Data!I416)/Data!I416</f>
        <v>-1.6823695185805898E-2</v>
      </c>
      <c r="E417" s="59">
        <f>(Data!L417-Data!L416)/Data!L416</f>
        <v>-1.4019857116699159E-2</v>
      </c>
    </row>
    <row r="418" spans="1:5" x14ac:dyDescent="0.3">
      <c r="A418">
        <v>416</v>
      </c>
      <c r="B418" s="59">
        <f>(Data!C418-Data!C417)/Data!C417</f>
        <v>7.9719128092108783E-3</v>
      </c>
      <c r="C418" s="59">
        <f>(Data!F418-Data!F417)/Data!F417</f>
        <v>2.5965480301887067E-3</v>
      </c>
      <c r="D418" s="59">
        <f>(Data!I418-Data!I417)/Data!I417</f>
        <v>-2.4931958283958229E-2</v>
      </c>
      <c r="E418" s="59">
        <f>(Data!L418-Data!L417)/Data!L417</f>
        <v>8.7449680104007121E-3</v>
      </c>
    </row>
    <row r="419" spans="1:5" x14ac:dyDescent="0.3">
      <c r="A419">
        <v>417</v>
      </c>
      <c r="B419" s="59">
        <f>(Data!C419-Data!C418)/Data!C418</f>
        <v>1.4216897600648972E-2</v>
      </c>
      <c r="C419" s="59">
        <f>(Data!F419-Data!F418)/Data!F418</f>
        <v>-1.1079196070045969E-2</v>
      </c>
      <c r="D419" s="59">
        <f>(Data!I419-Data!I418)/Data!I418</f>
        <v>9.9226975796774825E-3</v>
      </c>
      <c r="E419" s="59">
        <f>(Data!L419-Data!L418)/Data!L418</f>
        <v>-8.1632913566432441E-3</v>
      </c>
    </row>
    <row r="420" spans="1:5" x14ac:dyDescent="0.3">
      <c r="A420">
        <v>418</v>
      </c>
      <c r="B420" s="59">
        <f>(Data!C420-Data!C419)/Data!C419</f>
        <v>-4.4782947738039635E-3</v>
      </c>
      <c r="C420" s="59">
        <f>(Data!F420-Data!F419)/Data!F419</f>
        <v>2.8027966339981849E-3</v>
      </c>
      <c r="D420" s="59">
        <f>(Data!I420-Data!I419)/Data!I419</f>
        <v>7.7792929169511358E-3</v>
      </c>
      <c r="E420" s="59">
        <f>(Data!L420-Data!L419)/Data!L419</f>
        <v>1.5609475091878502E-2</v>
      </c>
    </row>
    <row r="421" spans="1:5" x14ac:dyDescent="0.3">
      <c r="A421">
        <v>419</v>
      </c>
      <c r="B421" s="59">
        <f>(Data!C421-Data!C420)/Data!C420</f>
        <v>-1.5560819042234431E-2</v>
      </c>
      <c r="C421" s="59">
        <f>(Data!F421-Data!F420)/Data!F420</f>
        <v>-8.1329543752467013E-3</v>
      </c>
      <c r="D421" s="59">
        <f>(Data!I421-Data!I420)/Data!I420</f>
        <v>-9.5246078811882171E-3</v>
      </c>
      <c r="E421" s="59">
        <f>(Data!L421-Data!L420)/Data!L420</f>
        <v>-1.3056509762050587E-2</v>
      </c>
    </row>
    <row r="422" spans="1:5" x14ac:dyDescent="0.3">
      <c r="A422">
        <v>420</v>
      </c>
      <c r="B422" s="59">
        <f>(Data!C422-Data!C421)/Data!C421</f>
        <v>9.1044922894219817E-3</v>
      </c>
      <c r="C422" s="59">
        <f>(Data!F422-Data!F421)/Data!F421</f>
        <v>9.7805265331176719E-4</v>
      </c>
      <c r="D422" s="59">
        <f>(Data!I422-Data!I421)/Data!I421</f>
        <v>9.6277519952753278E-3</v>
      </c>
      <c r="E422" s="59">
        <f>(Data!L422-Data!L421)/Data!L421</f>
        <v>-1.7773654333903149E-3</v>
      </c>
    </row>
    <row r="423" spans="1:5" x14ac:dyDescent="0.3">
      <c r="A423">
        <v>421</v>
      </c>
      <c r="B423" s="59">
        <f>(Data!C423-Data!C422)/Data!C422</f>
        <v>6.4156955637247777E-3</v>
      </c>
      <c r="C423" s="59">
        <f>(Data!F423-Data!F422)/Data!F422</f>
        <v>2.3358931360400716E-2</v>
      </c>
      <c r="D423" s="59">
        <f>(Data!I423-Data!I422)/Data!I422</f>
        <v>4.4076712286686857E-3</v>
      </c>
      <c r="E423" s="59">
        <f>(Data!L423-Data!L422)/Data!L422</f>
        <v>5.1225066816227224E-3</v>
      </c>
    </row>
    <row r="424" spans="1:5" x14ac:dyDescent="0.3">
      <c r="A424">
        <v>422</v>
      </c>
      <c r="B424" s="59">
        <f>(Data!C424-Data!C423)/Data!C423</f>
        <v>1.0938977608159015E-2</v>
      </c>
      <c r="C424" s="59">
        <f>(Data!F424-Data!F423)/Data!F423</f>
        <v>8.1118515745206878E-3</v>
      </c>
      <c r="D424" s="59">
        <f>(Data!I424-Data!I423)/Data!I423</f>
        <v>3.0253358178244722E-2</v>
      </c>
      <c r="E424" s="59">
        <f>(Data!L424-Data!L423)/Data!L423</f>
        <v>1.7188274477500893E-2</v>
      </c>
    </row>
    <row r="425" spans="1:5" x14ac:dyDescent="0.3">
      <c r="A425">
        <v>423</v>
      </c>
      <c r="B425" s="59">
        <f>(Data!C425-Data!C424)/Data!C424</f>
        <v>-1.3871190067762998E-3</v>
      </c>
      <c r="C425" s="59">
        <f>(Data!F425-Data!F424)/Data!F424</f>
        <v>-6.7566633791326324E-4</v>
      </c>
      <c r="D425" s="59">
        <f>(Data!I425-Data!I424)/Data!I424</f>
        <v>9.0500415136215734E-4</v>
      </c>
      <c r="E425" s="59">
        <f>(Data!L425-Data!L424)/Data!L424</f>
        <v>2.183781586048639E-2</v>
      </c>
    </row>
    <row r="426" spans="1:5" x14ac:dyDescent="0.3">
      <c r="A426">
        <v>424</v>
      </c>
      <c r="B426" s="59">
        <f>(Data!C426-Data!C425)/Data!C425</f>
        <v>9.9556768793406369E-3</v>
      </c>
      <c r="C426" s="59">
        <f>(Data!F426-Data!F425)/Data!F425</f>
        <v>6.0500314816561256E-3</v>
      </c>
      <c r="D426" s="59">
        <f>(Data!I426-Data!I425)/Data!I425</f>
        <v>1.4687625172033829E-2</v>
      </c>
      <c r="E426" s="59">
        <f>(Data!L426-Data!L425)/Data!L425</f>
        <v>-7.6760333037785115E-3</v>
      </c>
    </row>
    <row r="427" spans="1:5" x14ac:dyDescent="0.3">
      <c r="A427">
        <v>425</v>
      </c>
      <c r="B427" s="59">
        <f>(Data!C427-Data!C426)/Data!C426</f>
        <v>-1.999543053987357E-3</v>
      </c>
      <c r="C427" s="59">
        <f>(Data!F427-Data!F426)/Data!F426</f>
        <v>6.9085286329387445E-3</v>
      </c>
      <c r="D427" s="59">
        <f>(Data!I427-Data!I426)/Data!I426</f>
        <v>1.829443647188478E-3</v>
      </c>
      <c r="E427" s="59">
        <f>(Data!L427-Data!L426)/Data!L426</f>
        <v>4.0119581092024972E-3</v>
      </c>
    </row>
    <row r="428" spans="1:5" x14ac:dyDescent="0.3">
      <c r="A428">
        <v>426</v>
      </c>
      <c r="B428" s="59">
        <f>(Data!C428-Data!C427)/Data!C427</f>
        <v>2.7628316524479237E-3</v>
      </c>
      <c r="C428" s="59">
        <f>(Data!F428-Data!F427)/Data!F427</f>
        <v>-4.8013931091274468E-3</v>
      </c>
      <c r="D428" s="59">
        <f>(Data!I428-Data!I427)/Data!I427</f>
        <v>-7.4355710413143063E-4</v>
      </c>
      <c r="E428" s="59">
        <f>(Data!L428-Data!L427)/Data!L427</f>
        <v>-7.7040462450342958E-3</v>
      </c>
    </row>
    <row r="429" spans="1:5" x14ac:dyDescent="0.3">
      <c r="A429">
        <v>427</v>
      </c>
      <c r="B429" s="59">
        <f>(Data!C429-Data!C428)/Data!C428</f>
        <v>-3.9193449497316171E-3</v>
      </c>
      <c r="C429" s="59">
        <f>(Data!F429-Data!F428)/Data!F428</f>
        <v>2.7929703085728913E-3</v>
      </c>
      <c r="D429" s="59">
        <f>(Data!I429-Data!I428)/Data!I428</f>
        <v>2.2047483787340466E-3</v>
      </c>
      <c r="E429" s="59">
        <f>(Data!L429-Data!L428)/Data!L428</f>
        <v>1.091815133708365E-2</v>
      </c>
    </row>
    <row r="430" spans="1:5" x14ac:dyDescent="0.3">
      <c r="A430">
        <v>428</v>
      </c>
      <c r="B430" s="59">
        <f>(Data!C430-Data!C429)/Data!C429</f>
        <v>6.871616213485073E-3</v>
      </c>
      <c r="C430" s="59">
        <f>(Data!F430-Data!F429)/Data!F429</f>
        <v>2.2644711643075807E-3</v>
      </c>
      <c r="D430" s="59">
        <f>(Data!I430-Data!I429)/Data!I429</f>
        <v>1.3790697004589332E-2</v>
      </c>
      <c r="E430" s="59">
        <f>(Data!L430-Data!L429)/Data!L429</f>
        <v>-1.575497989280545E-3</v>
      </c>
    </row>
    <row r="431" spans="1:5" x14ac:dyDescent="0.3">
      <c r="A431">
        <v>429</v>
      </c>
      <c r="B431" s="59">
        <f>(Data!C431-Data!C430)/Data!C430</f>
        <v>-3.5686665547477927E-3</v>
      </c>
      <c r="C431" s="59">
        <f>(Data!F431-Data!F430)/Data!F430</f>
        <v>-8.1933516661193556E-3</v>
      </c>
      <c r="D431" s="59">
        <f>(Data!I431-Data!I430)/Data!I430</f>
        <v>3.855563020651937E-3</v>
      </c>
      <c r="E431" s="59">
        <f>(Data!L431-Data!L430)/Data!L430</f>
        <v>-8.3082760008848858E-3</v>
      </c>
    </row>
    <row r="432" spans="1:5" x14ac:dyDescent="0.3">
      <c r="A432">
        <v>430</v>
      </c>
      <c r="B432" s="59">
        <f>(Data!C432-Data!C431)/Data!C431</f>
        <v>2.8471490320299423E-3</v>
      </c>
      <c r="C432" s="59">
        <f>(Data!F432-Data!F431)/Data!F431</f>
        <v>8.7033197506106684E-3</v>
      </c>
      <c r="D432" s="59">
        <f>(Data!I432-Data!I431)/Data!I431</f>
        <v>1.8822912200313114E-3</v>
      </c>
      <c r="E432" s="59">
        <f>(Data!L432-Data!L431)/Data!L431</f>
        <v>6.9040800029732136E-3</v>
      </c>
    </row>
    <row r="433" spans="1:5" x14ac:dyDescent="0.3">
      <c r="A433">
        <v>431</v>
      </c>
      <c r="B433" s="59">
        <f>(Data!C433-Data!C432)/Data!C432</f>
        <v>1.9204461816167387E-3</v>
      </c>
      <c r="C433" s="59">
        <f>(Data!F433-Data!F432)/Data!F432</f>
        <v>-4.8719621390815575E-3</v>
      </c>
      <c r="D433" s="59">
        <f>(Data!I433-Data!I432)/Data!I432</f>
        <v>3.4286139891358518E-3</v>
      </c>
      <c r="E433" s="59">
        <f>(Data!L433-Data!L432)/Data!L432</f>
        <v>-7.0448186191967126E-3</v>
      </c>
    </row>
    <row r="434" spans="1:5" x14ac:dyDescent="0.3">
      <c r="A434">
        <v>432</v>
      </c>
      <c r="B434" s="59">
        <f>(Data!C434-Data!C433)/Data!C433</f>
        <v>4.0727005840515843E-3</v>
      </c>
      <c r="C434" s="59">
        <f>(Data!F434-Data!F433)/Data!F433</f>
        <v>8.3948648800354474E-3</v>
      </c>
      <c r="D434" s="59">
        <f>(Data!I434-Data!I433)/Data!I433</f>
        <v>3.0022850377916291E-3</v>
      </c>
      <c r="E434" s="59">
        <f>(Data!L434-Data!L433)/Data!L433</f>
        <v>-5.6105280665569154E-3</v>
      </c>
    </row>
    <row r="435" spans="1:5" x14ac:dyDescent="0.3">
      <c r="A435">
        <v>433</v>
      </c>
      <c r="B435" s="59">
        <f>(Data!C435-Data!C434)/Data!C434</f>
        <v>5.5813378526457938E-3</v>
      </c>
      <c r="C435" s="59">
        <f>(Data!F435-Data!F434)/Data!F434</f>
        <v>-3.8860209937848348E-3</v>
      </c>
      <c r="D435" s="59">
        <f>(Data!I435-Data!I434)/Data!I434</f>
        <v>1.1362360934788912E-3</v>
      </c>
      <c r="E435" s="59">
        <f>(Data!L435-Data!L434)/Data!L434</f>
        <v>1.263747106924041E-3</v>
      </c>
    </row>
    <row r="436" spans="1:5" x14ac:dyDescent="0.3">
      <c r="A436">
        <v>434</v>
      </c>
      <c r="B436" s="59">
        <f>(Data!C436-Data!C435)/Data!C435</f>
        <v>-8.3240521708997776E-4</v>
      </c>
      <c r="C436" s="59">
        <f>(Data!F436-Data!F435)/Data!F435</f>
        <v>-4.4443161113912289E-3</v>
      </c>
      <c r="D436" s="59">
        <f>(Data!I436-Data!I435)/Data!I435</f>
        <v>-2.5924259085180821E-3</v>
      </c>
      <c r="E436" s="59">
        <f>(Data!L436-Data!L435)/Data!L435</f>
        <v>-2.0363079732989057E-3</v>
      </c>
    </row>
    <row r="437" spans="1:5" x14ac:dyDescent="0.3">
      <c r="A437">
        <v>435</v>
      </c>
      <c r="B437" s="59">
        <f>(Data!C437-Data!C436)/Data!C436</f>
        <v>3.2533701741289645E-3</v>
      </c>
      <c r="C437" s="59">
        <f>(Data!F437-Data!F436)/Data!F436</f>
        <v>8.9625152138358092E-3</v>
      </c>
      <c r="D437" s="59">
        <f>(Data!I437-Data!I436)/Data!I436</f>
        <v>-4.700119200829122E-4</v>
      </c>
      <c r="E437" s="59">
        <f>(Data!L437-Data!L436)/Data!L436</f>
        <v>1.9821637942494984E-2</v>
      </c>
    </row>
    <row r="438" spans="1:5" x14ac:dyDescent="0.3">
      <c r="A438">
        <v>436</v>
      </c>
      <c r="B438" s="59">
        <f>(Data!C438-Data!C437)/Data!C437</f>
        <v>-3.022860583353128E-3</v>
      </c>
      <c r="C438" s="59">
        <f>(Data!F438-Data!F437)/Data!F437</f>
        <v>7.2115463323021807E-3</v>
      </c>
      <c r="D438" s="59">
        <f>(Data!I438-Data!I437)/Data!I437</f>
        <v>-2.3769722154408889E-3</v>
      </c>
      <c r="E438" s="59">
        <f>(Data!L438-Data!L437)/Data!L437</f>
        <v>1.4865304972242195E-3</v>
      </c>
    </row>
    <row r="439" spans="1:5" x14ac:dyDescent="0.3">
      <c r="A439">
        <v>437</v>
      </c>
      <c r="B439" s="59">
        <f>(Data!C439-Data!C438)/Data!C438</f>
        <v>9.6623119971041751E-3</v>
      </c>
      <c r="C439" s="59">
        <f>(Data!F439-Data!F438)/Data!F438</f>
        <v>1.6477066283588956E-2</v>
      </c>
      <c r="D439" s="59">
        <f>(Data!I439-Data!I438)/Data!I438</f>
        <v>1.0318144527792715E-2</v>
      </c>
      <c r="E439" s="59">
        <f>(Data!L439-Data!L438)/Data!L438</f>
        <v>6.6373939696618336E-3</v>
      </c>
    </row>
    <row r="440" spans="1:5" x14ac:dyDescent="0.3">
      <c r="A440">
        <v>438</v>
      </c>
      <c r="B440" s="59">
        <f>(Data!C440-Data!C439)/Data!C439</f>
        <v>3.7040892383407753E-3</v>
      </c>
      <c r="C440" s="59">
        <f>(Data!F440-Data!F439)/Data!F439</f>
        <v>4.9405787914389388E-3</v>
      </c>
      <c r="D440" s="59">
        <f>(Data!I440-Data!I439)/Data!I439</f>
        <v>1.3610738195827305E-2</v>
      </c>
      <c r="E440" s="59">
        <f>(Data!L440-Data!L439)/Data!L439</f>
        <v>-2.2858537039113095E-3</v>
      </c>
    </row>
    <row r="441" spans="1:5" x14ac:dyDescent="0.3">
      <c r="A441">
        <v>439</v>
      </c>
      <c r="B441" s="59">
        <f>(Data!C441-Data!C440)/Data!C440</f>
        <v>-1.1856994273686215E-3</v>
      </c>
      <c r="C441" s="59">
        <f>(Data!F441-Data!F440)/Data!F440</f>
        <v>1.8929155833410704E-4</v>
      </c>
      <c r="D441" s="59">
        <f>(Data!I441-Data!I440)/Data!I440</f>
        <v>2.8165716572106044E-3</v>
      </c>
      <c r="E441" s="59">
        <f>(Data!L441-Data!L440)/Data!L440</f>
        <v>-6.2156993570513012E-4</v>
      </c>
    </row>
    <row r="442" spans="1:5" x14ac:dyDescent="0.3">
      <c r="A442">
        <v>440</v>
      </c>
      <c r="B442" s="59">
        <f>(Data!C442-Data!C441)/Data!C441</f>
        <v>7.0249719243610758E-4</v>
      </c>
      <c r="C442" s="59">
        <f>(Data!F442-Data!F441)/Data!F441</f>
        <v>5.7276139391548107E-3</v>
      </c>
      <c r="D442" s="59">
        <f>(Data!I442-Data!I441)/Data!I441</f>
        <v>-1.0246060763301093E-3</v>
      </c>
      <c r="E442" s="59">
        <f>(Data!L442-Data!L441)/Data!L441</f>
        <v>3.7780793414722517E-3</v>
      </c>
    </row>
    <row r="443" spans="1:5" x14ac:dyDescent="0.3">
      <c r="A443">
        <v>441</v>
      </c>
      <c r="B443" s="59">
        <f>(Data!C443-Data!C442)/Data!C442</f>
        <v>2.7300953987048891E-3</v>
      </c>
      <c r="C443" s="59">
        <f>(Data!F443-Data!F442)/Data!F442</f>
        <v>-7.0416282228959607E-3</v>
      </c>
      <c r="D443" s="59">
        <f>(Data!I443-Data!I442)/Data!I442</f>
        <v>3.5102280914138528E-3</v>
      </c>
      <c r="E443" s="59">
        <f>(Data!L443-Data!L442)/Data!L442</f>
        <v>5.5546892024469407E-4</v>
      </c>
    </row>
    <row r="444" spans="1:5" x14ac:dyDescent="0.3">
      <c r="A444">
        <v>442</v>
      </c>
      <c r="B444" s="59">
        <f>(Data!C444-Data!C443)/Data!C443</f>
        <v>2.560675932725453E-3</v>
      </c>
      <c r="C444" s="59">
        <f>(Data!F444-Data!F443)/Data!F443</f>
        <v>-2.6204699973384839E-2</v>
      </c>
      <c r="D444" s="59">
        <f>(Data!I444-Data!I443)/Data!I443</f>
        <v>-4.9421920442142527E-3</v>
      </c>
      <c r="E444" s="59">
        <f>(Data!L444-Data!L443)/Data!L443</f>
        <v>2.1703218822542603E-3</v>
      </c>
    </row>
    <row r="445" spans="1:5" x14ac:dyDescent="0.3">
      <c r="A445">
        <v>443</v>
      </c>
      <c r="B445" s="59">
        <f>(Data!C445-Data!C444)/Data!C444</f>
        <v>-1.96246713532387E-3</v>
      </c>
      <c r="C445" s="59">
        <f>(Data!F445-Data!F444)/Data!F444</f>
        <v>5.1521086799534814E-3</v>
      </c>
      <c r="D445" s="59">
        <f>(Data!I445-Data!I444)/Data!I444</f>
        <v>-4.0848665913113874E-3</v>
      </c>
      <c r="E445" s="59">
        <f>(Data!L445-Data!L444)/Data!L444</f>
        <v>8.2253078738063895E-3</v>
      </c>
    </row>
    <row r="446" spans="1:5" x14ac:dyDescent="0.3">
      <c r="A446">
        <v>444</v>
      </c>
      <c r="B446" s="59">
        <f>(Data!C446-Data!C445)/Data!C445</f>
        <v>1.5646460440210746E-3</v>
      </c>
      <c r="C446" s="59">
        <f>(Data!F446-Data!F445)/Data!F445</f>
        <v>-1.8245455869163561E-2</v>
      </c>
      <c r="D446" s="59">
        <f>(Data!I446-Data!I445)/Data!I445</f>
        <v>3.9002566146504338E-3</v>
      </c>
      <c r="E446" s="59">
        <f>(Data!L446-Data!L445)/Data!L445</f>
        <v>4.8679523551291891E-3</v>
      </c>
    </row>
    <row r="447" spans="1:5" x14ac:dyDescent="0.3">
      <c r="A447">
        <v>445</v>
      </c>
      <c r="B447" s="59">
        <f>(Data!C447-Data!C446)/Data!C446</f>
        <v>7.1153453522336747E-4</v>
      </c>
      <c r="C447" s="59">
        <f>(Data!F447-Data!F446)/Data!F446</f>
        <v>-9.3247219480378576E-3</v>
      </c>
      <c r="D447" s="59">
        <f>(Data!I447-Data!I446)/Data!I446</f>
        <v>-2.8481710639335573E-3</v>
      </c>
      <c r="E447" s="59">
        <f>(Data!L447-Data!L446)/Data!L446</f>
        <v>-6.2374468187531154E-3</v>
      </c>
    </row>
    <row r="448" spans="1:5" x14ac:dyDescent="0.3">
      <c r="A448">
        <v>446</v>
      </c>
      <c r="B448" s="59">
        <f>(Data!C448-Data!C447)/Data!C447</f>
        <v>8.3704282018183822E-4</v>
      </c>
      <c r="C448" s="59">
        <f>(Data!F448-Data!F447)/Data!F447</f>
        <v>1.1285283566753701E-4</v>
      </c>
      <c r="D448" s="59">
        <f>(Data!I448-Data!I447)/Data!I447</f>
        <v>-5.8437776240834348E-3</v>
      </c>
      <c r="E448" s="59">
        <f>(Data!L448-Data!L447)/Data!L447</f>
        <v>-1.1495677199729711E-2</v>
      </c>
    </row>
    <row r="449" spans="1:5" x14ac:dyDescent="0.3">
      <c r="A449">
        <v>447</v>
      </c>
      <c r="B449" s="59">
        <f>(Data!C449-Data!C448)/Data!C448</f>
        <v>7.6954879660702273E-3</v>
      </c>
      <c r="C449" s="59">
        <f>(Data!F449-Data!F448)/Data!F448</f>
        <v>1.3462766864456098E-2</v>
      </c>
      <c r="D449" s="59">
        <f>(Data!I449-Data!I448)/Data!I448</f>
        <v>3.7551393732888601E-3</v>
      </c>
      <c r="E449" s="59">
        <f>(Data!L449-Data!L448)/Data!L448</f>
        <v>-1.2526870469254072E-2</v>
      </c>
    </row>
    <row r="450" spans="1:5" x14ac:dyDescent="0.3">
      <c r="A450">
        <v>448</v>
      </c>
      <c r="B450" s="59">
        <f>(Data!C450-Data!C449)/Data!C449</f>
        <v>5.0315274658958907E-4</v>
      </c>
      <c r="C450" s="59">
        <f>(Data!F450-Data!F449)/Data!F449</f>
        <v>1.6771847465169035E-2</v>
      </c>
      <c r="D450" s="59">
        <f>(Data!I450-Data!I449)/Data!I449</f>
        <v>-6.2896637711981477E-4</v>
      </c>
      <c r="E450" s="59">
        <f>(Data!L450-Data!L449)/Data!L449</f>
        <v>6.1259056824674958E-3</v>
      </c>
    </row>
    <row r="451" spans="1:5" x14ac:dyDescent="0.3">
      <c r="A451">
        <v>449</v>
      </c>
      <c r="B451" s="59">
        <f>(Data!C451-Data!C450)/Data!C450</f>
        <v>-5.9259423606268112E-4</v>
      </c>
      <c r="C451" s="59">
        <f>(Data!F451-Data!F450)/Data!F450</f>
        <v>-7.536462220656558E-3</v>
      </c>
      <c r="D451" s="59">
        <f>(Data!I451-Data!I450)/Data!I450</f>
        <v>3.7020721710311704E-3</v>
      </c>
      <c r="E451" s="59">
        <f>(Data!L451-Data!L450)/Data!L450</f>
        <v>2.3856135679593575E-3</v>
      </c>
    </row>
    <row r="452" spans="1:5" x14ac:dyDescent="0.3">
      <c r="A452">
        <v>450</v>
      </c>
      <c r="B452" s="59">
        <f>(Data!C452-Data!C451)/Data!C451</f>
        <v>-3.7561843404612947E-3</v>
      </c>
      <c r="C452" s="59">
        <f>(Data!F452-Data!F451)/Data!F451</f>
        <v>-1.5720887206082629E-2</v>
      </c>
      <c r="D452" s="59">
        <f>(Data!I452-Data!I451)/Data!I451</f>
        <v>-2.6024176121426136E-3</v>
      </c>
      <c r="E452" s="59">
        <f>(Data!L452-Data!L451)/Data!L451</f>
        <v>-2.609970709259034E-3</v>
      </c>
    </row>
    <row r="453" spans="1:5" x14ac:dyDescent="0.3">
      <c r="A453">
        <v>451</v>
      </c>
      <c r="B453" s="59">
        <f>(Data!C453-Data!C452)/Data!C452</f>
        <v>-1.582752250866146E-3</v>
      </c>
      <c r="C453" s="59">
        <f>(Data!F453-Data!F452)/Data!F452</f>
        <v>4.843760006438512E-3</v>
      </c>
      <c r="D453" s="59">
        <f>(Data!I453-Data!I452)/Data!I452</f>
        <v>-1.3730794045123498E-3</v>
      </c>
      <c r="E453" s="59">
        <f>(Data!L453-Data!L452)/Data!L452</f>
        <v>1.126675368748343E-2</v>
      </c>
    </row>
    <row r="454" spans="1:5" x14ac:dyDescent="0.3">
      <c r="A454">
        <v>452</v>
      </c>
      <c r="B454" s="59">
        <f>(Data!C454-Data!C453)/Data!C453</f>
        <v>2.1749356912356562E-3</v>
      </c>
      <c r="C454" s="59">
        <f>(Data!F454-Data!F453)/Data!F453</f>
        <v>1.4963631763199701E-2</v>
      </c>
      <c r="D454" s="59">
        <f>(Data!I454-Data!I453)/Data!I453</f>
        <v>1.2691236210401638E-3</v>
      </c>
      <c r="E454" s="59">
        <f>(Data!L454-Data!L453)/Data!L453</f>
        <v>3.9032657376037666E-3</v>
      </c>
    </row>
    <row r="455" spans="1:5" x14ac:dyDescent="0.3">
      <c r="A455">
        <v>453</v>
      </c>
      <c r="B455" s="59">
        <f>(Data!C455-Data!C454)/Data!C454</f>
        <v>7.5072915088997107E-3</v>
      </c>
      <c r="C455" s="59">
        <f>(Data!F455-Data!F454)/Data!F454</f>
        <v>-2.9310942282319025E-3</v>
      </c>
      <c r="D455" s="59">
        <f>(Data!I455-Data!I454)/Data!I454</f>
        <v>5.3634819640750505E-3</v>
      </c>
      <c r="E455" s="59">
        <f>(Data!L455-Data!L454)/Data!L454</f>
        <v>2.3454403037724638E-2</v>
      </c>
    </row>
    <row r="456" spans="1:5" x14ac:dyDescent="0.3">
      <c r="A456">
        <v>454</v>
      </c>
      <c r="B456" s="59">
        <f>(Data!C456-Data!C455)/Data!C455</f>
        <v>2.1955704021284946E-3</v>
      </c>
      <c r="C456" s="59">
        <f>(Data!F456-Data!F455)/Data!F455</f>
        <v>1.4891951122748676E-3</v>
      </c>
      <c r="D456" s="59">
        <f>(Data!I456-Data!I455)/Data!I455</f>
        <v>-4.5517974923205183E-3</v>
      </c>
      <c r="E456" s="59">
        <f>(Data!L456-Data!L455)/Data!L455</f>
        <v>-1.4522644636027033E-3</v>
      </c>
    </row>
    <row r="457" spans="1:5" x14ac:dyDescent="0.3">
      <c r="A457">
        <v>455</v>
      </c>
      <c r="B457" s="59">
        <f>(Data!C457-Data!C456)/Data!C456</f>
        <v>4.1744242725764037E-3</v>
      </c>
      <c r="C457" s="59">
        <f>(Data!F457-Data!F456)/Data!F456</f>
        <v>-2.2360143577948269E-3</v>
      </c>
      <c r="D457" s="59">
        <f>(Data!I457-Data!I456)/Data!I456</f>
        <v>2.9155141643882406E-3</v>
      </c>
      <c r="E457" s="59">
        <f>(Data!L457-Data!L456)/Data!L456</f>
        <v>-8.7872733794913099E-3</v>
      </c>
    </row>
    <row r="458" spans="1:5" x14ac:dyDescent="0.3">
      <c r="A458">
        <v>456</v>
      </c>
      <c r="B458" s="59">
        <f>(Data!C458-Data!C457)/Data!C457</f>
        <v>-4.0112199177813265E-3</v>
      </c>
      <c r="C458" s="59">
        <f>(Data!F458-Data!F457)/Data!F457</f>
        <v>-2.034824568613839E-2</v>
      </c>
      <c r="D458" s="59">
        <f>(Data!I458-Data!I457)/Data!I457</f>
        <v>-1.8547712078419575E-3</v>
      </c>
      <c r="E458" s="59">
        <f>(Data!L458-Data!L457)/Data!L457</f>
        <v>-1.5364570387420643E-2</v>
      </c>
    </row>
    <row r="459" spans="1:5" x14ac:dyDescent="0.3">
      <c r="A459">
        <v>457</v>
      </c>
      <c r="B459" s="59">
        <f>(Data!C459-Data!C458)/Data!C458</f>
        <v>-8.6310206281544431E-3</v>
      </c>
      <c r="C459" s="59">
        <f>(Data!F459-Data!F458)/Data!F458</f>
        <v>3.72840815332712E-3</v>
      </c>
      <c r="D459" s="59">
        <f>(Data!I459-Data!I458)/Data!I458</f>
        <v>-2.4172137712383797E-3</v>
      </c>
      <c r="E459" s="59">
        <f>(Data!L459-Data!L458)/Data!L458</f>
        <v>8.6017905793738525E-3</v>
      </c>
    </row>
    <row r="460" spans="1:5" x14ac:dyDescent="0.3">
      <c r="A460">
        <v>458</v>
      </c>
      <c r="B460" s="59">
        <f>(Data!C460-Data!C459)/Data!C459</f>
        <v>-6.6380951110170793E-3</v>
      </c>
      <c r="C460" s="59">
        <f>(Data!F460-Data!F459)/Data!F459</f>
        <v>-2.0200599809677713E-3</v>
      </c>
      <c r="D460" s="59">
        <f>(Data!I460-Data!I459)/Data!I459</f>
        <v>-1.5808781893944183E-2</v>
      </c>
      <c r="E460" s="59">
        <f>(Data!L460-Data!L459)/Data!L459</f>
        <v>-1.5023745147784193E-2</v>
      </c>
    </row>
    <row r="461" spans="1:5" x14ac:dyDescent="0.3">
      <c r="A461">
        <v>459</v>
      </c>
      <c r="B461" s="59">
        <f>(Data!C461-Data!C460)/Data!C460</f>
        <v>6.3235676030824785E-3</v>
      </c>
      <c r="C461" s="59">
        <f>(Data!F461-Data!F460)/Data!F460</f>
        <v>-1.2456386167849269E-2</v>
      </c>
      <c r="D461" s="59">
        <f>(Data!I461-Data!I460)/Data!I460</f>
        <v>2.3513630004090721E-3</v>
      </c>
      <c r="E461" s="59">
        <f>(Data!L461-Data!L460)/Data!L460</f>
        <v>-8.6223871070745198E-3</v>
      </c>
    </row>
    <row r="462" spans="1:5" x14ac:dyDescent="0.3">
      <c r="A462">
        <v>460</v>
      </c>
      <c r="B462" s="59">
        <f>(Data!C462-Data!C461)/Data!C461</f>
        <v>1.5002512191744722E-3</v>
      </c>
      <c r="C462" s="59">
        <f>(Data!F462-Data!F461)/Data!F461</f>
        <v>5.9272194580198166E-3</v>
      </c>
      <c r="D462" s="59">
        <f>(Data!I462-Data!I461)/Data!I461</f>
        <v>1.4664741388816923E-2</v>
      </c>
      <c r="E462" s="59">
        <f>(Data!L462-Data!L461)/Data!L461</f>
        <v>4.6057533402641768E-3</v>
      </c>
    </row>
    <row r="463" spans="1:5" x14ac:dyDescent="0.3">
      <c r="A463">
        <v>461</v>
      </c>
      <c r="B463" s="59">
        <f>(Data!C463-Data!C462)/Data!C462</f>
        <v>9.1357241770398407E-3</v>
      </c>
      <c r="C463" s="59">
        <f>(Data!F463-Data!F462)/Data!F462</f>
        <v>1.0730810497858184E-2</v>
      </c>
      <c r="D463" s="59">
        <f>(Data!I463-Data!I462)/Data!I462</f>
        <v>-3.1242349928713416E-3</v>
      </c>
      <c r="E463" s="59">
        <f>(Data!L463-Data!L462)/Data!L462</f>
        <v>4.9387271160776201E-3</v>
      </c>
    </row>
    <row r="464" spans="1:5" x14ac:dyDescent="0.3">
      <c r="A464">
        <v>462</v>
      </c>
      <c r="B464" s="59">
        <f>(Data!C464-Data!C463)/Data!C463</f>
        <v>-3.1628213389220711E-3</v>
      </c>
      <c r="C464" s="59">
        <f>(Data!F464-Data!F463)/Data!F463</f>
        <v>1.1478537158327148E-3</v>
      </c>
      <c r="D464" s="59">
        <f>(Data!I464-Data!I463)/Data!I463</f>
        <v>7.8375866127359649E-3</v>
      </c>
      <c r="E464" s="59">
        <f>(Data!L464-Data!L463)/Data!L463</f>
        <v>-2.01872124170807E-3</v>
      </c>
    </row>
    <row r="465" spans="1:5" x14ac:dyDescent="0.3">
      <c r="A465">
        <v>463</v>
      </c>
      <c r="B465" s="59">
        <f>(Data!C465-Data!C464)/Data!C464</f>
        <v>-1.0969339668811192E-3</v>
      </c>
      <c r="C465" s="59">
        <f>(Data!F465-Data!F464)/Data!F464</f>
        <v>-2.1933164433580931E-3</v>
      </c>
      <c r="D465" s="59">
        <f>(Data!I465-Data!I464)/Data!I464</f>
        <v>-4.9885603380635472E-3</v>
      </c>
      <c r="E465" s="59">
        <f>(Data!L465-Data!L464)/Data!L464</f>
        <v>-9.6767788487824415E-4</v>
      </c>
    </row>
    <row r="466" spans="1:5" x14ac:dyDescent="0.3">
      <c r="A466">
        <v>464</v>
      </c>
      <c r="B466" s="59">
        <f>(Data!C466-Data!C465)/Data!C465</f>
        <v>2.9081579500967189E-3</v>
      </c>
      <c r="C466" s="59">
        <f>(Data!F466-Data!F465)/Data!F465</f>
        <v>7.8985344489894398E-3</v>
      </c>
      <c r="D466" s="59">
        <f>(Data!I466-Data!I465)/Data!I465</f>
        <v>-5.9942747905152775E-4</v>
      </c>
      <c r="E466" s="59">
        <f>(Data!L466-Data!L465)/Data!L465</f>
        <v>4.1898643260127841E-4</v>
      </c>
    </row>
    <row r="467" spans="1:5" x14ac:dyDescent="0.3">
      <c r="A467">
        <v>465</v>
      </c>
      <c r="B467" s="59">
        <f>(Data!C467-Data!C466)/Data!C466</f>
        <v>8.5752256005007989E-3</v>
      </c>
      <c r="C467" s="59">
        <f>(Data!F467-Data!F466)/Data!F466</f>
        <v>1.3087082515957481E-2</v>
      </c>
      <c r="D467" s="59">
        <f>(Data!I467-Data!I466)/Data!I466</f>
        <v>6.2674138373104626E-3</v>
      </c>
      <c r="E467" s="59">
        <f>(Data!L467-Data!L466)/Data!L466</f>
        <v>6.4375882527896002E-3</v>
      </c>
    </row>
    <row r="468" spans="1:5" x14ac:dyDescent="0.3">
      <c r="A468">
        <v>466</v>
      </c>
      <c r="B468" s="59">
        <f>(Data!C468-Data!C467)/Data!C467</f>
        <v>7.2581951815607588E-5</v>
      </c>
      <c r="C468" s="59">
        <f>(Data!F468-Data!F467)/Data!F467</f>
        <v>2.5695174024455415E-2</v>
      </c>
      <c r="D468" s="59">
        <f>(Data!I468-Data!I467)/Data!I467</f>
        <v>3.0810012856432641E-3</v>
      </c>
      <c r="E468" s="59">
        <f>(Data!L468-Data!L467)/Data!L467</f>
        <v>2.126694996546652E-2</v>
      </c>
    </row>
    <row r="469" spans="1:5" x14ac:dyDescent="0.3">
      <c r="A469">
        <v>467</v>
      </c>
      <c r="B469" s="59">
        <f>(Data!C469-Data!C468)/Data!C468</f>
        <v>7.1477851709664982E-3</v>
      </c>
      <c r="C469" s="59">
        <f>(Data!F469-Data!F468)/Data!F468</f>
        <v>-6.4891462335147686E-3</v>
      </c>
      <c r="D469" s="59">
        <f>(Data!I469-Data!I468)/Data!I468</f>
        <v>5.0714634375411084E-3</v>
      </c>
      <c r="E469" s="59">
        <f>(Data!L469-Data!L468)/Data!L468</f>
        <v>-3.5910223253946146E-3</v>
      </c>
    </row>
    <row r="470" spans="1:5" x14ac:dyDescent="0.3">
      <c r="A470">
        <v>468</v>
      </c>
      <c r="B470" s="59">
        <f>(Data!C470-Data!C469)/Data!C469</f>
        <v>3.3529242708775156E-4</v>
      </c>
      <c r="C470" s="59">
        <f>(Data!F470-Data!F469)/Data!F469</f>
        <v>1.2200814229680376E-2</v>
      </c>
      <c r="D470" s="59">
        <f>(Data!I470-Data!I469)/Data!I469</f>
        <v>4.9599146727653436E-3</v>
      </c>
      <c r="E470" s="59">
        <f>(Data!L470-Data!L469)/Data!L469</f>
        <v>-5.2847821556841496E-3</v>
      </c>
    </row>
    <row r="471" spans="1:5" x14ac:dyDescent="0.3">
      <c r="A471">
        <v>469</v>
      </c>
      <c r="B471" s="59">
        <f>(Data!C471-Data!C470)/Data!C470</f>
        <v>-4.3230018648399962E-4</v>
      </c>
      <c r="C471" s="59">
        <f>(Data!F471-Data!F470)/Data!F470</f>
        <v>1.4545474951303187E-3</v>
      </c>
      <c r="D471" s="59">
        <f>(Data!I471-Data!I470)/Data!I470</f>
        <v>-7.4161641665179542E-3</v>
      </c>
      <c r="E471" s="59">
        <f>(Data!L471-Data!L470)/Data!L470</f>
        <v>-9.5557303448028322E-3</v>
      </c>
    </row>
    <row r="472" spans="1:5" x14ac:dyDescent="0.3">
      <c r="A472">
        <v>470</v>
      </c>
      <c r="B472" s="59">
        <f>(Data!C472-Data!C471)/Data!C471</f>
        <v>4.4592918133156585E-3</v>
      </c>
      <c r="C472" s="59">
        <f>(Data!F472-Data!F471)/Data!F471</f>
        <v>-3.0024412089748073E-3</v>
      </c>
      <c r="D472" s="59">
        <f>(Data!I472-Data!I471)/Data!I471</f>
        <v>-5.8392054123445943E-3</v>
      </c>
      <c r="E472" s="59">
        <f>(Data!L472-Data!L471)/Data!L471</f>
        <v>-8.2464190919332193E-3</v>
      </c>
    </row>
    <row r="473" spans="1:5" x14ac:dyDescent="0.3">
      <c r="A473">
        <v>471</v>
      </c>
      <c r="B473" s="59">
        <f>(Data!C473-Data!C472)/Data!C472</f>
        <v>4.9447812331994889E-3</v>
      </c>
      <c r="C473" s="59">
        <f>(Data!F473-Data!F472)/Data!F472</f>
        <v>2.5488534340066637E-3</v>
      </c>
      <c r="D473" s="59">
        <f>(Data!I473-Data!I472)/Data!I472</f>
        <v>-7.7144694056442578E-4</v>
      </c>
      <c r="E473" s="59">
        <f>(Data!L473-Data!L472)/Data!L472</f>
        <v>5.2213043428308854E-4</v>
      </c>
    </row>
    <row r="474" spans="1:5" x14ac:dyDescent="0.3">
      <c r="A474">
        <v>472</v>
      </c>
      <c r="B474" s="59">
        <f>(Data!C474-Data!C473)/Data!C473</f>
        <v>8.6614358072970574E-4</v>
      </c>
      <c r="C474" s="59">
        <f>(Data!F474-Data!F473)/Data!F473</f>
        <v>1.2579422055930853E-3</v>
      </c>
      <c r="D474" s="59">
        <f>(Data!I474-Data!I473)/Data!I473</f>
        <v>9.9135501488225725E-3</v>
      </c>
      <c r="E474" s="59">
        <f>(Data!L474-Data!L473)/Data!L473</f>
        <v>1.737590134902377E-3</v>
      </c>
    </row>
    <row r="475" spans="1:5" x14ac:dyDescent="0.3">
      <c r="A475">
        <v>473</v>
      </c>
      <c r="B475" s="59">
        <f>(Data!C475-Data!C474)/Data!C474</f>
        <v>-1.954482145047379E-4</v>
      </c>
      <c r="C475" s="59">
        <f>(Data!F475-Data!F474)/Data!F474</f>
        <v>-1.5121693461861796E-3</v>
      </c>
      <c r="D475" s="59">
        <f>(Data!I475-Data!I474)/Data!I474</f>
        <v>5.9407157610191262E-3</v>
      </c>
      <c r="E475" s="59">
        <f>(Data!L475-Data!L474)/Data!L474</f>
        <v>1.0434701969241343E-2</v>
      </c>
    </row>
    <row r="476" spans="1:5" x14ac:dyDescent="0.3">
      <c r="A476">
        <v>474</v>
      </c>
      <c r="B476" s="59">
        <f>(Data!C476-Data!C475)/Data!C475</f>
        <v>5.1281665829022646E-3</v>
      </c>
      <c r="C476" s="59">
        <f>(Data!F476-Data!F475)/Data!F475</f>
        <v>1.296318725133533E-2</v>
      </c>
      <c r="D476" s="59">
        <f>(Data!I476-Data!I475)/Data!I475</f>
        <v>4.0612974340667757E-3</v>
      </c>
      <c r="E476" s="59">
        <f>(Data!L476-Data!L475)/Data!L475</f>
        <v>-1.0563122148948159E-2</v>
      </c>
    </row>
    <row r="477" spans="1:5" x14ac:dyDescent="0.3">
      <c r="A477">
        <v>475</v>
      </c>
      <c r="B477" s="59">
        <f>(Data!C477-Data!C476)/Data!C476</f>
        <v>3.3984895565162446E-5</v>
      </c>
      <c r="C477" s="59">
        <f>(Data!F477-Data!F476)/Data!F476</f>
        <v>3.3292933554109894E-3</v>
      </c>
      <c r="D477" s="59">
        <f>(Data!I477-Data!I476)/Data!I476</f>
        <v>-4.3878786321872604E-3</v>
      </c>
      <c r="E477" s="59">
        <f>(Data!L477-Data!L476)/Data!L476</f>
        <v>-1.9510951167486809E-3</v>
      </c>
    </row>
    <row r="478" spans="1:5" x14ac:dyDescent="0.3">
      <c r="A478">
        <v>476</v>
      </c>
      <c r="B478" s="59">
        <f>(Data!C478-Data!C477)/Data!C477</f>
        <v>-5.780822613559021E-3</v>
      </c>
      <c r="C478" s="59">
        <f>(Data!F478-Data!F477)/Data!F477</f>
        <v>-4.577804187832866E-3</v>
      </c>
      <c r="D478" s="59">
        <f>(Data!I478-Data!I477)/Data!I477</f>
        <v>5.1129851960489839E-3</v>
      </c>
      <c r="E478" s="59">
        <f>(Data!L478-Data!L477)/Data!L477</f>
        <v>-2.0182951619151109E-3</v>
      </c>
    </row>
    <row r="479" spans="1:5" x14ac:dyDescent="0.3">
      <c r="A479">
        <v>477</v>
      </c>
      <c r="B479" s="59">
        <f>(Data!C479-Data!C478)/Data!C478</f>
        <v>2.946021589209662E-3</v>
      </c>
      <c r="C479" s="59">
        <f>(Data!F479-Data!F478)/Data!F478</f>
        <v>6.2747901453542084E-3</v>
      </c>
      <c r="D479" s="59">
        <f>(Data!I479-Data!I478)/Data!I478</f>
        <v>-1.2460101306935789E-2</v>
      </c>
      <c r="E479" s="59">
        <f>(Data!L479-Data!L478)/Data!L478</f>
        <v>-2.8043629071214807E-3</v>
      </c>
    </row>
    <row r="480" spans="1:5" x14ac:dyDescent="0.3">
      <c r="A480">
        <v>478</v>
      </c>
      <c r="B480" s="59">
        <f>(Data!C480-Data!C479)/Data!C479</f>
        <v>8.3788028763996901E-3</v>
      </c>
      <c r="C480" s="59">
        <f>(Data!F480-Data!F479)/Data!F479</f>
        <v>6.2356626706786067E-3</v>
      </c>
      <c r="D480" s="59">
        <f>(Data!I480-Data!I479)/Data!I479</f>
        <v>-4.747377251821042E-3</v>
      </c>
      <c r="E480" s="59">
        <f>(Data!L480-Data!L479)/Data!L479</f>
        <v>-2.0524615029091954E-2</v>
      </c>
    </row>
    <row r="481" spans="1:5" x14ac:dyDescent="0.3">
      <c r="A481">
        <v>479</v>
      </c>
      <c r="B481" s="59">
        <f>(Data!C481-Data!C480)/Data!C480</f>
        <v>-7.0598705613004542E-3</v>
      </c>
      <c r="C481" s="59">
        <f>(Data!F481-Data!F480)/Data!F480</f>
        <v>-3.223832677678833E-3</v>
      </c>
      <c r="D481" s="59">
        <f>(Data!I481-Data!I480)/Data!I480</f>
        <v>3.1934775743516154E-3</v>
      </c>
      <c r="E481" s="59">
        <f>(Data!L481-Data!L480)/Data!L480</f>
        <v>3.1372878194692408E-2</v>
      </c>
    </row>
    <row r="482" spans="1:5" x14ac:dyDescent="0.3">
      <c r="A482">
        <v>480</v>
      </c>
      <c r="B482" s="59">
        <f>(Data!C482-Data!C481)/Data!C481</f>
        <v>3.5333726923132761E-3</v>
      </c>
      <c r="C482" s="59">
        <f>(Data!F482-Data!F481)/Data!F481</f>
        <v>-7.9191096075778566E-3</v>
      </c>
      <c r="D482" s="59">
        <f>(Data!I482-Data!I481)/Data!I481</f>
        <v>4.2554421144909479E-3</v>
      </c>
      <c r="E482" s="59">
        <f>(Data!L482-Data!L481)/Data!L481</f>
        <v>-3.0687320969570938E-2</v>
      </c>
    </row>
    <row r="483" spans="1:5" x14ac:dyDescent="0.3">
      <c r="A483">
        <v>481</v>
      </c>
      <c r="B483" s="59">
        <f>(Data!C483-Data!C482)/Data!C482</f>
        <v>-2.803238450998093E-3</v>
      </c>
      <c r="C483" s="59">
        <f>(Data!F483-Data!F482)/Data!F482</f>
        <v>3.3965298135492364E-3</v>
      </c>
      <c r="D483" s="59">
        <f>(Data!I483-Data!I482)/Data!I482</f>
        <v>1.2764180263817178E-2</v>
      </c>
      <c r="E483" s="59">
        <f>(Data!L483-Data!L482)/Data!L482</f>
        <v>1.2358985225144049E-2</v>
      </c>
    </row>
    <row r="484" spans="1:5" x14ac:dyDescent="0.3">
      <c r="A484">
        <v>482</v>
      </c>
      <c r="B484" s="59">
        <f>(Data!C484-Data!C483)/Data!C483</f>
        <v>4.9024513105130471E-3</v>
      </c>
      <c r="C484" s="59">
        <f>(Data!F484-Data!F483)/Data!F483</f>
        <v>-8.2670759287251979E-3</v>
      </c>
      <c r="D484" s="59">
        <f>(Data!I484-Data!I483)/Data!I483</f>
        <v>3.8879328792378628E-4</v>
      </c>
      <c r="E484" s="59">
        <f>(Data!L484-Data!L483)/Data!L483</f>
        <v>1.241262216326462E-2</v>
      </c>
    </row>
    <row r="485" spans="1:5" x14ac:dyDescent="0.3">
      <c r="A485">
        <v>483</v>
      </c>
      <c r="B485" s="59">
        <f>(Data!C485-Data!C484)/Data!C484</f>
        <v>6.6552624994673454E-3</v>
      </c>
      <c r="C485" s="59">
        <f>(Data!F485-Data!F484)/Data!F484</f>
        <v>1.8151508661868248E-2</v>
      </c>
      <c r="D485" s="59">
        <f>(Data!I485-Data!I484)/Data!I484</f>
        <v>-7.4284407264457481E-4</v>
      </c>
      <c r="E485" s="59">
        <f>(Data!L485-Data!L484)/Data!L484</f>
        <v>7.6015079431641878E-3</v>
      </c>
    </row>
    <row r="486" spans="1:5" x14ac:dyDescent="0.3">
      <c r="A486">
        <v>484</v>
      </c>
      <c r="B486" s="59">
        <f>(Data!C486-Data!C485)/Data!C485</f>
        <v>-2.8551785323553043E-3</v>
      </c>
      <c r="C486" s="59">
        <f>(Data!F486-Data!F485)/Data!F485</f>
        <v>2.7029592451244602E-3</v>
      </c>
      <c r="D486" s="59">
        <f>(Data!I486-Data!I485)/Data!I485</f>
        <v>-4.3881587823683531E-4</v>
      </c>
      <c r="E486" s="59">
        <f>(Data!L486-Data!L485)/Data!L485</f>
        <v>1.5581854288260063E-2</v>
      </c>
    </row>
    <row r="487" spans="1:5" x14ac:dyDescent="0.3">
      <c r="A487">
        <v>485</v>
      </c>
      <c r="B487" s="59">
        <f>(Data!C487-Data!C486)/Data!C486</f>
        <v>6.9762152039845914E-3</v>
      </c>
      <c r="C487" s="59">
        <f>(Data!F487-Data!F486)/Data!F486</f>
        <v>1.1060061129467176E-2</v>
      </c>
      <c r="D487" s="59">
        <f>(Data!I487-Data!I486)/Data!I486</f>
        <v>-3.8014061267025856E-6</v>
      </c>
      <c r="E487" s="59">
        <f>(Data!L487-Data!L486)/Data!L486</f>
        <v>-7.4466434707292683E-3</v>
      </c>
    </row>
    <row r="488" spans="1:5" x14ac:dyDescent="0.3">
      <c r="A488">
        <v>486</v>
      </c>
      <c r="B488" s="59">
        <f>(Data!C488-Data!C487)/Data!C487</f>
        <v>-1.5145329342818885E-3</v>
      </c>
      <c r="C488" s="59">
        <f>(Data!F488-Data!F487)/Data!F487</f>
        <v>-2.410601759789445E-3</v>
      </c>
      <c r="D488" s="59">
        <f>(Data!I488-Data!I487)/Data!I487</f>
        <v>-1.5587974584455589E-3</v>
      </c>
      <c r="E488" s="59">
        <f>(Data!L488-Data!L487)/Data!L487</f>
        <v>4.4758792763216759E-3</v>
      </c>
    </row>
    <row r="489" spans="1:5" x14ac:dyDescent="0.3">
      <c r="A489">
        <v>487</v>
      </c>
      <c r="B489" s="59">
        <f>(Data!C489-Data!C488)/Data!C488</f>
        <v>1.8701969703727125E-3</v>
      </c>
      <c r="C489" s="59">
        <f>(Data!F489-Data!F488)/Data!F488</f>
        <v>-3.8618742573631694E-3</v>
      </c>
      <c r="D489" s="59">
        <f>(Data!I489-Data!I488)/Data!I488</f>
        <v>3.1298414349649126E-3</v>
      </c>
      <c r="E489" s="59">
        <f>(Data!L489-Data!L488)/Data!L488</f>
        <v>7.6776973645209471E-3</v>
      </c>
    </row>
    <row r="490" spans="1:5" x14ac:dyDescent="0.3">
      <c r="A490">
        <v>488</v>
      </c>
      <c r="B490" s="59">
        <f>(Data!C490-Data!C489)/Data!C489</f>
        <v>8.3665531691350901E-3</v>
      </c>
      <c r="C490" s="59">
        <f>(Data!F490-Data!F489)/Data!F489</f>
        <v>3.8038082697848265E-3</v>
      </c>
      <c r="D490" s="59">
        <f>(Data!I490-Data!I489)/Data!I489</f>
        <v>1.0540852761034729E-3</v>
      </c>
      <c r="E490" s="59">
        <f>(Data!L490-Data!L489)/Data!L489</f>
        <v>1.7190764413620663E-2</v>
      </c>
    </row>
    <row r="491" spans="1:5" x14ac:dyDescent="0.3">
      <c r="A491">
        <v>489</v>
      </c>
      <c r="B491" s="59">
        <f>(Data!C491-Data!C490)/Data!C490</f>
        <v>3.8621620690158509E-3</v>
      </c>
      <c r="C491" s="59">
        <f>(Data!F491-Data!F490)/Data!F490</f>
        <v>6.0028606623361326E-3</v>
      </c>
      <c r="D491" s="59">
        <f>(Data!I491-Data!I490)/Data!I490</f>
        <v>1.4142817228883333E-3</v>
      </c>
      <c r="E491" s="59">
        <f>(Data!L491-Data!L490)/Data!L490</f>
        <v>-2.3041248591391408E-2</v>
      </c>
    </row>
    <row r="492" spans="1:5" x14ac:dyDescent="0.3">
      <c r="A492">
        <v>490</v>
      </c>
      <c r="B492" s="59">
        <f>(Data!C492-Data!C491)/Data!C491</f>
        <v>-2.6519776099730831E-3</v>
      </c>
      <c r="C492" s="59">
        <f>(Data!F492-Data!F491)/Data!F491</f>
        <v>-8.9656525717662569E-3</v>
      </c>
      <c r="D492" s="59">
        <f>(Data!I492-Data!I491)/Data!I491</f>
        <v>-2.9596120834535513E-3</v>
      </c>
      <c r="E492" s="59">
        <f>(Data!L492-Data!L491)/Data!L491</f>
        <v>1.1768106634817812E-2</v>
      </c>
    </row>
    <row r="493" spans="1:5" x14ac:dyDescent="0.3">
      <c r="A493">
        <v>491</v>
      </c>
      <c r="B493" s="59">
        <f>(Data!C493-Data!C492)/Data!C492</f>
        <v>2.890760899442764E-4</v>
      </c>
      <c r="C493" s="59">
        <f>(Data!F493-Data!F492)/Data!F492</f>
        <v>-2.8149139013447986E-2</v>
      </c>
      <c r="D493" s="59">
        <f>(Data!I493-Data!I492)/Data!I492</f>
        <v>-1.2725178549255554E-2</v>
      </c>
      <c r="E493" s="59">
        <f>(Data!L493-Data!L492)/Data!L492</f>
        <v>-1.0737353707660761E-2</v>
      </c>
    </row>
    <row r="494" spans="1:5" x14ac:dyDescent="0.3">
      <c r="A494">
        <v>492</v>
      </c>
      <c r="B494" s="59">
        <f>(Data!C494-Data!C493)/Data!C493</f>
        <v>1.1409765936629724E-3</v>
      </c>
      <c r="C494" s="59">
        <f>(Data!F494-Data!F493)/Data!F493</f>
        <v>1.2710551707218725E-2</v>
      </c>
      <c r="D494" s="59">
        <f>(Data!I494-Data!I493)/Data!I493</f>
        <v>1.1768169029989001E-2</v>
      </c>
      <c r="E494" s="59">
        <f>(Data!L494-Data!L493)/Data!L493</f>
        <v>1.1110326852050424E-2</v>
      </c>
    </row>
    <row r="495" spans="1:5" x14ac:dyDescent="0.3">
      <c r="A495">
        <v>493</v>
      </c>
      <c r="B495" s="59">
        <f>(Data!C495-Data!C494)/Data!C494</f>
        <v>-9.0421608663121527E-3</v>
      </c>
      <c r="C495" s="59">
        <f>(Data!F495-Data!F494)/Data!F494</f>
        <v>-1.5240087741309636E-2</v>
      </c>
      <c r="D495" s="59">
        <f>(Data!I495-Data!I494)/Data!I494</f>
        <v>-2.8715981726510183E-2</v>
      </c>
      <c r="E495" s="59">
        <f>(Data!L495-Data!L494)/Data!L494</f>
        <v>-2.7330211835352763E-2</v>
      </c>
    </row>
    <row r="496" spans="1:5" x14ac:dyDescent="0.3">
      <c r="A496">
        <v>494</v>
      </c>
      <c r="B496" s="59">
        <f>(Data!C496-Data!C495)/Data!C495</f>
        <v>-1.5730711690954722E-2</v>
      </c>
      <c r="C496" s="59">
        <f>(Data!F496-Data!F495)/Data!F495</f>
        <v>1.4519083814606292E-3</v>
      </c>
      <c r="D496" s="59">
        <f>(Data!I496-Data!I495)/Data!I495</f>
        <v>8.9143020320820495E-3</v>
      </c>
      <c r="E496" s="59">
        <f>(Data!L496-Data!L495)/Data!L495</f>
        <v>1.728114127235824E-2</v>
      </c>
    </row>
    <row r="497" spans="1:5" x14ac:dyDescent="0.3">
      <c r="A497">
        <v>495</v>
      </c>
      <c r="B497" s="59">
        <f>(Data!C497-Data!C496)/Data!C496</f>
        <v>1.0053584464402337E-2</v>
      </c>
      <c r="C497" s="59">
        <f>(Data!F497-Data!F496)/Data!F496</f>
        <v>-2.8229692702891333E-2</v>
      </c>
      <c r="D497" s="59">
        <f>(Data!I497-Data!I496)/Data!I496</f>
        <v>1.2356194525449818E-3</v>
      </c>
      <c r="E497" s="59">
        <f>(Data!L497-Data!L496)/Data!L496</f>
        <v>8.3967441199954834E-3</v>
      </c>
    </row>
    <row r="498" spans="1:5" x14ac:dyDescent="0.3">
      <c r="A498">
        <v>496</v>
      </c>
      <c r="B498" s="59">
        <f>(Data!C498-Data!C497)/Data!C497</f>
        <v>-8.6687422431466115E-4</v>
      </c>
      <c r="C498" s="59">
        <f>(Data!F498-Data!F497)/Data!F497</f>
        <v>-2.619600419790084E-2</v>
      </c>
      <c r="D498" s="59">
        <f>(Data!I498-Data!I497)/Data!I497</f>
        <v>-1.2377264101043726E-2</v>
      </c>
      <c r="E498" s="59">
        <f>(Data!L498-Data!L497)/Data!L497</f>
        <v>-1.8397887738700939E-2</v>
      </c>
    </row>
    <row r="499" spans="1:5" x14ac:dyDescent="0.3">
      <c r="A499">
        <v>497</v>
      </c>
      <c r="B499" s="59">
        <f>(Data!C499-Data!C498)/Data!C498</f>
        <v>3.1343588645344699E-3</v>
      </c>
      <c r="C499" s="59">
        <f>(Data!F499-Data!F498)/Data!F498</f>
        <v>-5.1608501136647103E-3</v>
      </c>
      <c r="D499" s="59">
        <f>(Data!I499-Data!I498)/Data!I498</f>
        <v>-8.1233574533718014E-3</v>
      </c>
      <c r="E499" s="59">
        <f>(Data!L499-Data!L498)/Data!L498</f>
        <v>-8.2576440979605006E-3</v>
      </c>
    </row>
    <row r="500" spans="1:5" x14ac:dyDescent="0.3">
      <c r="A500">
        <v>498</v>
      </c>
      <c r="B500" s="59">
        <f>(Data!C500-Data!C499)/Data!C499</f>
        <v>-1.7705820200054914E-2</v>
      </c>
      <c r="C500" s="59">
        <f>(Data!F500-Data!F499)/Data!F499</f>
        <v>1.6854874846097185E-3</v>
      </c>
      <c r="D500" s="59">
        <f>(Data!I500-Data!I499)/Data!I499</f>
        <v>2.6946460372461907E-3</v>
      </c>
      <c r="E500" s="59">
        <f>(Data!L500-Data!L499)/Data!L499</f>
        <v>-9.8657959565255776E-3</v>
      </c>
    </row>
    <row r="501" spans="1:5" x14ac:dyDescent="0.3">
      <c r="A501">
        <v>499</v>
      </c>
      <c r="B501" s="59">
        <f>(Data!C501-Data!C500)/Data!C500</f>
        <v>7.2546137847255129E-3</v>
      </c>
      <c r="C501" s="59">
        <f>(Data!F501-Data!F500)/Data!F500</f>
        <v>1.2103055597555855E-2</v>
      </c>
      <c r="D501" s="59">
        <f>(Data!I501-Data!I500)/Data!I500</f>
        <v>1.62004648091119E-2</v>
      </c>
      <c r="E501" s="59">
        <f>(Data!L501-Data!L500)/Data!L500</f>
        <v>1.2011982707921039E-2</v>
      </c>
    </row>
    <row r="502" spans="1:5" x14ac:dyDescent="0.3">
      <c r="A502">
        <v>500</v>
      </c>
      <c r="B502" s="59">
        <f>(Data!C502-Data!C501)/Data!C501</f>
        <v>1.4980414158696486E-2</v>
      </c>
      <c r="C502" s="59">
        <f>(Data!F502-Data!F501)/Data!F501</f>
        <v>4.1520410141518129E-3</v>
      </c>
      <c r="D502" s="59">
        <f>(Data!I502-Data!I501)/Data!I501</f>
        <v>1.0298227389387576E-2</v>
      </c>
      <c r="E502" s="59">
        <f>(Data!L502-Data!L501)/Data!L501</f>
        <v>6.4766554244481108E-3</v>
      </c>
    </row>
  </sheetData>
  <mergeCells count="2">
    <mergeCell ref="C1:D1"/>
    <mergeCell ref="S1:T1"/>
  </mergeCells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J504"/>
  <sheetViews>
    <sheetView topLeftCell="D1" zoomScale="67" zoomScaleNormal="67" workbookViewId="0">
      <selection activeCell="AF4" sqref="AF4:AG4"/>
    </sheetView>
  </sheetViews>
  <sheetFormatPr defaultColWidth="10.33203125" defaultRowHeight="14.4" x14ac:dyDescent="0.3"/>
  <cols>
    <col min="1" max="1" width="12" bestFit="1" customWidth="1"/>
    <col min="2" max="4" width="10.44140625" bestFit="1" customWidth="1"/>
    <col min="5" max="5" width="2.44140625" style="29" customWidth="1"/>
    <col min="6" max="6" width="7" customWidth="1"/>
    <col min="7" max="7" width="2.44140625" style="29" customWidth="1"/>
    <col min="8" max="8" width="10.44140625" style="60" bestFit="1" customWidth="1"/>
    <col min="9" max="11" width="10.44140625" bestFit="1" customWidth="1"/>
    <col min="12" max="12" width="2.44140625" style="29" customWidth="1"/>
    <col min="13" max="13" width="11.44140625" customWidth="1"/>
    <col min="14" max="14" width="11.6640625" customWidth="1"/>
    <col min="15" max="15" width="12.109375" bestFit="1" customWidth="1"/>
    <col min="16" max="16" width="10.44140625" bestFit="1" customWidth="1"/>
    <col min="17" max="18" width="12.109375" bestFit="1" customWidth="1"/>
    <col min="19" max="19" width="2.44140625" style="29" customWidth="1"/>
    <col min="20" max="20" width="11.109375" customWidth="1"/>
    <col min="21" max="21" width="13.5546875" bestFit="1" customWidth="1"/>
    <col min="22" max="23" width="11.5546875" bestFit="1" customWidth="1"/>
    <col min="24" max="24" width="11.6640625" customWidth="1"/>
    <col min="25" max="25" width="10.44140625" bestFit="1" customWidth="1"/>
    <col min="26" max="26" width="2.44140625" style="29" customWidth="1"/>
    <col min="27" max="30" width="10.44140625" bestFit="1" customWidth="1"/>
    <col min="31" max="31" width="2.6640625" style="29" customWidth="1"/>
    <col min="32" max="32" width="10.44140625" bestFit="1" customWidth="1"/>
    <col min="33" max="33" width="9.33203125" customWidth="1"/>
    <col min="34" max="34" width="4.88671875" style="29" customWidth="1"/>
    <col min="35" max="36" width="10.44140625" bestFit="1" customWidth="1"/>
    <col min="265" max="267" width="12" bestFit="1" customWidth="1"/>
    <col min="269" max="270" width="12" bestFit="1" customWidth="1"/>
    <col min="521" max="523" width="12" bestFit="1" customWidth="1"/>
    <col min="525" max="526" width="12" bestFit="1" customWidth="1"/>
    <col min="777" max="779" width="12" bestFit="1" customWidth="1"/>
    <col min="781" max="782" width="12" bestFit="1" customWidth="1"/>
    <col min="1033" max="1035" width="12" bestFit="1" customWidth="1"/>
    <col min="1037" max="1038" width="12" bestFit="1" customWidth="1"/>
    <col min="1289" max="1291" width="12" bestFit="1" customWidth="1"/>
    <col min="1293" max="1294" width="12" bestFit="1" customWidth="1"/>
    <col min="1545" max="1547" width="12" bestFit="1" customWidth="1"/>
    <col min="1549" max="1550" width="12" bestFit="1" customWidth="1"/>
    <col min="1801" max="1803" width="12" bestFit="1" customWidth="1"/>
    <col min="1805" max="1806" width="12" bestFit="1" customWidth="1"/>
    <col min="2057" max="2059" width="12" bestFit="1" customWidth="1"/>
    <col min="2061" max="2062" width="12" bestFit="1" customWidth="1"/>
    <col min="2313" max="2315" width="12" bestFit="1" customWidth="1"/>
    <col min="2317" max="2318" width="12" bestFit="1" customWidth="1"/>
    <col min="2569" max="2571" width="12" bestFit="1" customWidth="1"/>
    <col min="2573" max="2574" width="12" bestFit="1" customWidth="1"/>
    <col min="2825" max="2827" width="12" bestFit="1" customWidth="1"/>
    <col min="2829" max="2830" width="12" bestFit="1" customWidth="1"/>
    <col min="3081" max="3083" width="12" bestFit="1" customWidth="1"/>
    <col min="3085" max="3086" width="12" bestFit="1" customWidth="1"/>
    <col min="3337" max="3339" width="12" bestFit="1" customWidth="1"/>
    <col min="3341" max="3342" width="12" bestFit="1" customWidth="1"/>
    <col min="3593" max="3595" width="12" bestFit="1" customWidth="1"/>
    <col min="3597" max="3598" width="12" bestFit="1" customWidth="1"/>
    <col min="3849" max="3851" width="12" bestFit="1" customWidth="1"/>
    <col min="3853" max="3854" width="12" bestFit="1" customWidth="1"/>
    <col min="4105" max="4107" width="12" bestFit="1" customWidth="1"/>
    <col min="4109" max="4110" width="12" bestFit="1" customWidth="1"/>
    <col min="4361" max="4363" width="12" bestFit="1" customWidth="1"/>
    <col min="4365" max="4366" width="12" bestFit="1" customWidth="1"/>
    <col min="4617" max="4619" width="12" bestFit="1" customWidth="1"/>
    <col min="4621" max="4622" width="12" bestFit="1" customWidth="1"/>
    <col min="4873" max="4875" width="12" bestFit="1" customWidth="1"/>
    <col min="4877" max="4878" width="12" bestFit="1" customWidth="1"/>
    <col min="5129" max="5131" width="12" bestFit="1" customWidth="1"/>
    <col min="5133" max="5134" width="12" bestFit="1" customWidth="1"/>
    <col min="5385" max="5387" width="12" bestFit="1" customWidth="1"/>
    <col min="5389" max="5390" width="12" bestFit="1" customWidth="1"/>
    <col min="5641" max="5643" width="12" bestFit="1" customWidth="1"/>
    <col min="5645" max="5646" width="12" bestFit="1" customWidth="1"/>
    <col min="5897" max="5899" width="12" bestFit="1" customWidth="1"/>
    <col min="5901" max="5902" width="12" bestFit="1" customWidth="1"/>
    <col min="6153" max="6155" width="12" bestFit="1" customWidth="1"/>
    <col min="6157" max="6158" width="12" bestFit="1" customWidth="1"/>
    <col min="6409" max="6411" width="12" bestFit="1" customWidth="1"/>
    <col min="6413" max="6414" width="12" bestFit="1" customWidth="1"/>
    <col min="6665" max="6667" width="12" bestFit="1" customWidth="1"/>
    <col min="6669" max="6670" width="12" bestFit="1" customWidth="1"/>
    <col min="6921" max="6923" width="12" bestFit="1" customWidth="1"/>
    <col min="6925" max="6926" width="12" bestFit="1" customWidth="1"/>
    <col min="7177" max="7179" width="12" bestFit="1" customWidth="1"/>
    <col min="7181" max="7182" width="12" bestFit="1" customWidth="1"/>
    <col min="7433" max="7435" width="12" bestFit="1" customWidth="1"/>
    <col min="7437" max="7438" width="12" bestFit="1" customWidth="1"/>
    <col min="7689" max="7691" width="12" bestFit="1" customWidth="1"/>
    <col min="7693" max="7694" width="12" bestFit="1" customWidth="1"/>
    <col min="7945" max="7947" width="12" bestFit="1" customWidth="1"/>
    <col min="7949" max="7950" width="12" bestFit="1" customWidth="1"/>
    <col min="8201" max="8203" width="12" bestFit="1" customWidth="1"/>
    <col min="8205" max="8206" width="12" bestFit="1" customWidth="1"/>
    <col min="8457" max="8459" width="12" bestFit="1" customWidth="1"/>
    <col min="8461" max="8462" width="12" bestFit="1" customWidth="1"/>
    <col min="8713" max="8715" width="12" bestFit="1" customWidth="1"/>
    <col min="8717" max="8718" width="12" bestFit="1" customWidth="1"/>
    <col min="8969" max="8971" width="12" bestFit="1" customWidth="1"/>
    <col min="8973" max="8974" width="12" bestFit="1" customWidth="1"/>
    <col min="9225" max="9227" width="12" bestFit="1" customWidth="1"/>
    <col min="9229" max="9230" width="12" bestFit="1" customWidth="1"/>
    <col min="9481" max="9483" width="12" bestFit="1" customWidth="1"/>
    <col min="9485" max="9486" width="12" bestFit="1" customWidth="1"/>
    <col min="9737" max="9739" width="12" bestFit="1" customWidth="1"/>
    <col min="9741" max="9742" width="12" bestFit="1" customWidth="1"/>
    <col min="9993" max="9995" width="12" bestFit="1" customWidth="1"/>
    <col min="9997" max="9998" width="12" bestFit="1" customWidth="1"/>
    <col min="10249" max="10251" width="12" bestFit="1" customWidth="1"/>
    <col min="10253" max="10254" width="12" bestFit="1" customWidth="1"/>
    <col min="10505" max="10507" width="12" bestFit="1" customWidth="1"/>
    <col min="10509" max="10510" width="12" bestFit="1" customWidth="1"/>
    <col min="10761" max="10763" width="12" bestFit="1" customWidth="1"/>
    <col min="10765" max="10766" width="12" bestFit="1" customWidth="1"/>
    <col min="11017" max="11019" width="12" bestFit="1" customWidth="1"/>
    <col min="11021" max="11022" width="12" bestFit="1" customWidth="1"/>
    <col min="11273" max="11275" width="12" bestFit="1" customWidth="1"/>
    <col min="11277" max="11278" width="12" bestFit="1" customWidth="1"/>
    <col min="11529" max="11531" width="12" bestFit="1" customWidth="1"/>
    <col min="11533" max="11534" width="12" bestFit="1" customWidth="1"/>
    <col min="11785" max="11787" width="12" bestFit="1" customWidth="1"/>
    <col min="11789" max="11790" width="12" bestFit="1" customWidth="1"/>
    <col min="12041" max="12043" width="12" bestFit="1" customWidth="1"/>
    <col min="12045" max="12046" width="12" bestFit="1" customWidth="1"/>
    <col min="12297" max="12299" width="12" bestFit="1" customWidth="1"/>
    <col min="12301" max="12302" width="12" bestFit="1" customWidth="1"/>
    <col min="12553" max="12555" width="12" bestFit="1" customWidth="1"/>
    <col min="12557" max="12558" width="12" bestFit="1" customWidth="1"/>
    <col min="12809" max="12811" width="12" bestFit="1" customWidth="1"/>
    <col min="12813" max="12814" width="12" bestFit="1" customWidth="1"/>
    <col min="13065" max="13067" width="12" bestFit="1" customWidth="1"/>
    <col min="13069" max="13070" width="12" bestFit="1" customWidth="1"/>
    <col min="13321" max="13323" width="12" bestFit="1" customWidth="1"/>
    <col min="13325" max="13326" width="12" bestFit="1" customWidth="1"/>
    <col min="13577" max="13579" width="12" bestFit="1" customWidth="1"/>
    <col min="13581" max="13582" width="12" bestFit="1" customWidth="1"/>
    <col min="13833" max="13835" width="12" bestFit="1" customWidth="1"/>
    <col min="13837" max="13838" width="12" bestFit="1" customWidth="1"/>
    <col min="14089" max="14091" width="12" bestFit="1" customWidth="1"/>
    <col min="14093" max="14094" width="12" bestFit="1" customWidth="1"/>
    <col min="14345" max="14347" width="12" bestFit="1" customWidth="1"/>
    <col min="14349" max="14350" width="12" bestFit="1" customWidth="1"/>
    <col min="14601" max="14603" width="12" bestFit="1" customWidth="1"/>
    <col min="14605" max="14606" width="12" bestFit="1" customWidth="1"/>
    <col min="14857" max="14859" width="12" bestFit="1" customWidth="1"/>
    <col min="14861" max="14862" width="12" bestFit="1" customWidth="1"/>
    <col min="15113" max="15115" width="12" bestFit="1" customWidth="1"/>
    <col min="15117" max="15118" width="12" bestFit="1" customWidth="1"/>
    <col min="15369" max="15371" width="12" bestFit="1" customWidth="1"/>
    <col min="15373" max="15374" width="12" bestFit="1" customWidth="1"/>
    <col min="15625" max="15627" width="12" bestFit="1" customWidth="1"/>
    <col min="15629" max="15630" width="12" bestFit="1" customWidth="1"/>
    <col min="15881" max="15883" width="12" bestFit="1" customWidth="1"/>
    <col min="15885" max="15886" width="12" bestFit="1" customWidth="1"/>
    <col min="16137" max="16139" width="12" bestFit="1" customWidth="1"/>
    <col min="16141" max="16142" width="12" bestFit="1" customWidth="1"/>
  </cols>
  <sheetData>
    <row r="1" spans="1:36" x14ac:dyDescent="0.3">
      <c r="B1" s="161" t="s">
        <v>65</v>
      </c>
      <c r="C1" s="161"/>
      <c r="I1" s="161" t="s">
        <v>80</v>
      </c>
      <c r="J1" s="161"/>
      <c r="M1" t="e">
        <f>covar</f>
        <v>#NAME?</v>
      </c>
      <c r="O1" s="161" t="s">
        <v>73</v>
      </c>
      <c r="P1" s="161"/>
      <c r="AA1" s="161" t="s">
        <v>97</v>
      </c>
      <c r="AB1" s="161"/>
      <c r="AC1" s="161"/>
      <c r="AD1" s="161"/>
      <c r="AF1" s="161" t="s">
        <v>85</v>
      </c>
      <c r="AG1" s="161"/>
      <c r="AH1" s="63"/>
      <c r="AI1" s="161" t="s">
        <v>84</v>
      </c>
      <c r="AJ1" s="161"/>
    </row>
    <row r="2" spans="1:36" s="54" customFormat="1" x14ac:dyDescent="0.3">
      <c r="A2" s="64" t="s">
        <v>0</v>
      </c>
      <c r="B2" s="64" t="s">
        <v>63</v>
      </c>
      <c r="C2" s="64" t="s">
        <v>64</v>
      </c>
      <c r="D2" s="64" t="s">
        <v>61</v>
      </c>
      <c r="E2" s="63"/>
      <c r="F2" s="27" t="s">
        <v>13</v>
      </c>
      <c r="G2" s="63"/>
      <c r="H2" s="77" t="s">
        <v>0</v>
      </c>
      <c r="I2" s="64" t="s">
        <v>63</v>
      </c>
      <c r="J2" s="64" t="s">
        <v>64</v>
      </c>
      <c r="K2" s="64" t="s">
        <v>61</v>
      </c>
      <c r="L2" s="63"/>
      <c r="M2" s="64" t="s">
        <v>74</v>
      </c>
      <c r="N2" s="64" t="s">
        <v>75</v>
      </c>
      <c r="O2" s="64" t="s">
        <v>76</v>
      </c>
      <c r="P2" s="64" t="s">
        <v>77</v>
      </c>
      <c r="Q2" s="64" t="s">
        <v>78</v>
      </c>
      <c r="R2" s="64" t="s">
        <v>79</v>
      </c>
      <c r="S2" s="63"/>
      <c r="V2" s="162" t="s">
        <v>60</v>
      </c>
      <c r="W2" s="162"/>
      <c r="Z2" s="63"/>
      <c r="AA2" s="27" t="s">
        <v>68</v>
      </c>
      <c r="AB2" s="27" t="s">
        <v>69</v>
      </c>
      <c r="AC2" s="27" t="s">
        <v>70</v>
      </c>
      <c r="AD2" s="27" t="s">
        <v>31</v>
      </c>
      <c r="AE2" s="63"/>
      <c r="AF2" s="27" t="s">
        <v>70</v>
      </c>
      <c r="AG2" s="27" t="s">
        <v>31</v>
      </c>
      <c r="AH2" s="106"/>
      <c r="AI2" s="27" t="s">
        <v>70</v>
      </c>
      <c r="AJ2" s="27" t="s">
        <v>31</v>
      </c>
    </row>
    <row r="3" spans="1:36" x14ac:dyDescent="0.3">
      <c r="F3" s="9">
        <v>0.94</v>
      </c>
      <c r="AA3" s="2">
        <v>0.995</v>
      </c>
      <c r="AB3" s="31">
        <f>NORMSINV(AA3)</f>
        <v>2.5758293035488999</v>
      </c>
      <c r="AC3" s="1">
        <f t="shared" ref="AC3:AC22" si="0">$U$14*AB3</f>
        <v>187.43259307654421</v>
      </c>
      <c r="AD3" s="1">
        <f t="shared" ref="AD3:AD22" si="1">$U$14*_xlfn.NORM.S.DIST(AB3,FALSE)/(1-AA3)</f>
        <v>210.43530540020967</v>
      </c>
      <c r="AF3" s="1">
        <f t="shared" ref="AF3:AF22" si="2">$U$47*AB3</f>
        <v>394.33602902825436</v>
      </c>
      <c r="AG3" s="1">
        <f t="shared" ref="AG3:AG22" si="3">$U$47*_xlfn.NORM.S.DIST(AB3,FALSE)/(1-AA3)</f>
        <v>442.73101778503457</v>
      </c>
      <c r="AH3" s="107"/>
      <c r="AI3" s="23">
        <f>AF3*SQRT(252)</f>
        <v>6259.890394809051</v>
      </c>
      <c r="AJ3" s="23">
        <f>AG3*SQRT(252)</f>
        <v>7028.1370245222952</v>
      </c>
    </row>
    <row r="4" spans="1:36" x14ac:dyDescent="0.3">
      <c r="A4">
        <f>'Parm VaR Eq Weights'!B3</f>
        <v>-3.7536419718832745E-2</v>
      </c>
      <c r="B4">
        <f>'Parm VaR Eq Weights'!C3</f>
        <v>4.2235092371043685E-3</v>
      </c>
      <c r="C4">
        <f>'Parm VaR Eq Weights'!D3</f>
        <v>-3.2076172937578556E-2</v>
      </c>
      <c r="D4">
        <f>'Parm VaR Eq Weights'!E3</f>
        <v>1.0638413921644935E-2</v>
      </c>
      <c r="H4" s="60">
        <f>_xlfn.VAR.S(A4:A503)</f>
        <v>8.5528488366577645E-5</v>
      </c>
      <c r="I4" s="60">
        <f t="shared" ref="I4:K4" si="4">_xlfn.VAR.S(B4:B503)</f>
        <v>1.2270010672832206E-4</v>
      </c>
      <c r="J4" s="60">
        <f t="shared" si="4"/>
        <v>9.8005953864488719E-5</v>
      </c>
      <c r="K4" s="60">
        <f t="shared" si="4"/>
        <v>1.4305263261512051E-4</v>
      </c>
      <c r="M4" s="60">
        <f>_xlfn.COVARIANCE.S(A4:A503,B4:B503)</f>
        <v>1.6673946262400831E-5</v>
      </c>
      <c r="N4" s="60">
        <f>_xlfn.COVARIANCE.S(A4:A503,C4:C503)</f>
        <v>2.5118042138837733E-5</v>
      </c>
      <c r="O4" s="60">
        <f>_xlfn.COVARIANCE.S(A4:A503,D4:D503)</f>
        <v>-7.7034278208803886E-6</v>
      </c>
      <c r="P4" s="60">
        <f>_xlfn.COVARIANCE.S(B4:B503,C4:C503)</f>
        <v>1.7066683289763456E-5</v>
      </c>
      <c r="Q4" s="60">
        <f>_xlfn.COVARIANCE.S(B4:B503,D4:D503)</f>
        <v>4.3370279104564076E-6</v>
      </c>
      <c r="R4" s="60">
        <f>_xlfn.COVARIANCE.S(C4:C503,D4:D503)</f>
        <v>6.9287848321943073E-6</v>
      </c>
      <c r="U4" s="79" t="s">
        <v>0</v>
      </c>
      <c r="V4" s="80" t="s">
        <v>63</v>
      </c>
      <c r="W4" s="80" t="s">
        <v>64</v>
      </c>
      <c r="X4" s="80" t="s">
        <v>61</v>
      </c>
      <c r="AA4" s="104">
        <v>0.99</v>
      </c>
      <c r="AB4" s="103">
        <f t="shared" ref="AB4:AB22" si="5">NORMSINV(AA4)</f>
        <v>2.3263478740408408</v>
      </c>
      <c r="AC4" s="105">
        <f t="shared" si="0"/>
        <v>169.27884694409951</v>
      </c>
      <c r="AD4" s="105">
        <f t="shared" si="1"/>
        <v>193.9367689216177</v>
      </c>
      <c r="AF4" s="163">
        <f t="shared" si="2"/>
        <v>356.14269218991802</v>
      </c>
      <c r="AG4" s="163">
        <f t="shared" si="3"/>
        <v>408.02004648086637</v>
      </c>
      <c r="AH4" s="107"/>
      <c r="AI4" s="23">
        <f t="shared" ref="AI4:AI22" si="6">AF4*SQRT(252)</f>
        <v>5653.5899687252913</v>
      </c>
      <c r="AJ4" s="23">
        <f t="shared" ref="AJ4:AJ22" si="7">AG4*SQRT(252)</f>
        <v>6477.1174375043247</v>
      </c>
    </row>
    <row r="5" spans="1:36" x14ac:dyDescent="0.3">
      <c r="A5">
        <f>'Parm VaR Eq Weights'!B4</f>
        <v>1.4936090275087154E-2</v>
      </c>
      <c r="B5">
        <f>'Parm VaR Eq Weights'!C4</f>
        <v>-3.099541081658817E-2</v>
      </c>
      <c r="C5">
        <f>'Parm VaR Eq Weights'!D4</f>
        <v>-1.5289003136883693E-2</v>
      </c>
      <c r="D5">
        <f>'Parm VaR Eq Weights'!E4</f>
        <v>-2.3980317430644289E-2</v>
      </c>
      <c r="H5" s="60">
        <f>H4*$F$3+A4^2*(1-$F$3)</f>
        <v>1.649357473830856E-4</v>
      </c>
      <c r="I5" s="60">
        <f>I4*$F$3+B4^2*(1-$F$3)</f>
        <v>1.1640838214117709E-4</v>
      </c>
      <c r="J5" s="60">
        <f>J4*$F$3+C4^2*(1-$F$3)</f>
        <v>1.5385844885190626E-4</v>
      </c>
      <c r="K5" s="60">
        <f>K4*$F$3+D4^2*(1-$F$3)</f>
        <v>1.4126002570430822E-4</v>
      </c>
      <c r="M5" s="60">
        <f>M4*$F$3+A4*B4*(1-$F$3)</f>
        <v>6.1613845620377697E-6</v>
      </c>
      <c r="N5" s="60">
        <f>N4*$F$3+A4*C4*(1-$F$3)</f>
        <v>9.585244103203632E-5</v>
      </c>
      <c r="O5" s="60">
        <f>O4*$F$3+A4*D4*(1-$F$3)</f>
        <v>-3.1200900357959852E-5</v>
      </c>
      <c r="P5" s="60">
        <f>P4*$F$3+B4*C4*(1-$F$3)</f>
        <v>7.9142415308084295E-6</v>
      </c>
      <c r="Q5" s="60">
        <f>Q4*$F$3+B4*D4*(1-$F$3)</f>
        <v>6.7726926038014506E-6</v>
      </c>
      <c r="R5" s="60">
        <f>R4*$F$3+C4*D4*(1-$F$3)</f>
        <v>-1.3961318541670943E-5</v>
      </c>
      <c r="T5" s="81" t="s">
        <v>12</v>
      </c>
      <c r="U5" s="57">
        <v>4000</v>
      </c>
      <c r="V5" s="57">
        <v>3000</v>
      </c>
      <c r="W5" s="57">
        <v>1000</v>
      </c>
      <c r="X5" s="57">
        <v>2000</v>
      </c>
      <c r="Y5" s="82" t="s">
        <v>12</v>
      </c>
      <c r="AA5" s="2">
        <v>0.98499999999999999</v>
      </c>
      <c r="AB5" s="31">
        <f t="shared" si="5"/>
        <v>2.1700903775845601</v>
      </c>
      <c r="AC5" s="1">
        <f t="shared" si="0"/>
        <v>157.90862621243153</v>
      </c>
      <c r="AD5" s="1">
        <f t="shared" si="1"/>
        <v>183.71178735954578</v>
      </c>
      <c r="AF5" s="1">
        <f t="shared" si="2"/>
        <v>332.22109126179328</v>
      </c>
      <c r="AG5" s="1">
        <f t="shared" si="3"/>
        <v>386.50789344551936</v>
      </c>
      <c r="AH5" s="107"/>
      <c r="AI5" s="23">
        <f t="shared" si="6"/>
        <v>5273.8463266151912</v>
      </c>
      <c r="AJ5" s="23">
        <f t="shared" si="7"/>
        <v>6135.622594921776</v>
      </c>
    </row>
    <row r="6" spans="1:36" x14ac:dyDescent="0.3">
      <c r="A6">
        <f>'Parm VaR Eq Weights'!B5</f>
        <v>1.3914584687517094E-2</v>
      </c>
      <c r="B6">
        <f>'Parm VaR Eq Weights'!C5</f>
        <v>-1.6195608808335558E-3</v>
      </c>
      <c r="C6">
        <f>'Parm VaR Eq Weights'!D5</f>
        <v>1.9134749793192372E-2</v>
      </c>
      <c r="D6">
        <f>'Parm VaR Eq Weights'!E5</f>
        <v>-2.0795425006496886E-3</v>
      </c>
      <c r="H6" s="60">
        <f t="shared" ref="H6:H69" si="8">H5*$F$3+A5^2*(1-$F$3)</f>
        <v>1.6842481010243365E-4</v>
      </c>
      <c r="I6" s="60">
        <f t="shared" ref="I6:I69" si="9">I5*$F$3+B5^2*(1-$F$3)</f>
        <v>1.6706680871405075E-4</v>
      </c>
      <c r="J6" s="60">
        <f t="shared" ref="J6:J69" si="10">J5*$F$3+C5^2*(1-$F$3)</f>
        <v>1.5865215893597025E-4</v>
      </c>
      <c r="K6" s="60">
        <f t="shared" ref="K6:K69" si="11">K5*$F$3+D5^2*(1-$F$3)</f>
        <v>1.672877616065175E-4</v>
      </c>
      <c r="M6" s="60">
        <f t="shared" ref="M6:M69" si="12">M5*$F$3+A5*B5*(1-$F$3)</f>
        <v>-2.1985313755882946E-5</v>
      </c>
      <c r="N6" s="60">
        <f t="shared" ref="N6:N69" si="13">N5*$F$3+A5*C5*(1-$F$3)</f>
        <v>7.6399818705998989E-5</v>
      </c>
      <c r="O6" s="60">
        <f t="shared" ref="O6:O69" si="14">O5*$F$3+A5*D5*(1-$F$3)</f>
        <v>-5.0819177494643226E-5</v>
      </c>
      <c r="P6" s="60">
        <f t="shared" ref="P6:P69" si="15">P5*$F$3+B5*C5*(1-$F$3)</f>
        <v>3.5872723031188867E-5</v>
      </c>
      <c r="Q6" s="60">
        <f t="shared" ref="Q6:Q69" si="16">Q5*$F$3+B5*D5*(1-$F$3)</f>
        <v>5.0963118464073993E-5</v>
      </c>
      <c r="R6" s="60">
        <f t="shared" ref="R6:R69" si="17">R5*$F$3+C5*D5*(1-$F$3)</f>
        <v>8.8744694760645661E-6</v>
      </c>
      <c r="T6" s="83" t="s">
        <v>0</v>
      </c>
      <c r="U6" s="96">
        <f>H504</f>
        <v>6.4456590091518706E-5</v>
      </c>
      <c r="V6" s="66">
        <f>M504</f>
        <v>8.8735945347610692E-6</v>
      </c>
      <c r="W6" s="66">
        <f>N504</f>
        <v>1.8635378597427341E-5</v>
      </c>
      <c r="X6" s="67">
        <f>O504</f>
        <v>1.3917693473172572E-5</v>
      </c>
      <c r="Y6" s="78">
        <f>U5</f>
        <v>4000</v>
      </c>
      <c r="AA6" s="2">
        <v>0.98</v>
      </c>
      <c r="AB6" s="31">
        <f t="shared" si="5"/>
        <v>2.0537489106318221</v>
      </c>
      <c r="AC6" s="1">
        <f t="shared" si="0"/>
        <v>149.44293215295448</v>
      </c>
      <c r="AD6" s="1">
        <f t="shared" si="1"/>
        <v>176.15951390017389</v>
      </c>
      <c r="AF6" s="1">
        <f t="shared" si="2"/>
        <v>314.41027125665715</v>
      </c>
      <c r="AG6" s="1">
        <f t="shared" si="3"/>
        <v>370.61880245434912</v>
      </c>
      <c r="AH6" s="107"/>
      <c r="AI6" s="23">
        <f t="shared" si="6"/>
        <v>4991.1083243368457</v>
      </c>
      <c r="AJ6" s="23">
        <f t="shared" si="7"/>
        <v>5883.3910949926967</v>
      </c>
    </row>
    <row r="7" spans="1:36" x14ac:dyDescent="0.3">
      <c r="A7">
        <f>'Parm VaR Eq Weights'!B6</f>
        <v>2.6129295933735278E-3</v>
      </c>
      <c r="B7">
        <f>'Parm VaR Eq Weights'!C6</f>
        <v>1.289556002307944E-2</v>
      </c>
      <c r="C7">
        <f>'Parm VaR Eq Weights'!D6</f>
        <v>-1.4328125851890696E-3</v>
      </c>
      <c r="D7">
        <f>'Parm VaR Eq Weights'!E6</f>
        <v>-1.2100550227544377E-2</v>
      </c>
      <c r="H7" s="60">
        <f t="shared" si="8"/>
        <v>1.6993626151785274E-4</v>
      </c>
      <c r="I7" s="60">
        <f t="shared" si="9"/>
        <v>1.5720017883801129E-4</v>
      </c>
      <c r="J7" s="60">
        <f t="shared" si="10"/>
        <v>1.7110134837869655E-4</v>
      </c>
      <c r="K7" s="60">
        <f t="shared" si="11"/>
        <v>1.5750996573084695E-4</v>
      </c>
      <c r="M7" s="60">
        <f t="shared" si="12"/>
        <v>-2.2018325952506866E-5</v>
      </c>
      <c r="N7" s="60">
        <f t="shared" si="13"/>
        <v>8.7790955371948597E-5</v>
      </c>
      <c r="O7" s="60">
        <f t="shared" si="14"/>
        <v>-4.9506185059159501E-5</v>
      </c>
      <c r="P7" s="60">
        <f t="shared" si="15"/>
        <v>3.1860966115541988E-5</v>
      </c>
      <c r="Q7" s="60">
        <f t="shared" si="16"/>
        <v>4.8107408097274532E-5</v>
      </c>
      <c r="R7" s="60">
        <f t="shared" si="17"/>
        <v>5.9545097814462069E-6</v>
      </c>
      <c r="T7" s="27" t="s">
        <v>63</v>
      </c>
      <c r="U7" s="68">
        <f>V6</f>
        <v>8.8735945347610692E-6</v>
      </c>
      <c r="V7" s="97">
        <f>I504</f>
        <v>1.5926301209636792E-4</v>
      </c>
      <c r="W7" s="69">
        <f>P504</f>
        <v>6.6896399277057805E-5</v>
      </c>
      <c r="X7" s="70">
        <f>Q504</f>
        <v>5.5956260014302763E-5</v>
      </c>
      <c r="Y7" s="78">
        <f>V5</f>
        <v>3000</v>
      </c>
      <c r="AA7" s="2">
        <v>0.97499999999999998</v>
      </c>
      <c r="AB7" s="31">
        <f t="shared" si="5"/>
        <v>1.9599639845400536</v>
      </c>
      <c r="AC7" s="1">
        <f t="shared" si="0"/>
        <v>142.61858557662924</v>
      </c>
      <c r="AD7" s="1">
        <f t="shared" si="1"/>
        <v>170.11237462054839</v>
      </c>
      <c r="AF7" s="1">
        <f t="shared" si="2"/>
        <v>300.05265241647135</v>
      </c>
      <c r="AG7" s="1">
        <f t="shared" si="3"/>
        <v>357.89633593256087</v>
      </c>
      <c r="AH7" s="107"/>
      <c r="AI7" s="23">
        <f t="shared" si="6"/>
        <v>4763.1881911157216</v>
      </c>
      <c r="AJ7" s="23">
        <f t="shared" si="7"/>
        <v>5681.4282001127167</v>
      </c>
    </row>
    <row r="8" spans="1:36" x14ac:dyDescent="0.3">
      <c r="A8">
        <f>'Parm VaR Eq Weights'!B7</f>
        <v>1.340245848225834E-2</v>
      </c>
      <c r="B8">
        <f>'Parm VaR Eq Weights'!C7</f>
        <v>2.265686919089482E-2</v>
      </c>
      <c r="C8">
        <f>'Parm VaR Eq Weights'!D7</f>
        <v>1.2025177430492038E-2</v>
      </c>
      <c r="D8">
        <f>'Parm VaR Eq Weights'!E7</f>
        <v>-7.5096504644766573E-3</v>
      </c>
      <c r="H8" s="60">
        <f t="shared" si="8"/>
        <v>1.601497298903772E-4</v>
      </c>
      <c r="I8" s="60">
        <f t="shared" si="9"/>
        <v>1.5774589620626129E-4</v>
      </c>
      <c r="J8" s="60">
        <f t="shared" si="10"/>
        <v>1.6095844459023133E-4</v>
      </c>
      <c r="K8" s="60">
        <f t="shared" si="11"/>
        <v>1.5684476673555558E-4</v>
      </c>
      <c r="M8" s="60">
        <f t="shared" si="12"/>
        <v>-1.8675514970910719E-5</v>
      </c>
      <c r="N8" s="60">
        <f t="shared" si="13"/>
        <v>8.2298867745295761E-5</v>
      </c>
      <c r="O8" s="60">
        <f t="shared" si="14"/>
        <v>-4.8432887102749141E-5</v>
      </c>
      <c r="P8" s="60">
        <f t="shared" si="15"/>
        <v>2.8840692906961709E-5</v>
      </c>
      <c r="Q8" s="60">
        <f t="shared" si="16"/>
        <v>3.5858361305142883E-5</v>
      </c>
      <c r="R8" s="60">
        <f t="shared" si="17"/>
        <v>6.6375084337837172E-6</v>
      </c>
      <c r="T8" s="27" t="s">
        <v>64</v>
      </c>
      <c r="U8" s="68">
        <f>W6</f>
        <v>1.8635378597427341E-5</v>
      </c>
      <c r="V8" s="69">
        <f>W7</f>
        <v>6.6896399277057805E-5</v>
      </c>
      <c r="W8" s="97">
        <f>J504</f>
        <v>9.3886048887010815E-5</v>
      </c>
      <c r="X8" s="70">
        <f>R504</f>
        <v>8.1125676040860953E-5</v>
      </c>
      <c r="Y8" s="78">
        <f>W5</f>
        <v>1000</v>
      </c>
      <c r="AA8" s="2">
        <v>0.97</v>
      </c>
      <c r="AB8" s="31">
        <f t="shared" si="5"/>
        <v>1.8807936081512504</v>
      </c>
      <c r="AC8" s="1">
        <f t="shared" si="0"/>
        <v>136.85768017775263</v>
      </c>
      <c r="AD8" s="1">
        <f t="shared" si="1"/>
        <v>165.0378433384659</v>
      </c>
      <c r="AF8" s="1">
        <f t="shared" si="2"/>
        <v>287.93238815873531</v>
      </c>
      <c r="AG8" s="1">
        <f t="shared" si="3"/>
        <v>347.22012171543764</v>
      </c>
      <c r="AH8" s="107"/>
      <c r="AI8" s="23">
        <f t="shared" si="6"/>
        <v>4570.7849608135957</v>
      </c>
      <c r="AJ8" s="23">
        <f t="shared" si="7"/>
        <v>5511.9485535397553</v>
      </c>
    </row>
    <row r="9" spans="1:36" x14ac:dyDescent="0.3">
      <c r="A9">
        <f>'Parm VaR Eq Weights'!B8</f>
        <v>1.2069112628291455E-2</v>
      </c>
      <c r="B9">
        <f>'Parm VaR Eq Weights'!C8</f>
        <v>1.9656506399536307E-2</v>
      </c>
      <c r="C9">
        <f>'Parm VaR Eq Weights'!D8</f>
        <v>6.4117722719536493E-3</v>
      </c>
      <c r="D9">
        <f>'Parm VaR Eq Weights'!E8</f>
        <v>1.8453349584845295E-2</v>
      </c>
      <c r="H9" s="60">
        <f t="shared" si="8"/>
        <v>1.613182996990741E-4</v>
      </c>
      <c r="I9" s="60">
        <f t="shared" si="9"/>
        <v>1.7908116572588477E-4</v>
      </c>
      <c r="J9" s="60">
        <f t="shared" si="10"/>
        <v>1.5997723144890635E-4</v>
      </c>
      <c r="K9" s="60">
        <f t="shared" si="11"/>
        <v>1.5081777173733913E-4</v>
      </c>
      <c r="M9" s="60">
        <f t="shared" si="12"/>
        <v>6.644808474794984E-7</v>
      </c>
      <c r="N9" s="60">
        <f t="shared" si="13"/>
        <v>8.7030952155815589E-5</v>
      </c>
      <c r="O9" s="60">
        <f t="shared" si="14"/>
        <v>-5.1565780590569422E-5</v>
      </c>
      <c r="P9" s="60">
        <f t="shared" si="15"/>
        <v>4.3457423654941546E-5</v>
      </c>
      <c r="Q9" s="60">
        <f t="shared" si="16"/>
        <v>2.3498149532254889E-5</v>
      </c>
      <c r="R9" s="60">
        <f t="shared" si="17"/>
        <v>8.2096517117816431E-7</v>
      </c>
      <c r="T9" s="27" t="s">
        <v>61</v>
      </c>
      <c r="U9" s="71">
        <f>X6</f>
        <v>1.3917693473172572E-5</v>
      </c>
      <c r="V9" s="72">
        <f>X7</f>
        <v>5.5956260014302763E-5</v>
      </c>
      <c r="W9" s="72">
        <f>X8</f>
        <v>8.1125676040860953E-5</v>
      </c>
      <c r="X9" s="98">
        <f>K504</f>
        <v>1.885580323374869E-4</v>
      </c>
      <c r="Y9" s="78">
        <f>X5</f>
        <v>2000</v>
      </c>
      <c r="AA9" s="2">
        <v>0.96499999999999997</v>
      </c>
      <c r="AB9" s="31">
        <f t="shared" si="5"/>
        <v>1.8119106729525971</v>
      </c>
      <c r="AC9" s="1">
        <f t="shared" si="0"/>
        <v>131.84534991766168</v>
      </c>
      <c r="AD9" s="1">
        <f t="shared" si="1"/>
        <v>160.64649636322719</v>
      </c>
      <c r="AF9" s="1">
        <f t="shared" si="2"/>
        <v>277.38703754228601</v>
      </c>
      <c r="AG9" s="1">
        <f t="shared" si="3"/>
        <v>337.98124655569598</v>
      </c>
      <c r="AH9" s="107"/>
      <c r="AI9" s="23">
        <f t="shared" si="6"/>
        <v>4403.3827094989565</v>
      </c>
      <c r="AJ9" s="23">
        <f t="shared" si="7"/>
        <v>5365.285957139864</v>
      </c>
    </row>
    <row r="10" spans="1:36" x14ac:dyDescent="0.3">
      <c r="A10">
        <f>'Parm VaR Eq Weights'!B9</f>
        <v>3.734695439000948E-4</v>
      </c>
      <c r="B10">
        <f>'Parm VaR Eq Weights'!C9</f>
        <v>-7.7710265107876365E-3</v>
      </c>
      <c r="C10">
        <f>'Parm VaR Eq Weights'!D9</f>
        <v>8.8126609827739837E-3</v>
      </c>
      <c r="D10">
        <f>'Parm VaR Eq Weights'!E9</f>
        <v>1.3989920454282842E-2</v>
      </c>
      <c r="H10" s="60">
        <f t="shared" si="8"/>
        <v>1.603790104951927E-4</v>
      </c>
      <c r="I10" s="60">
        <f t="shared" si="9"/>
        <v>1.9151899041243241E-4</v>
      </c>
      <c r="J10" s="60">
        <f t="shared" si="10"/>
        <v>1.528452469820156E-4</v>
      </c>
      <c r="K10" s="60">
        <f t="shared" si="11"/>
        <v>1.622002720871294E-4</v>
      </c>
      <c r="M10" s="60">
        <f t="shared" si="12"/>
        <v>1.4858807373514868E-5</v>
      </c>
      <c r="N10" s="60">
        <f t="shared" si="13"/>
        <v>8.6452159128296536E-5</v>
      </c>
      <c r="O10" s="60">
        <f t="shared" si="14"/>
        <v>-3.5108900484611251E-5</v>
      </c>
      <c r="P10" s="60">
        <f t="shared" si="15"/>
        <v>4.8411960797406636E-5</v>
      </c>
      <c r="Q10" s="60">
        <f t="shared" si="16"/>
        <v>4.3851963612763148E-5</v>
      </c>
      <c r="R10" s="60">
        <f t="shared" si="17"/>
        <v>7.8708277724741881E-6</v>
      </c>
      <c r="AA10" s="2">
        <v>0.96</v>
      </c>
      <c r="AB10" s="31">
        <f t="shared" si="5"/>
        <v>1.7506860712521695</v>
      </c>
      <c r="AC10" s="1">
        <f t="shared" si="0"/>
        <v>127.39028535225</v>
      </c>
      <c r="AD10" s="1">
        <f t="shared" si="1"/>
        <v>156.76285205145774</v>
      </c>
      <c r="AF10" s="1">
        <f t="shared" si="2"/>
        <v>268.01410810161246</v>
      </c>
      <c r="AG10" s="1">
        <f t="shared" si="3"/>
        <v>329.81051781037087</v>
      </c>
      <c r="AH10" s="107"/>
      <c r="AI10" s="23">
        <f t="shared" si="6"/>
        <v>4254.5920673618884</v>
      </c>
      <c r="AJ10" s="23">
        <f t="shared" si="7"/>
        <v>5235.5796593980813</v>
      </c>
    </row>
    <row r="11" spans="1:36" x14ac:dyDescent="0.3">
      <c r="A11">
        <f>'Parm VaR Eq Weights'!B10</f>
        <v>-5.8413894815938384E-3</v>
      </c>
      <c r="B11">
        <f>'Parm VaR Eq Weights'!C10</f>
        <v>1.8082089811514952E-2</v>
      </c>
      <c r="C11">
        <f>'Parm VaR Eq Weights'!D10</f>
        <v>-5.3612263027260753E-3</v>
      </c>
      <c r="D11">
        <f>'Parm VaR Eq Weights'!E10</f>
        <v>2.1956031987636057E-2</v>
      </c>
      <c r="H11" s="60">
        <f t="shared" si="8"/>
        <v>1.507646386354944E-4</v>
      </c>
      <c r="I11" s="60">
        <f t="shared" si="9"/>
        <v>1.8365118216956831E-4</v>
      </c>
      <c r="J11" s="60">
        <f t="shared" si="10"/>
        <v>1.4833431177893307E-4</v>
      </c>
      <c r="K11" s="60">
        <f t="shared" si="11"/>
        <v>1.6421132822093133E-4</v>
      </c>
      <c r="M11" s="60">
        <f t="shared" si="12"/>
        <v>1.3793144427506811E-5</v>
      </c>
      <c r="N11" s="60">
        <f t="shared" si="13"/>
        <v>8.1462505209265712E-5</v>
      </c>
      <c r="O11" s="60">
        <f t="shared" si="14"/>
        <v>-3.2688877902858993E-5</v>
      </c>
      <c r="P11" s="60">
        <f t="shared" si="15"/>
        <v>4.1398237821899007E-5</v>
      </c>
      <c r="Q11" s="60">
        <f t="shared" si="16"/>
        <v>3.4697883231954821E-5</v>
      </c>
      <c r="R11" s="60">
        <f t="shared" si="17"/>
        <v>1.4795883674499948E-5</v>
      </c>
      <c r="T11" s="27" t="s">
        <v>66</v>
      </c>
      <c r="U11" s="60">
        <f>SQRT(U6)</f>
        <v>8.0284861643723782E-3</v>
      </c>
      <c r="V11" s="60">
        <f>SQRT(V7)</f>
        <v>1.2619945011622195E-2</v>
      </c>
      <c r="W11" s="60">
        <f>SQRT(W8)</f>
        <v>9.6894813528387996E-3</v>
      </c>
      <c r="X11" s="60">
        <f>SQRT(X9)</f>
        <v>1.3731643468190067E-2</v>
      </c>
      <c r="AA11" s="2">
        <v>0.95499999999999996</v>
      </c>
      <c r="AB11" s="31">
        <f t="shared" si="5"/>
        <v>1.6953977102721358</v>
      </c>
      <c r="AC11" s="1">
        <f t="shared" si="0"/>
        <v>123.36717681351178</v>
      </c>
      <c r="AD11" s="1">
        <f t="shared" si="1"/>
        <v>153.27217971167485</v>
      </c>
      <c r="AF11" s="1">
        <f t="shared" si="2"/>
        <v>259.54996310166672</v>
      </c>
      <c r="AG11" s="1">
        <f t="shared" si="3"/>
        <v>322.46655566102038</v>
      </c>
      <c r="AH11" s="107"/>
      <c r="AI11" s="23">
        <f t="shared" si="6"/>
        <v>4120.2279309780051</v>
      </c>
      <c r="AJ11" s="23">
        <f t="shared" si="7"/>
        <v>5118.9978744877653</v>
      </c>
    </row>
    <row r="12" spans="1:36" x14ac:dyDescent="0.3">
      <c r="A12">
        <f>'Parm VaR Eq Weights'!B11</f>
        <v>-5.4965032600100784E-3</v>
      </c>
      <c r="B12">
        <f>'Parm VaR Eq Weights'!C11</f>
        <v>-1.4832417895638451E-2</v>
      </c>
      <c r="C12">
        <f>'Parm VaR Eq Weights'!D11</f>
        <v>-9.8825773312812872E-4</v>
      </c>
      <c r="D12">
        <f>'Parm VaR Eq Weights'!E11</f>
        <v>-1.1914306341144574E-2</v>
      </c>
      <c r="H12" s="60">
        <f t="shared" si="8"/>
        <v>1.4376607018190524E-4</v>
      </c>
      <c r="I12" s="60">
        <f t="shared" si="9"/>
        <v>1.9224982955649578E-4</v>
      </c>
      <c r="J12" s="60">
        <f t="shared" si="10"/>
        <v>1.4115881792033959E-4</v>
      </c>
      <c r="K12" s="60">
        <f t="shared" si="11"/>
        <v>1.8328268896620133E-4</v>
      </c>
      <c r="M12" s="60">
        <f t="shared" si="12"/>
        <v>6.6280840080432839E-6</v>
      </c>
      <c r="N12" s="60">
        <f t="shared" si="13"/>
        <v>7.8453775552701056E-5</v>
      </c>
      <c r="O12" s="60">
        <f t="shared" si="14"/>
        <v>-3.8422769287294368E-5</v>
      </c>
      <c r="P12" s="60">
        <f t="shared" si="15"/>
        <v>3.3097813022240106E-5</v>
      </c>
      <c r="Q12" s="60">
        <f t="shared" si="16"/>
        <v>5.6436666776333372E-5</v>
      </c>
      <c r="R12" s="60">
        <f t="shared" si="17"/>
        <v>6.8454552822933734E-6</v>
      </c>
      <c r="AA12" s="2">
        <v>0.95</v>
      </c>
      <c r="AB12" s="31">
        <f t="shared" si="5"/>
        <v>1.6448536269514715</v>
      </c>
      <c r="AC12" s="1">
        <f t="shared" si="0"/>
        <v>119.68929001083562</v>
      </c>
      <c r="AD12" s="1">
        <f t="shared" si="1"/>
        <v>150.09519836995528</v>
      </c>
      <c r="AF12" s="1">
        <f t="shared" si="2"/>
        <v>251.81212384341961</v>
      </c>
      <c r="AG12" s="1">
        <f t="shared" si="3"/>
        <v>315.78256230625243</v>
      </c>
      <c r="AH12" s="107"/>
      <c r="AI12" s="23">
        <f t="shared" si="6"/>
        <v>3997.3935408041193</v>
      </c>
      <c r="AJ12" s="23">
        <f t="shared" si="7"/>
        <v>5012.8927693986188</v>
      </c>
    </row>
    <row r="13" spans="1:36" x14ac:dyDescent="0.3">
      <c r="A13">
        <f>'Parm VaR Eq Weights'!B12</f>
        <v>9.7355114853167656E-4</v>
      </c>
      <c r="B13">
        <f>'Parm VaR Eq Weights'!C12</f>
        <v>9.7362705110212201E-3</v>
      </c>
      <c r="C13">
        <f>'Parm VaR Eq Weights'!D12</f>
        <v>1.8293326309438284E-3</v>
      </c>
      <c r="D13">
        <f>'Parm VaR Eq Weights'!E12</f>
        <v>1.0469758268816657E-3</v>
      </c>
      <c r="H13" s="60">
        <f t="shared" si="8"/>
        <v>1.36952798856229E-4</v>
      </c>
      <c r="I13" s="60">
        <f t="shared" si="9"/>
        <v>1.9391487702095738E-4</v>
      </c>
      <c r="J13" s="60">
        <f t="shared" si="10"/>
        <v>1.3274788804594446E-4</v>
      </c>
      <c r="K13" s="60">
        <f t="shared" si="11"/>
        <v>1.8080276936366754E-4</v>
      </c>
      <c r="M13" s="60">
        <f t="shared" si="12"/>
        <v>1.1121984966593205E-5</v>
      </c>
      <c r="N13" s="60">
        <f t="shared" si="13"/>
        <v>7.4072466730651121E-5</v>
      </c>
      <c r="O13" s="60">
        <f t="shared" si="14"/>
        <v>-3.2188181711365102E-5</v>
      </c>
      <c r="P13" s="60">
        <f t="shared" si="15"/>
        <v>3.1991439342086866E-5</v>
      </c>
      <c r="Q13" s="60">
        <f t="shared" si="16"/>
        <v>6.3653545005064064E-5</v>
      </c>
      <c r="R13" s="60">
        <f t="shared" si="17"/>
        <v>7.1411922879453896E-6</v>
      </c>
      <c r="T13" s="102" t="s">
        <v>71</v>
      </c>
      <c r="U13" s="105">
        <f t="array" ref="U13">MMULT(MMULT(U5:X5,U6:X9),Y6:Y9)</f>
        <v>5294.8793417504385</v>
      </c>
      <c r="AA13" s="2">
        <v>0.94499999999999995</v>
      </c>
      <c r="AB13" s="31">
        <f t="shared" si="5"/>
        <v>1.5981931399228169</v>
      </c>
      <c r="AC13" s="1">
        <f t="shared" si="0"/>
        <v>116.29399667134855</v>
      </c>
      <c r="AD13" s="1">
        <f t="shared" si="1"/>
        <v>147.1747475462316</v>
      </c>
      <c r="AF13" s="1">
        <f t="shared" si="2"/>
        <v>244.66882784082611</v>
      </c>
      <c r="AG13" s="1">
        <f t="shared" si="3"/>
        <v>309.63827885001712</v>
      </c>
      <c r="AH13" s="107"/>
      <c r="AI13" s="23">
        <f t="shared" si="6"/>
        <v>3883.9972322190138</v>
      </c>
      <c r="AJ13" s="23">
        <f t="shared" si="7"/>
        <v>4915.3552933392966</v>
      </c>
    </row>
    <row r="14" spans="1:36" x14ac:dyDescent="0.3">
      <c r="A14">
        <f>'Parm VaR Eq Weights'!B13</f>
        <v>1.6028376390592538E-2</v>
      </c>
      <c r="B14">
        <f>'Parm VaR Eq Weights'!C13</f>
        <v>7.4016832216452404E-3</v>
      </c>
      <c r="C14">
        <f>'Parm VaR Eq Weights'!D13</f>
        <v>6.4653000012255494E-3</v>
      </c>
      <c r="D14">
        <f>'Parm VaR Eq Weights'!E13</f>
        <v>-1.5764410282744997E-2</v>
      </c>
      <c r="H14" s="60">
        <f t="shared" si="8"/>
        <v>1.2879249903518367E-4</v>
      </c>
      <c r="I14" s="60">
        <f t="shared" si="9"/>
        <v>1.8796768220752681E-4</v>
      </c>
      <c r="J14" s="60">
        <f t="shared" si="10"/>
        <v>1.2498380223566595E-4</v>
      </c>
      <c r="K14" s="60">
        <f t="shared" si="11"/>
        <v>1.7002037270477197E-4</v>
      </c>
      <c r="M14" s="60">
        <f t="shared" si="12"/>
        <v>1.1023391308902801E-5</v>
      </c>
      <c r="N14" s="60">
        <f t="shared" si="13"/>
        <v>6.9734975659846161E-5</v>
      </c>
      <c r="O14" s="60">
        <f t="shared" si="14"/>
        <v>-3.0195733737558462E-5</v>
      </c>
      <c r="P14" s="60">
        <f t="shared" si="15"/>
        <v>3.1140605622532087E-5</v>
      </c>
      <c r="Q14" s="60">
        <f t="shared" si="16"/>
        <v>6.0445950696901419E-5</v>
      </c>
      <c r="R14" s="60">
        <f t="shared" si="17"/>
        <v>6.8276367733041076E-6</v>
      </c>
      <c r="T14" s="102" t="s">
        <v>72</v>
      </c>
      <c r="U14" s="105">
        <f>SQRT(U13)</f>
        <v>72.76592156875661</v>
      </c>
      <c r="AA14" s="2">
        <v>0.94</v>
      </c>
      <c r="AB14" s="31">
        <f t="shared" si="5"/>
        <v>1.5547735945968528</v>
      </c>
      <c r="AC14" s="1">
        <f t="shared" si="0"/>
        <v>113.13453344160838</v>
      </c>
      <c r="AD14" s="1">
        <f t="shared" si="1"/>
        <v>144.46820570411359</v>
      </c>
      <c r="AF14" s="1">
        <f t="shared" si="2"/>
        <v>238.02169052374424</v>
      </c>
      <c r="AG14" s="1">
        <f t="shared" si="3"/>
        <v>303.94403461585784</v>
      </c>
      <c r="AH14" s="107"/>
      <c r="AI14" s="23">
        <f t="shared" si="6"/>
        <v>3778.4771985900397</v>
      </c>
      <c r="AJ14" s="23">
        <f t="shared" si="7"/>
        <v>4824.9619684510035</v>
      </c>
    </row>
    <row r="15" spans="1:36" x14ac:dyDescent="0.3">
      <c r="A15">
        <f>'Parm VaR Eq Weights'!B14</f>
        <v>1.1757015405636876E-2</v>
      </c>
      <c r="B15">
        <f>'Parm VaR Eq Weights'!C14</f>
        <v>-7.2999897092027701E-3</v>
      </c>
      <c r="C15">
        <f>'Parm VaR Eq Weights'!D14</f>
        <v>1.521519945813559E-3</v>
      </c>
      <c r="D15">
        <f>'Parm VaR Eq Weights'!E14</f>
        <v>6.5874988950519967E-3</v>
      </c>
      <c r="H15" s="60">
        <f t="shared" si="8"/>
        <v>1.3647948007618291E-4</v>
      </c>
      <c r="I15" s="60">
        <f t="shared" si="9"/>
        <v>1.7997671614589027E-4</v>
      </c>
      <c r="J15" s="60">
        <f t="shared" si="10"/>
        <v>1.1999278034787682E-4</v>
      </c>
      <c r="K15" s="60">
        <f t="shared" si="11"/>
        <v>1.7473014823624864E-4</v>
      </c>
      <c r="M15" s="60">
        <f t="shared" si="12"/>
        <v>1.7480205706396448E-5</v>
      </c>
      <c r="N15" s="60">
        <f t="shared" si="13"/>
        <v>7.1768572834119882E-5</v>
      </c>
      <c r="O15" s="60">
        <f t="shared" si="14"/>
        <v>-4.3544663808558816E-5</v>
      </c>
      <c r="P15" s="60">
        <f t="shared" si="15"/>
        <v>3.2143415437698606E-5</v>
      </c>
      <c r="Q15" s="60">
        <f t="shared" si="16"/>
        <v>4.9818203389751807E-5</v>
      </c>
      <c r="R15" s="60">
        <f t="shared" si="17"/>
        <v>3.0268005768477834E-7</v>
      </c>
      <c r="T15" s="9" t="s">
        <v>87</v>
      </c>
      <c r="U15" s="128">
        <f>MDETERM(U6:X9)</f>
        <v>7.5120276128670913E-17</v>
      </c>
      <c r="AA15" s="2">
        <v>0.93500000000000005</v>
      </c>
      <c r="AB15" s="31">
        <f t="shared" si="5"/>
        <v>1.5141018876192844</v>
      </c>
      <c r="AC15" s="1">
        <f t="shared" si="0"/>
        <v>110.17501920161119</v>
      </c>
      <c r="AD15" s="1">
        <f t="shared" si="1"/>
        <v>141.94291193242884</v>
      </c>
      <c r="AF15" s="1">
        <f t="shared" si="2"/>
        <v>231.79522225535473</v>
      </c>
      <c r="AG15" s="1">
        <f t="shared" si="3"/>
        <v>298.63111490584095</v>
      </c>
      <c r="AH15" s="107"/>
      <c r="AI15" s="23">
        <f t="shared" si="6"/>
        <v>3679.6350790836777</v>
      </c>
      <c r="AJ15" s="23">
        <f t="shared" si="7"/>
        <v>4740.6219827208552</v>
      </c>
    </row>
    <row r="16" spans="1:36" x14ac:dyDescent="0.3">
      <c r="A16">
        <f>'Parm VaR Eq Weights'!B15</f>
        <v>-1.2706888672731611E-2</v>
      </c>
      <c r="B16">
        <f>'Parm VaR Eq Weights'!C15</f>
        <v>-1.3557966695245666E-2</v>
      </c>
      <c r="C16">
        <f>'Parm VaR Eq Weights'!D15</f>
        <v>-8.5404893662086399E-3</v>
      </c>
      <c r="D16">
        <f>'Parm VaR Eq Weights'!E15</f>
        <v>1.3741834094092758E-2</v>
      </c>
      <c r="H16" s="60">
        <f t="shared" si="8"/>
        <v>1.3658435594651492E-4</v>
      </c>
      <c r="I16" s="60">
        <f t="shared" si="9"/>
        <v>1.7237550416240483E-4</v>
      </c>
      <c r="J16" s="60">
        <f t="shared" si="10"/>
        <v>1.1293211490373473E-4</v>
      </c>
      <c r="K16" s="60">
        <f t="shared" si="11"/>
        <v>1.6685004784361239E-4</v>
      </c>
      <c r="M16" s="60">
        <f t="shared" si="12"/>
        <v>1.1281827875687399E-5</v>
      </c>
      <c r="N16" s="60">
        <f t="shared" si="13"/>
        <v>6.8535770470647508E-5</v>
      </c>
      <c r="O16" s="60">
        <f t="shared" si="14"/>
        <v>-3.6285024420420746E-5</v>
      </c>
      <c r="P16" s="60">
        <f t="shared" si="15"/>
        <v>2.9548385714629543E-5</v>
      </c>
      <c r="Q16" s="60">
        <f t="shared" si="16"/>
        <v>4.3943790737770844E-5</v>
      </c>
      <c r="R16" s="60">
        <f t="shared" si="17"/>
        <v>8.8589991193447582E-7</v>
      </c>
      <c r="AA16" s="2">
        <v>0.93</v>
      </c>
      <c r="AB16" s="31">
        <f t="shared" si="5"/>
        <v>1.4757910281791713</v>
      </c>
      <c r="AC16" s="1">
        <f t="shared" si="0"/>
        <v>107.38729420836026</v>
      </c>
      <c r="AD16" s="1">
        <f t="shared" si="1"/>
        <v>139.57326486883872</v>
      </c>
      <c r="AF16" s="1">
        <f t="shared" si="2"/>
        <v>225.93017826371312</v>
      </c>
      <c r="AG16" s="1">
        <f t="shared" si="3"/>
        <v>293.64565747863145</v>
      </c>
      <c r="AH16" s="107"/>
      <c r="AI16" s="23">
        <f t="shared" si="6"/>
        <v>3586.5303921016539</v>
      </c>
      <c r="AJ16" s="23">
        <f t="shared" si="7"/>
        <v>4661.480299575077</v>
      </c>
    </row>
    <row r="17" spans="1:36" x14ac:dyDescent="0.3">
      <c r="A17">
        <f>'Parm VaR Eq Weights'!B16</f>
        <v>-1.1095788577777117E-2</v>
      </c>
      <c r="B17">
        <f>'Parm VaR Eq Weights'!C16</f>
        <v>3.234415686905434E-3</v>
      </c>
      <c r="C17">
        <f>'Parm VaR Eq Weights'!D16</f>
        <v>-5.5268452916774173E-3</v>
      </c>
      <c r="D17">
        <f>'Parm VaR Eq Weights'!E16</f>
        <v>2.21946292351872E-3</v>
      </c>
      <c r="H17" s="60">
        <f t="shared" si="8"/>
        <v>1.3807719577419572E-4</v>
      </c>
      <c r="I17" s="60">
        <f t="shared" si="9"/>
        <v>1.7306208156722398E-4</v>
      </c>
      <c r="J17" s="60">
        <f t="shared" si="10"/>
        <v>1.1053258552637E-4</v>
      </c>
      <c r="K17" s="60">
        <f t="shared" si="11"/>
        <v>1.6816932522916984E-4</v>
      </c>
      <c r="M17" s="60">
        <f t="shared" si="12"/>
        <v>2.0941692608651538E-5</v>
      </c>
      <c r="N17" s="60">
        <f t="shared" si="13"/>
        <v>7.0935007097632335E-5</v>
      </c>
      <c r="O17" s="60">
        <f t="shared" si="14"/>
        <v>-4.4584880314762565E-5</v>
      </c>
      <c r="P17" s="60">
        <f t="shared" si="15"/>
        <v>3.4722982795041167E-5</v>
      </c>
      <c r="Q17" s="60">
        <f t="shared" si="16"/>
        <v>3.0128483554746517E-5</v>
      </c>
      <c r="R17" s="60">
        <f t="shared" si="17"/>
        <v>-6.2089733599497507E-6</v>
      </c>
      <c r="T17" s="27" t="s">
        <v>97</v>
      </c>
      <c r="V17" s="110" t="s">
        <v>81</v>
      </c>
      <c r="W17" s="110"/>
      <c r="AA17" s="2">
        <v>0.92500000000000004</v>
      </c>
      <c r="AB17" s="31">
        <f t="shared" si="5"/>
        <v>1.4395314709384563</v>
      </c>
      <c r="AC17" s="1">
        <f t="shared" si="0"/>
        <v>104.74883411006455</v>
      </c>
      <c r="AD17" s="1">
        <f t="shared" si="1"/>
        <v>137.33881014949313</v>
      </c>
      <c r="AF17" s="1">
        <f t="shared" si="2"/>
        <v>220.37916997410082</v>
      </c>
      <c r="AG17" s="1">
        <f t="shared" si="3"/>
        <v>288.94462876955123</v>
      </c>
      <c r="AH17" s="107"/>
      <c r="AI17" s="23">
        <f t="shared" si="6"/>
        <v>3498.4108673418214</v>
      </c>
      <c r="AJ17" s="23">
        <f t="shared" si="7"/>
        <v>4586.8537823526694</v>
      </c>
    </row>
    <row r="18" spans="1:36" x14ac:dyDescent="0.3">
      <c r="A18">
        <f>'Parm VaR Eq Weights'!B17</f>
        <v>-1.3324399450480228E-2</v>
      </c>
      <c r="B18">
        <f>'Parm VaR Eq Weights'!C17</f>
        <v>3.2239879696420292E-3</v>
      </c>
      <c r="C18">
        <f>'Parm VaR Eq Weights'!D17</f>
        <v>-1.5545034738165348E-2</v>
      </c>
      <c r="D18">
        <f>'Parm VaR Eq Weights'!E17</f>
        <v>-1.1161100594208023E-2</v>
      </c>
      <c r="H18" s="60">
        <f t="shared" si="8"/>
        <v>1.3717955547750771E-4</v>
      </c>
      <c r="I18" s="60">
        <f t="shared" si="9"/>
        <v>1.6330604336333254E-4</v>
      </c>
      <c r="J18" s="60">
        <f t="shared" si="10"/>
        <v>1.0573339152747601E-4</v>
      </c>
      <c r="K18" s="60">
        <f t="shared" si="11"/>
        <v>1.5837472665555211E-4</v>
      </c>
      <c r="M18" s="60">
        <f t="shared" si="12"/>
        <v>1.7531887494059534E-5</v>
      </c>
      <c r="N18" s="60">
        <f t="shared" si="13"/>
        <v>7.0358389083286524E-5</v>
      </c>
      <c r="O18" s="60">
        <f t="shared" si="14"/>
        <v>-4.3387388977211541E-5</v>
      </c>
      <c r="P18" s="60">
        <f t="shared" si="15"/>
        <v>3.1567036920708642E-5</v>
      </c>
      <c r="Q18" s="60">
        <f t="shared" si="16"/>
        <v>2.8751494483241764E-5</v>
      </c>
      <c r="R18" s="60">
        <f t="shared" si="17"/>
        <v>-6.572432650886888E-6</v>
      </c>
      <c r="AA18" s="2">
        <v>0.92</v>
      </c>
      <c r="AB18" s="31">
        <f t="shared" si="5"/>
        <v>1.4050715603096329</v>
      </c>
      <c r="AC18" s="1">
        <f t="shared" si="0"/>
        <v>102.24132695598122</v>
      </c>
      <c r="AD18" s="1">
        <f t="shared" si="1"/>
        <v>135.22293700097921</v>
      </c>
      <c r="AF18" s="1">
        <f t="shared" si="2"/>
        <v>215.10367120587244</v>
      </c>
      <c r="AG18" s="1">
        <f t="shared" si="3"/>
        <v>284.4930816740482</v>
      </c>
      <c r="AH18" s="107"/>
      <c r="AI18" s="23">
        <f t="shared" si="6"/>
        <v>3414.6649206464622</v>
      </c>
      <c r="AJ18" s="23">
        <f t="shared" si="7"/>
        <v>4516.1876629675126</v>
      </c>
    </row>
    <row r="19" spans="1:36" x14ac:dyDescent="0.3">
      <c r="A19">
        <f>'Parm VaR Eq Weights'!B18</f>
        <v>5.0716026977129253E-3</v>
      </c>
      <c r="B19">
        <f>'Parm VaR Eq Weights'!C18</f>
        <v>-1.484335363231523E-2</v>
      </c>
      <c r="C19">
        <f>'Parm VaR Eq Weights'!D18</f>
        <v>-2.9472768255505089E-2</v>
      </c>
      <c r="D19">
        <f>'Parm VaR Eq Weights'!E18</f>
        <v>-1.6670904284774059E-2</v>
      </c>
      <c r="H19" s="60">
        <f t="shared" si="8"/>
        <v>1.3960115939181474E-4</v>
      </c>
      <c r="I19" s="60">
        <f t="shared" si="9"/>
        <v>1.5413132666723637E-4</v>
      </c>
      <c r="J19" s="60">
        <f t="shared" si="10"/>
        <v>1.1388827433647349E-4</v>
      </c>
      <c r="K19" s="60">
        <f t="shared" si="11"/>
        <v>1.5634645304466084E-4</v>
      </c>
      <c r="M19" s="60">
        <f t="shared" si="12"/>
        <v>1.3902512032552773E-5</v>
      </c>
      <c r="N19" s="60">
        <f t="shared" si="13"/>
        <v>7.8564580877663721E-5</v>
      </c>
      <c r="O19" s="60">
        <f t="shared" si="14"/>
        <v>-3.1861247881125645E-5</v>
      </c>
      <c r="P19" s="60">
        <f t="shared" si="15"/>
        <v>2.6665994406455369E-5</v>
      </c>
      <c r="Q19" s="60">
        <f t="shared" si="16"/>
        <v>2.4867409571625785E-5</v>
      </c>
      <c r="R19" s="60">
        <f t="shared" si="17"/>
        <v>4.2318950953536318E-6</v>
      </c>
      <c r="U19" s="79" t="s">
        <v>0</v>
      </c>
      <c r="V19" s="80" t="s">
        <v>63</v>
      </c>
      <c r="W19" s="80" t="s">
        <v>64</v>
      </c>
      <c r="X19" s="80" t="s">
        <v>61</v>
      </c>
      <c r="AA19" s="2">
        <v>0.91500000000000004</v>
      </c>
      <c r="AB19" s="31">
        <f t="shared" si="5"/>
        <v>1.3722038089987258</v>
      </c>
      <c r="AC19" s="1">
        <f t="shared" si="0"/>
        <v>99.849674741950366</v>
      </c>
      <c r="AD19" s="1">
        <f t="shared" si="1"/>
        <v>133.21196452816091</v>
      </c>
      <c r="AF19" s="1">
        <f t="shared" si="2"/>
        <v>210.07191754223717</v>
      </c>
      <c r="AG19" s="1">
        <f t="shared" si="3"/>
        <v>280.26223320527396</v>
      </c>
      <c r="AH19" s="107"/>
      <c r="AI19" s="23">
        <f t="shared" si="6"/>
        <v>3334.7883075313594</v>
      </c>
      <c r="AJ19" s="23">
        <f t="shared" si="7"/>
        <v>4449.0250256684621</v>
      </c>
    </row>
    <row r="20" spans="1:36" x14ac:dyDescent="0.3">
      <c r="A20">
        <f>'Parm VaR Eq Weights'!B19</f>
        <v>1.1032026381792881E-2</v>
      </c>
      <c r="B20">
        <f>'Parm VaR Eq Weights'!C19</f>
        <v>-2.2792020252802241E-2</v>
      </c>
      <c r="C20">
        <f>'Parm VaR Eq Weights'!D19</f>
        <v>2.1495836861802925E-2</v>
      </c>
      <c r="D20">
        <f>'Parm VaR Eq Weights'!E19</f>
        <v>-2.7065066285995372E-2</v>
      </c>
      <c r="H20" s="60">
        <f t="shared" si="8"/>
        <v>1.327683590637128E-4</v>
      </c>
      <c r="I20" s="60">
        <f t="shared" si="9"/>
        <v>1.5810295589044015E-4</v>
      </c>
      <c r="J20" s="60">
        <f t="shared" si="10"/>
        <v>1.5917362199484764E-4</v>
      </c>
      <c r="K20" s="60">
        <f t="shared" si="11"/>
        <v>1.636408088423071E-4</v>
      </c>
      <c r="M20" s="60">
        <f t="shared" si="12"/>
        <v>8.5515857711141908E-6</v>
      </c>
      <c r="N20" s="60">
        <f t="shared" si="13"/>
        <v>6.4882255765382634E-5</v>
      </c>
      <c r="O20" s="60">
        <f t="shared" si="14"/>
        <v>-3.5022465196896552E-5</v>
      </c>
      <c r="P20" s="60">
        <f t="shared" si="15"/>
        <v>5.1314518046452256E-5</v>
      </c>
      <c r="Q20" s="60">
        <f t="shared" si="16"/>
        <v>3.8222492657491084E-5</v>
      </c>
      <c r="R20" s="60">
        <f t="shared" si="17"/>
        <v>3.3458243305323599E-5</v>
      </c>
      <c r="T20" s="93" t="s">
        <v>66</v>
      </c>
      <c r="U20" s="84">
        <v>2.1910662091933809E-2</v>
      </c>
      <c r="V20" s="84">
        <v>3.2115064641314431E-2</v>
      </c>
      <c r="W20" s="84">
        <v>3.0879513845478389E-2</v>
      </c>
      <c r="X20" s="84">
        <v>1.594078819828228E-2</v>
      </c>
      <c r="Y20" s="82" t="s">
        <v>66</v>
      </c>
      <c r="AA20" s="2">
        <v>0.91</v>
      </c>
      <c r="AB20" s="31">
        <f t="shared" si="5"/>
        <v>1.3407550336902161</v>
      </c>
      <c r="AC20" s="1">
        <f t="shared" si="0"/>
        <v>97.561275624417888</v>
      </c>
      <c r="AD20" s="1">
        <f t="shared" si="1"/>
        <v>131.29448541617168</v>
      </c>
      <c r="AF20" s="1">
        <f t="shared" si="2"/>
        <v>205.25739619337554</v>
      </c>
      <c r="AG20" s="1">
        <f t="shared" si="3"/>
        <v>276.22808372062337</v>
      </c>
      <c r="AH20" s="107"/>
      <c r="AI20" s="23">
        <f t="shared" si="6"/>
        <v>3258.3601505059646</v>
      </c>
      <c r="AJ20" s="23">
        <f t="shared" si="7"/>
        <v>4384.9848879401925</v>
      </c>
    </row>
    <row r="21" spans="1:36" x14ac:dyDescent="0.3">
      <c r="A21">
        <f>'Parm VaR Eq Weights'!B20</f>
        <v>2.6388586869583708E-3</v>
      </c>
      <c r="B21">
        <f>'Parm VaR Eq Weights'!C20</f>
        <v>2.0890439793614192E-2</v>
      </c>
      <c r="C21">
        <f>'Parm VaR Eq Weights'!D20</f>
        <v>-3.7220420364853342E-4</v>
      </c>
      <c r="D21">
        <f>'Parm VaR Eq Weights'!E20</f>
        <v>-6.7576403085111755E-3</v>
      </c>
      <c r="H21" s="60">
        <f t="shared" si="8"/>
        <v>1.3210459388520446E-4</v>
      </c>
      <c r="I21" s="60">
        <f t="shared" si="9"/>
        <v>1.7978534976926261E-4</v>
      </c>
      <c r="J21" s="60">
        <f t="shared" si="10"/>
        <v>1.7734746481851152E-4</v>
      </c>
      <c r="K21" s="60">
        <f t="shared" si="11"/>
        <v>1.9777342909568812E-4</v>
      </c>
      <c r="M21" s="60">
        <f t="shared" si="12"/>
        <v>-7.0480394985489909E-6</v>
      </c>
      <c r="N21" s="60">
        <f t="shared" si="13"/>
        <v>7.521787878094723E-5</v>
      </c>
      <c r="O21" s="60">
        <f t="shared" si="14"/>
        <v>-5.0836068802607206E-5</v>
      </c>
      <c r="P21" s="60">
        <f t="shared" si="15"/>
        <v>1.8839634017356374E-5</v>
      </c>
      <c r="Q21" s="60">
        <f t="shared" si="16"/>
        <v>7.2941195434072142E-5</v>
      </c>
      <c r="R21" s="60">
        <f t="shared" si="17"/>
        <v>-3.4564262652541822E-6</v>
      </c>
      <c r="T21" s="83" t="s">
        <v>0</v>
      </c>
      <c r="U21" s="99">
        <v>1.0000000000000002</v>
      </c>
      <c r="V21" s="86"/>
      <c r="W21" s="86"/>
      <c r="X21" s="87"/>
      <c r="Y21" s="85">
        <v>2.1910662091933809E-2</v>
      </c>
      <c r="AA21" s="2">
        <v>0.90500000000000003</v>
      </c>
      <c r="AB21" s="31">
        <f t="shared" si="5"/>
        <v>1.3105791121681303</v>
      </c>
      <c r="AC21" s="1">
        <f t="shared" si="0"/>
        <v>95.365496885676833</v>
      </c>
      <c r="AD21" s="1">
        <f t="shared" si="1"/>
        <v>129.46088443741218</v>
      </c>
      <c r="AF21" s="1">
        <f t="shared" si="2"/>
        <v>200.63773717758096</v>
      </c>
      <c r="AG21" s="1">
        <f t="shared" si="3"/>
        <v>272.37040391735104</v>
      </c>
      <c r="AH21" s="107"/>
      <c r="AI21" s="23">
        <f t="shared" si="6"/>
        <v>3185.0253371197055</v>
      </c>
      <c r="AJ21" s="23">
        <f t="shared" si="7"/>
        <v>4323.7461195571423</v>
      </c>
    </row>
    <row r="22" spans="1:36" x14ac:dyDescent="0.3">
      <c r="A22">
        <f>'Parm VaR Eq Weights'!B21</f>
        <v>-4.8387458886950174E-4</v>
      </c>
      <c r="B22">
        <f>'Parm VaR Eq Weights'!C21</f>
        <v>-1.0285251849962805E-2</v>
      </c>
      <c r="C22">
        <f>'Parm VaR Eq Weights'!D21</f>
        <v>1.5125966803735954E-2</v>
      </c>
      <c r="D22">
        <f>'Parm VaR Eq Weights'!E21</f>
        <v>2.8549048929243381E-2</v>
      </c>
      <c r="H22" s="60">
        <f t="shared" si="8"/>
        <v>1.2459613276227631E-4</v>
      </c>
      <c r="I22" s="60">
        <f t="shared" si="9"/>
        <v>1.9518285726934402E-4</v>
      </c>
      <c r="J22" s="60">
        <f t="shared" si="10"/>
        <v>1.6671492908755363E-4</v>
      </c>
      <c r="K22" s="60">
        <f t="shared" si="11"/>
        <v>1.8864696550229972E-4</v>
      </c>
      <c r="M22" s="60">
        <f t="shared" si="12"/>
        <v>-3.3175420172104697E-6</v>
      </c>
      <c r="N22" s="60">
        <f t="shared" si="13"/>
        <v>7.0645874396323182E-5</v>
      </c>
      <c r="O22" s="60">
        <f t="shared" si="14"/>
        <v>-4.8855852144338063E-5</v>
      </c>
      <c r="P22" s="60">
        <f t="shared" si="15"/>
        <v>1.7242725405880003E-5</v>
      </c>
      <c r="Q22" s="60">
        <f t="shared" si="16"/>
        <v>6.0094519027316613E-5</v>
      </c>
      <c r="R22" s="60">
        <f t="shared" si="17"/>
        <v>-3.0981273615645729E-6</v>
      </c>
      <c r="T22" s="27" t="s">
        <v>63</v>
      </c>
      <c r="U22" s="88">
        <f>U7/(U$20*$Y22)</f>
        <v>1.2610586305110225E-2</v>
      </c>
      <c r="V22" s="100">
        <v>1.0000000000000002</v>
      </c>
      <c r="W22" s="89"/>
      <c r="X22" s="90"/>
      <c r="Y22" s="85">
        <v>3.2115064641314431E-2</v>
      </c>
      <c r="AA22" s="2">
        <v>0.9</v>
      </c>
      <c r="AB22" s="31">
        <f t="shared" si="5"/>
        <v>1.2815515655446006</v>
      </c>
      <c r="AC22" s="1">
        <f t="shared" si="0"/>
        <v>93.253280704735658</v>
      </c>
      <c r="AD22" s="1">
        <f t="shared" si="1"/>
        <v>127.7029785684695</v>
      </c>
      <c r="AF22" s="1">
        <f t="shared" si="2"/>
        <v>196.19388390974819</v>
      </c>
      <c r="AG22" s="1">
        <f t="shared" si="3"/>
        <v>268.67197768109224</v>
      </c>
      <c r="AH22" s="107"/>
      <c r="AI22" s="23">
        <f t="shared" si="6"/>
        <v>3114.4813534624222</v>
      </c>
      <c r="AJ22" s="23">
        <f t="shared" si="7"/>
        <v>4265.0354231763977</v>
      </c>
    </row>
    <row r="23" spans="1:36" x14ac:dyDescent="0.3">
      <c r="A23">
        <f>'Parm VaR Eq Weights'!B22</f>
        <v>4.4630782533772954E-3</v>
      </c>
      <c r="B23">
        <f>'Parm VaR Eq Weights'!C22</f>
        <v>1.5153850464948196E-2</v>
      </c>
      <c r="C23">
        <f>'Parm VaR Eq Weights'!D22</f>
        <v>1.675665536175646E-2</v>
      </c>
      <c r="D23">
        <f>'Parm VaR Eq Weights'!E22</f>
        <v>-1.2214979210201125E-2</v>
      </c>
      <c r="H23" s="60">
        <f t="shared" si="8"/>
        <v>1.1713441287360494E-4</v>
      </c>
      <c r="I23" s="60">
        <f t="shared" si="9"/>
        <v>1.8981907017021315E-4</v>
      </c>
      <c r="J23" s="60">
        <f t="shared" si="10"/>
        <v>1.7043972564716373E-4</v>
      </c>
      <c r="K23" s="60">
        <f t="shared" si="11"/>
        <v>2.2623103925802172E-4</v>
      </c>
      <c r="M23" s="60">
        <f t="shared" si="12"/>
        <v>-2.8198831755586389E-6</v>
      </c>
      <c r="N23" s="60">
        <f t="shared" si="13"/>
        <v>6.5967977674439101E-5</v>
      </c>
      <c r="O23" s="60">
        <f t="shared" si="14"/>
        <v>-4.6753350574472953E-5</v>
      </c>
      <c r="P23" s="60">
        <f t="shared" si="15"/>
        <v>6.8736991984911196E-6</v>
      </c>
      <c r="Q23" s="60">
        <f t="shared" si="16"/>
        <v>3.887079838682685E-5</v>
      </c>
      <c r="R23" s="60">
        <f t="shared" si="17"/>
        <v>2.2997678263047456E-5</v>
      </c>
      <c r="T23" s="27" t="s">
        <v>64</v>
      </c>
      <c r="U23" s="88">
        <f>U8/(U$20*$Y23)</f>
        <v>2.7543064858342445E-2</v>
      </c>
      <c r="V23" s="89">
        <f>V8/(V$20*$Y23)</f>
        <v>6.7456450845131119E-2</v>
      </c>
      <c r="W23" s="100">
        <v>1</v>
      </c>
      <c r="X23" s="90"/>
      <c r="Y23" s="85">
        <v>3.0879513845478389E-2</v>
      </c>
    </row>
    <row r="24" spans="1:36" x14ac:dyDescent="0.3">
      <c r="A24">
        <f>'Parm VaR Eq Weights'!B23</f>
        <v>1.7378831277445942E-2</v>
      </c>
      <c r="B24">
        <f>'Parm VaR Eq Weights'!C23</f>
        <v>1.1146526261958114E-2</v>
      </c>
      <c r="C24">
        <f>'Parm VaR Eq Weights'!D23</f>
        <v>-4.8120159107499904E-3</v>
      </c>
      <c r="D24">
        <f>'Parm VaR Eq Weights'!E23</f>
        <v>6.9816392905561854E-3</v>
      </c>
      <c r="H24" s="60">
        <f t="shared" si="8"/>
        <v>1.113014921509348E-4</v>
      </c>
      <c r="I24" s="60">
        <f t="shared" si="9"/>
        <v>1.9220827699484099E-4</v>
      </c>
      <c r="J24" s="60">
        <f t="shared" si="10"/>
        <v>1.7706047204309481E-4</v>
      </c>
      <c r="K24" s="60">
        <f t="shared" si="11"/>
        <v>2.2160951992887916E-4</v>
      </c>
      <c r="M24" s="60">
        <f t="shared" si="12"/>
        <v>1.4072790428773856E-6</v>
      </c>
      <c r="N24" s="60">
        <f t="shared" si="13"/>
        <v>6.6497074862636364E-5</v>
      </c>
      <c r="O24" s="60">
        <f t="shared" si="14"/>
        <v>-4.7219134024714839E-5</v>
      </c>
      <c r="P24" s="60">
        <f t="shared" si="15"/>
        <v>2.1696948225265455E-5</v>
      </c>
      <c r="Q24" s="60">
        <f t="shared" si="16"/>
        <v>2.5432312380586892E-5</v>
      </c>
      <c r="R24" s="60">
        <f t="shared" si="17"/>
        <v>9.3368857546829738E-6</v>
      </c>
      <c r="T24" s="27" t="s">
        <v>61</v>
      </c>
      <c r="U24" s="91">
        <f>U9/(U$20*$Y24)</f>
        <v>3.9847582148065261E-2</v>
      </c>
      <c r="V24" s="92">
        <f>V9/(V$20*$Y24)</f>
        <v>0.10930249804614002</v>
      </c>
      <c r="W24" s="92">
        <f>W9/(W$20*$Y24)</f>
        <v>0.164807921825042</v>
      </c>
      <c r="X24" s="101">
        <v>1</v>
      </c>
      <c r="Y24" s="85">
        <v>1.594078819828228E-2</v>
      </c>
    </row>
    <row r="25" spans="1:36" x14ac:dyDescent="0.3">
      <c r="A25">
        <f>'Parm VaR Eq Weights'!B24</f>
        <v>-1.2739848320225554E-3</v>
      </c>
      <c r="B25">
        <f>'Parm VaR Eq Weights'!C24</f>
        <v>1.9296524378298419E-2</v>
      </c>
      <c r="C25">
        <f>'Parm VaR Eq Weights'!D24</f>
        <v>-1.8154082422218063E-3</v>
      </c>
      <c r="D25">
        <f>'Parm VaR Eq Weights'!E24</f>
        <v>2.2368016182506612E-3</v>
      </c>
      <c r="H25" s="60">
        <f t="shared" si="8"/>
        <v>1.2274482921607473E-4</v>
      </c>
      <c r="I25" s="60">
        <f t="shared" si="9"/>
        <v>1.8813048323766186E-4</v>
      </c>
      <c r="J25" s="60">
        <f t="shared" si="10"/>
        <v>1.678261735480278E-4</v>
      </c>
      <c r="K25" s="60">
        <f t="shared" si="11"/>
        <v>2.1123754596415268E-4</v>
      </c>
      <c r="M25" s="60">
        <f t="shared" si="12"/>
        <v>1.2945658254476169E-5</v>
      </c>
      <c r="N25" s="60">
        <f t="shared" si="13"/>
        <v>5.7489617613839606E-5</v>
      </c>
      <c r="O25" s="60">
        <f t="shared" si="14"/>
        <v>-3.7106022106998137E-5</v>
      </c>
      <c r="P25" s="60">
        <f t="shared" si="15"/>
        <v>1.7176895628421419E-5</v>
      </c>
      <c r="Q25" s="60">
        <f t="shared" si="16"/>
        <v>2.8575635179973868E-5</v>
      </c>
      <c r="R25" s="60">
        <f t="shared" si="17"/>
        <v>6.7609270484455739E-6</v>
      </c>
    </row>
    <row r="26" spans="1:36" x14ac:dyDescent="0.3">
      <c r="A26">
        <f>'Parm VaR Eq Weights'!B25</f>
        <v>-6.3635765724746824E-3</v>
      </c>
      <c r="B26">
        <f>'Parm VaR Eq Weights'!C25</f>
        <v>2.2532970258982925E-4</v>
      </c>
      <c r="C26">
        <f>'Parm VaR Eq Weights'!D25</f>
        <v>-1.6212336402068078E-2</v>
      </c>
      <c r="D26">
        <f>'Parm VaR Eq Weights'!E25</f>
        <v>7.8937393016707963E-3</v>
      </c>
      <c r="H26" s="60">
        <f t="shared" si="8"/>
        <v>1.1547752170424364E-4</v>
      </c>
      <c r="I26" s="60">
        <f t="shared" si="9"/>
        <v>1.9918400542833805E-4</v>
      </c>
      <c r="J26" s="60">
        <f t="shared" si="10"/>
        <v>1.5795434556030173E-4</v>
      </c>
      <c r="K26" s="60">
        <f t="shared" si="11"/>
        <v>1.9886349009506804E-4</v>
      </c>
      <c r="M26" s="60">
        <f t="shared" si="12"/>
        <v>1.0693909997085258E-5</v>
      </c>
      <c r="N26" s="60">
        <f t="shared" si="13"/>
        <v>5.4179008710880383E-5</v>
      </c>
      <c r="O26" s="60">
        <f t="shared" si="14"/>
        <v>-3.5050639860611935E-5</v>
      </c>
      <c r="P26" s="60">
        <f t="shared" si="15"/>
        <v>1.4044417726560314E-5</v>
      </c>
      <c r="Q26" s="60">
        <f t="shared" si="16"/>
        <v>2.945084688653491E-5</v>
      </c>
      <c r="R26" s="60">
        <f t="shared" si="17"/>
        <v>6.1116289398995991E-6</v>
      </c>
    </row>
    <row r="27" spans="1:36" x14ac:dyDescent="0.3">
      <c r="A27">
        <f>'Parm VaR Eq Weights'!B26</f>
        <v>-5.7245222641414632E-3</v>
      </c>
      <c r="B27">
        <f>'Parm VaR Eq Weights'!C26</f>
        <v>-5.2668297534889282E-3</v>
      </c>
      <c r="C27">
        <f>'Parm VaR Eq Weights'!D26</f>
        <v>2.9136366570618371E-3</v>
      </c>
      <c r="D27">
        <f>'Parm VaR Eq Weights'!E26</f>
        <v>6.345037964968752E-3</v>
      </c>
      <c r="H27" s="60">
        <f t="shared" si="8"/>
        <v>1.1097857680961393E-4</v>
      </c>
      <c r="I27" s="60">
        <f t="shared" si="9"/>
        <v>1.8723601151112988E-4</v>
      </c>
      <c r="J27" s="60">
        <f t="shared" si="10"/>
        <v>1.6424747592351294E-4</v>
      </c>
      <c r="K27" s="60">
        <f t="shared" si="11"/>
        <v>1.9067034789912847E-4</v>
      </c>
      <c r="M27" s="60">
        <f t="shared" si="12"/>
        <v>9.9662412282711425E-6</v>
      </c>
      <c r="N27" s="60">
        <f t="shared" si="13"/>
        <v>5.7118374835024298E-5</v>
      </c>
      <c r="O27" s="60">
        <f t="shared" si="14"/>
        <v>-3.5961546338335321E-5</v>
      </c>
      <c r="P27" s="60">
        <f t="shared" si="15"/>
        <v>1.2982565406580839E-5</v>
      </c>
      <c r="Q27" s="60">
        <f t="shared" si="16"/>
        <v>2.7790517709092843E-5</v>
      </c>
      <c r="R27" s="60">
        <f t="shared" si="17"/>
        <v>-1.9336262182291567E-6</v>
      </c>
      <c r="T27" s="114" t="s">
        <v>86</v>
      </c>
      <c r="V27" s="110" t="s">
        <v>81</v>
      </c>
      <c r="W27" s="110"/>
    </row>
    <row r="28" spans="1:36" x14ac:dyDescent="0.3">
      <c r="A28">
        <f>'Parm VaR Eq Weights'!B27</f>
        <v>-7.8193040707287163E-4</v>
      </c>
      <c r="B28">
        <f>'Parm VaR Eq Weights'!C27</f>
        <v>3.3748945455949779E-3</v>
      </c>
      <c r="C28">
        <f>'Parm VaR Eq Weights'!D27</f>
        <v>6.9275232642337188E-3</v>
      </c>
      <c r="D28">
        <f>'Parm VaR Eq Weights'!E27</f>
        <v>-7.8433484117939028E-3</v>
      </c>
      <c r="H28" s="60">
        <f t="shared" si="8"/>
        <v>1.0628607151019617E-4</v>
      </c>
      <c r="I28" s="60">
        <f t="shared" si="9"/>
        <v>1.7766622055959627E-4</v>
      </c>
      <c r="J28" s="60">
        <f t="shared" si="10"/>
        <v>1.5490198408226461E-4</v>
      </c>
      <c r="K28" s="60">
        <f t="shared" si="11"/>
        <v>1.8164569743179445E-4</v>
      </c>
      <c r="M28" s="60">
        <f t="shared" si="12"/>
        <v>1.1177271805692279E-5</v>
      </c>
      <c r="N28" s="60">
        <f t="shared" si="13"/>
        <v>5.2690521670144682E-5</v>
      </c>
      <c r="O28" s="60">
        <f t="shared" si="14"/>
        <v>-3.598319222387239E-5</v>
      </c>
      <c r="P28" s="60">
        <f t="shared" si="15"/>
        <v>1.1282873788009827E-5</v>
      </c>
      <c r="Q28" s="60">
        <f t="shared" si="16"/>
        <v>2.4117992562092412E-5</v>
      </c>
      <c r="R28" s="60">
        <f t="shared" si="17"/>
        <v>-7.0838053282448659E-7</v>
      </c>
    </row>
    <row r="29" spans="1:36" x14ac:dyDescent="0.3">
      <c r="A29">
        <f>'Parm VaR Eq Weights'!B28</f>
        <v>1.7034472986976878E-3</v>
      </c>
      <c r="B29">
        <f>'Parm VaR Eq Weights'!C28</f>
        <v>-1.2405688604729219E-3</v>
      </c>
      <c r="C29">
        <f>'Parm VaR Eq Weights'!D28</f>
        <v>1.1179744366080241E-3</v>
      </c>
      <c r="D29">
        <f>'Parm VaR Eq Weights'!E28</f>
        <v>3.4413914357122855E-3</v>
      </c>
      <c r="H29" s="60">
        <f t="shared" si="8"/>
        <v>9.9945592129274696E-5</v>
      </c>
      <c r="I29" s="60">
        <f t="shared" si="9"/>
        <v>1.676896421176537E-4</v>
      </c>
      <c r="J29" s="60">
        <f t="shared" si="10"/>
        <v>1.484872997519187E-4</v>
      </c>
      <c r="K29" s="60">
        <f t="shared" si="11"/>
        <v>1.7443804244441418E-4</v>
      </c>
      <c r="M29" s="60">
        <f t="shared" si="12"/>
        <v>1.0348299537398835E-5</v>
      </c>
      <c r="N29" s="60">
        <f t="shared" si="13"/>
        <v>4.9204079904775456E-5</v>
      </c>
      <c r="O29" s="60">
        <f t="shared" si="14"/>
        <v>-3.345622353345314E-5</v>
      </c>
      <c r="P29" s="60">
        <f t="shared" si="15"/>
        <v>1.2008680989465919E-5</v>
      </c>
      <c r="Q29" s="60">
        <f t="shared" si="16"/>
        <v>2.1082684581917009E-5</v>
      </c>
      <c r="R29" s="60">
        <f t="shared" si="17"/>
        <v>-3.9259764163865911E-6</v>
      </c>
      <c r="U29" s="79" t="s">
        <v>0</v>
      </c>
      <c r="V29" s="80" t="s">
        <v>63</v>
      </c>
      <c r="W29" s="80" t="s">
        <v>64</v>
      </c>
      <c r="X29" s="80" t="s">
        <v>61</v>
      </c>
      <c r="AC29">
        <f>K5*$F$3 + A5*B5*(1-$F$3)</f>
        <v>1.0500740891785127E-4</v>
      </c>
    </row>
    <row r="30" spans="1:36" x14ac:dyDescent="0.3">
      <c r="A30">
        <f>'Parm VaR Eq Weights'!B29</f>
        <v>-1.4204195427326925E-2</v>
      </c>
      <c r="B30">
        <f>'Parm VaR Eq Weights'!C29</f>
        <v>3.7423255551684639E-4</v>
      </c>
      <c r="C30">
        <f>'Parm VaR Eq Weights'!D29</f>
        <v>-1.3043867728813717E-2</v>
      </c>
      <c r="D30">
        <f>'Parm VaR Eq Weights'!E29</f>
        <v>-7.3665831904031909E-3</v>
      </c>
      <c r="H30" s="60">
        <f t="shared" si="8"/>
        <v>9.4122960563484633E-5</v>
      </c>
      <c r="I30" s="60">
        <f t="shared" si="9"/>
        <v>1.5772060425644897E-4</v>
      </c>
      <c r="J30" s="60">
        <f t="shared" si="10"/>
        <v>1.3965305377725812E-4</v>
      </c>
      <c r="K30" s="60">
        <f t="shared" si="11"/>
        <v>1.6468235039857697E-4</v>
      </c>
      <c r="M30" s="60">
        <f t="shared" si="12"/>
        <v>9.6006069447016404E-6</v>
      </c>
      <c r="N30" s="60">
        <f t="shared" si="13"/>
        <v>4.6366099742532108E-5</v>
      </c>
      <c r="O30" s="60">
        <f t="shared" si="14"/>
        <v>-3.1097116384750426E-5</v>
      </c>
      <c r="P30" s="60">
        <f t="shared" si="15"/>
        <v>1.1204944673726324E-5</v>
      </c>
      <c r="Q30" s="60">
        <f t="shared" si="16"/>
        <v>1.9561566523891416E-5</v>
      </c>
      <c r="R30" s="60">
        <f t="shared" si="17"/>
        <v>-3.4595745723141082E-6</v>
      </c>
      <c r="T30" s="93" t="s">
        <v>66</v>
      </c>
      <c r="U30" s="84">
        <f>U11</f>
        <v>8.0284861643723782E-3</v>
      </c>
      <c r="V30" s="84">
        <f>V11</f>
        <v>1.2619945011622195E-2</v>
      </c>
      <c r="W30" s="84">
        <f>W11</f>
        <v>9.6894813528387996E-3</v>
      </c>
      <c r="X30" s="84">
        <f>X11</f>
        <v>1.3731643468190067E-2</v>
      </c>
      <c r="Y30" s="82" t="s">
        <v>66</v>
      </c>
    </row>
    <row r="31" spans="1:36" x14ac:dyDescent="0.3">
      <c r="A31">
        <f>'Parm VaR Eq Weights'!B30</f>
        <v>1.4818052561744752E-3</v>
      </c>
      <c r="B31">
        <f>'Parm VaR Eq Weights'!C30</f>
        <v>1.1477501341817956E-3</v>
      </c>
      <c r="C31">
        <f>'Parm VaR Eq Weights'!D30</f>
        <v>3.372794193833246E-3</v>
      </c>
      <c r="D31">
        <f>'Parm VaR Eq Weights'!E30</f>
        <v>-5.5567088952874696E-3</v>
      </c>
      <c r="H31" s="60">
        <f t="shared" si="8"/>
        <v>1.0058113299393727E-4</v>
      </c>
      <c r="I31" s="60">
        <f t="shared" si="9"/>
        <v>1.4826577100139854E-4</v>
      </c>
      <c r="J31" s="60">
        <f t="shared" si="10"/>
        <v>1.4148241967022989E-4</v>
      </c>
      <c r="K31" s="60">
        <f t="shared" si="11"/>
        <v>1.580574022487302E-4</v>
      </c>
      <c r="M31" s="60">
        <f t="shared" si="12"/>
        <v>8.7056301867897847E-6</v>
      </c>
      <c r="N31" s="60">
        <f t="shared" si="13"/>
        <v>5.4700792538876569E-5</v>
      </c>
      <c r="O31" s="60">
        <f t="shared" si="14"/>
        <v>-2.2953106165576488E-5</v>
      </c>
      <c r="P31" s="60">
        <f t="shared" si="15"/>
        <v>1.0239761596064083E-5</v>
      </c>
      <c r="Q31" s="60">
        <f t="shared" si="16"/>
        <v>1.8222463617291607E-5</v>
      </c>
      <c r="R31" s="60">
        <f t="shared" si="17"/>
        <v>2.5133241069600497E-6</v>
      </c>
      <c r="T31" s="83" t="s">
        <v>0</v>
      </c>
      <c r="U31" s="99">
        <f>U6/(U$30*$Y31)</f>
        <v>1</v>
      </c>
      <c r="V31" s="86"/>
      <c r="W31" s="86"/>
      <c r="X31" s="87"/>
      <c r="Y31" s="85">
        <f>U11</f>
        <v>8.0284861643723782E-3</v>
      </c>
    </row>
    <row r="32" spans="1:36" x14ac:dyDescent="0.3">
      <c r="A32">
        <f>'Parm VaR Eq Weights'!B31</f>
        <v>-1.8439896018298042E-3</v>
      </c>
      <c r="B32">
        <f>'Parm VaR Eq Weights'!C31</f>
        <v>-4.2919321323083223E-3</v>
      </c>
      <c r="C32">
        <f>'Parm VaR Eq Weights'!D31</f>
        <v>4.7267375726766569E-3</v>
      </c>
      <c r="D32">
        <f>'Parm VaR Eq Weights'!E31</f>
        <v>-5.2462627067472109E-3</v>
      </c>
      <c r="H32" s="60">
        <f t="shared" si="8"/>
        <v>9.4678009823334614E-5</v>
      </c>
      <c r="I32" s="60">
        <f t="shared" si="9"/>
        <v>1.3944886456354548E-4</v>
      </c>
      <c r="J32" s="60">
        <f t="shared" si="10"/>
        <v>1.3367601893045342E-4</v>
      </c>
      <c r="K32" s="60">
        <f t="shared" si="11"/>
        <v>1.5042657893862439E-4</v>
      </c>
      <c r="M32" s="60">
        <f t="shared" si="12"/>
        <v>8.2853369064787311E-6</v>
      </c>
      <c r="N32" s="60">
        <f t="shared" si="13"/>
        <v>5.1718614436408987E-5</v>
      </c>
      <c r="O32" s="60">
        <f t="shared" si="14"/>
        <v>-2.2069957422526004E-5</v>
      </c>
      <c r="P32" s="60">
        <f t="shared" si="15"/>
        <v>9.857643399612619E-6</v>
      </c>
      <c r="Q32" s="60">
        <f t="shared" si="16"/>
        <v>1.6746452997443585E-5</v>
      </c>
      <c r="R32" s="60">
        <f t="shared" si="17"/>
        <v>1.2380265306116179E-6</v>
      </c>
      <c r="T32" s="27" t="s">
        <v>63</v>
      </c>
      <c r="U32" s="88">
        <v>0.8</v>
      </c>
      <c r="V32" s="100">
        <f>V7/(V$30*$Y32)</f>
        <v>1</v>
      </c>
      <c r="W32" s="89"/>
      <c r="X32" s="90"/>
      <c r="Y32" s="85">
        <f>V11</f>
        <v>1.2619945011622195E-2</v>
      </c>
    </row>
    <row r="33" spans="1:25" x14ac:dyDescent="0.3">
      <c r="A33">
        <f>'Parm VaR Eq Weights'!B32</f>
        <v>-2.5162888684839339E-2</v>
      </c>
      <c r="B33">
        <f>'Parm VaR Eq Weights'!C32</f>
        <v>-1.0933439540944305E-2</v>
      </c>
      <c r="C33">
        <f>'Parm VaR Eq Weights'!D32</f>
        <v>-1.4585011651440376E-2</v>
      </c>
      <c r="D33">
        <f>'Parm VaR Eq Weights'!E32</f>
        <v>8.9792734111172785E-3</v>
      </c>
      <c r="H33" s="60">
        <f t="shared" si="8"/>
        <v>8.9201347093033923E-5</v>
      </c>
      <c r="I33" s="60">
        <f t="shared" si="9"/>
        <v>1.3218717357543319E-4</v>
      </c>
      <c r="J33" s="60">
        <f t="shared" si="10"/>
        <v>1.2699598067948339E-4</v>
      </c>
      <c r="K33" s="60">
        <f t="shared" si="11"/>
        <v>1.430523805455993E-4</v>
      </c>
      <c r="M33" s="60">
        <f t="shared" si="12"/>
        <v>8.2630733855141524E-6</v>
      </c>
      <c r="N33" s="60">
        <f t="shared" si="13"/>
        <v>4.80925342741488E-5</v>
      </c>
      <c r="O33" s="60">
        <f t="shared" si="14"/>
        <v>-2.0165316744391882E-5</v>
      </c>
      <c r="P33" s="60">
        <f t="shared" si="15"/>
        <v>8.0489745834862614E-6</v>
      </c>
      <c r="Q33" s="60">
        <f t="shared" si="16"/>
        <v>1.7092662026734121E-5</v>
      </c>
      <c r="R33" s="60">
        <f t="shared" si="17"/>
        <v>-3.2411748435194335E-7</v>
      </c>
      <c r="T33" s="27" t="s">
        <v>64</v>
      </c>
      <c r="U33" s="88">
        <v>0.8</v>
      </c>
      <c r="V33" s="89">
        <f>V8/(V$30*$Y33)</f>
        <v>0.54707232879667811</v>
      </c>
      <c r="W33" s="100">
        <f>W8/(W$30*$Y33)</f>
        <v>1</v>
      </c>
      <c r="X33" s="90"/>
      <c r="Y33" s="85">
        <f>W11</f>
        <v>9.6894813528387996E-3</v>
      </c>
    </row>
    <row r="34" spans="1:25" x14ac:dyDescent="0.3">
      <c r="A34">
        <f>'Parm VaR Eq Weights'!B33</f>
        <v>-2.0966880472765743E-2</v>
      </c>
      <c r="B34">
        <f>'Parm VaR Eq Weights'!C33</f>
        <v>-2.4516767178849923E-2</v>
      </c>
      <c r="C34">
        <f>'Parm VaR Eq Weights'!D33</f>
        <v>-1.4397208303350902E-2</v>
      </c>
      <c r="D34">
        <f>'Parm VaR Eq Weights'!E33</f>
        <v>8.3644129677769557E-3</v>
      </c>
      <c r="H34" s="60">
        <f t="shared" si="8"/>
        <v>1.2183952428538886E-4</v>
      </c>
      <c r="I34" s="60">
        <f t="shared" si="9"/>
        <v>1.3142834917263626E-4</v>
      </c>
      <c r="J34" s="60">
        <f t="shared" si="10"/>
        <v>1.3213957573107347E-4</v>
      </c>
      <c r="K34" s="60">
        <f t="shared" si="11"/>
        <v>1.393068787723592E-4</v>
      </c>
      <c r="M34" s="60">
        <f t="shared" si="12"/>
        <v>2.4274304309055465E-5</v>
      </c>
      <c r="N34" s="60">
        <f t="shared" si="13"/>
        <v>6.7227043696836621E-5</v>
      </c>
      <c r="O34" s="60">
        <f t="shared" si="14"/>
        <v>-3.2512065178609285E-5</v>
      </c>
      <c r="P34" s="60">
        <f t="shared" si="15"/>
        <v>1.713389669417659E-5</v>
      </c>
      <c r="Q34" s="60">
        <f t="shared" si="16"/>
        <v>1.0176641727406498E-5</v>
      </c>
      <c r="R34" s="60">
        <f t="shared" si="17"/>
        <v>-8.162438874647689E-6</v>
      </c>
      <c r="T34" s="27" t="s">
        <v>61</v>
      </c>
      <c r="U34" s="91">
        <v>0.2</v>
      </c>
      <c r="V34" s="92">
        <v>0.5</v>
      </c>
      <c r="W34" s="92">
        <v>0.5</v>
      </c>
      <c r="X34" s="101">
        <f>X9/(X$30*$Y34)</f>
        <v>0.99999999999999989</v>
      </c>
      <c r="Y34" s="85">
        <f>X11</f>
        <v>1.3731643468190067E-2</v>
      </c>
    </row>
    <row r="35" spans="1:25" x14ac:dyDescent="0.3">
      <c r="A35">
        <f>'Parm VaR Eq Weights'!B34</f>
        <v>2.7157255734905853E-2</v>
      </c>
      <c r="B35">
        <f>'Parm VaR Eq Weights'!C34</f>
        <v>7.9012235325685957E-3</v>
      </c>
      <c r="C35">
        <f>'Parm VaR Eq Weights'!D34</f>
        <v>-8.0923844834595946E-3</v>
      </c>
      <c r="D35">
        <f>'Parm VaR Eq Weights'!E34</f>
        <v>-4.6017065870819808E-2</v>
      </c>
      <c r="H35" s="60">
        <f t="shared" si="8"/>
        <v>1.4090575743382026E-4</v>
      </c>
      <c r="I35" s="60">
        <f t="shared" si="9"/>
        <v>1.5960696059639408E-4</v>
      </c>
      <c r="J35" s="60">
        <f t="shared" si="10"/>
        <v>1.3664797760301365E-4</v>
      </c>
      <c r="K35" s="60">
        <f t="shared" si="11"/>
        <v>1.3514627030374856E-4</v>
      </c>
      <c r="M35" s="60">
        <f t="shared" si="12"/>
        <v>5.3660253671566518E-5</v>
      </c>
      <c r="N35" s="60">
        <f t="shared" si="13"/>
        <v>8.1305293813298569E-5</v>
      </c>
      <c r="O35" s="60">
        <f t="shared" si="14"/>
        <v>-4.1083880083106604E-5</v>
      </c>
      <c r="P35" s="60">
        <f t="shared" si="15"/>
        <v>3.728424313244555E-5</v>
      </c>
      <c r="Q35" s="60">
        <f t="shared" si="16"/>
        <v>-2.7380586953623487E-6</v>
      </c>
      <c r="R35" s="60">
        <f t="shared" si="17"/>
        <v>-1.4898144292108893E-5</v>
      </c>
    </row>
    <row r="36" spans="1:25" x14ac:dyDescent="0.3">
      <c r="A36">
        <f>'Parm VaR Eq Weights'!B35</f>
        <v>-1.727630894790802E-2</v>
      </c>
      <c r="B36">
        <f>'Parm VaR Eq Weights'!C35</f>
        <v>7.9237413066462238E-3</v>
      </c>
      <c r="C36">
        <f>'Parm VaR Eq Weights'!D35</f>
        <v>1.2944729211395235E-2</v>
      </c>
      <c r="D36">
        <f>'Parm VaR Eq Weights'!E35</f>
        <v>2.4568592949008546E-3</v>
      </c>
      <c r="H36" s="60">
        <f t="shared" si="8"/>
        <v>1.7670240433085568E-4</v>
      </c>
      <c r="I36" s="60">
        <f t="shared" si="9"/>
        <v>1.5377630295930738E-4</v>
      </c>
      <c r="J36" s="60">
        <f t="shared" si="10"/>
        <v>1.3237830014452108E-4</v>
      </c>
      <c r="K36" s="60">
        <f t="shared" si="11"/>
        <v>2.5409171516708594E-4</v>
      </c>
      <c r="M36" s="60">
        <f t="shared" si="12"/>
        <v>6.3315171336829828E-5</v>
      </c>
      <c r="N36" s="60">
        <f t="shared" si="13"/>
        <v>6.3240958889150873E-5</v>
      </c>
      <c r="O36" s="60">
        <f t="shared" si="14"/>
        <v>-1.1360068083955197E-4</v>
      </c>
      <c r="P36" s="60">
        <f t="shared" si="15"/>
        <v>3.1210804221580574E-5</v>
      </c>
      <c r="Q36" s="60">
        <f t="shared" si="16"/>
        <v>-2.4389242599137464E-5</v>
      </c>
      <c r="R36" s="60">
        <f t="shared" si="17"/>
        <v>8.3390117550592818E-6</v>
      </c>
    </row>
    <row r="37" spans="1:25" x14ac:dyDescent="0.3">
      <c r="A37">
        <f>'Parm VaR Eq Weights'!B36</f>
        <v>-2.916657094698447E-3</v>
      </c>
      <c r="B37">
        <f>'Parm VaR Eq Weights'!C36</f>
        <v>-2.4952259456913737E-2</v>
      </c>
      <c r="C37">
        <f>'Parm VaR Eq Weights'!D36</f>
        <v>-1.868934533112194E-3</v>
      </c>
      <c r="D37">
        <f>'Parm VaR Eq Weights'!E36</f>
        <v>2.3658004148245204E-2</v>
      </c>
      <c r="H37" s="60">
        <f t="shared" si="8"/>
        <v>1.8400851112281835E-4</v>
      </c>
      <c r="I37" s="60">
        <f t="shared" si="9"/>
        <v>1.4831686535942803E-4</v>
      </c>
      <c r="J37" s="60">
        <f t="shared" si="10"/>
        <v>1.3448956299723076E-4</v>
      </c>
      <c r="K37" s="60">
        <f t="shared" si="11"/>
        <v>2.3920838171275722E-4</v>
      </c>
      <c r="M37" s="60">
        <f t="shared" si="12"/>
        <v>5.1302680886404798E-5</v>
      </c>
      <c r="N37" s="60">
        <f t="shared" si="13"/>
        <v>4.6028272889617377E-5</v>
      </c>
      <c r="O37" s="60">
        <f t="shared" si="14"/>
        <v>-1.0933136760239363E-4</v>
      </c>
      <c r="P37" s="60">
        <f t="shared" si="15"/>
        <v>3.5492397101626685E-5</v>
      </c>
      <c r="Q37" s="60">
        <f t="shared" si="16"/>
        <v>-2.1757836994411797E-5</v>
      </c>
      <c r="R37" s="60">
        <f t="shared" si="17"/>
        <v>9.7468737467351857E-6</v>
      </c>
      <c r="T37" s="111"/>
      <c r="U37" s="111"/>
      <c r="V37" s="110" t="s">
        <v>60</v>
      </c>
      <c r="W37" s="111"/>
      <c r="X37" s="111"/>
      <c r="Y37" s="111"/>
    </row>
    <row r="38" spans="1:25" x14ac:dyDescent="0.3">
      <c r="A38">
        <f>'Parm VaR Eq Weights'!B37</f>
        <v>1.3769718618042203E-2</v>
      </c>
      <c r="B38">
        <f>'Parm VaR Eq Weights'!C37</f>
        <v>2.359946468836637E-3</v>
      </c>
      <c r="C38">
        <f>'Parm VaR Eq Weights'!D37</f>
        <v>1.610431656115939E-2</v>
      </c>
      <c r="D38">
        <f>'Parm VaR Eq Weights'!E37</f>
        <v>-1.7435106481627504E-2</v>
      </c>
      <c r="H38" s="60">
        <f t="shared" si="8"/>
        <v>1.7347841377193254E-4</v>
      </c>
      <c r="I38" s="60">
        <f t="shared" si="9"/>
        <v>1.7677476855817084E-4</v>
      </c>
      <c r="J38" s="60">
        <f t="shared" si="10"/>
        <v>1.2662976419474046E-4</v>
      </c>
      <c r="K38" s="60">
        <f t="shared" si="11"/>
        <v>2.5843794842669507E-4</v>
      </c>
      <c r="M38" s="60">
        <f t="shared" si="12"/>
        <v>5.2591151107646346E-5</v>
      </c>
      <c r="N38" s="60">
        <f t="shared" si="13"/>
        <v>4.3593638986172054E-5</v>
      </c>
      <c r="O38" s="60">
        <f t="shared" si="14"/>
        <v>-1.0691162268497309E-4</v>
      </c>
      <c r="P38" s="60">
        <f t="shared" si="15"/>
        <v>3.616090163822117E-5</v>
      </c>
      <c r="Q38" s="60">
        <f t="shared" si="16"/>
        <v>-5.587160623913247E-5</v>
      </c>
      <c r="R38" s="60">
        <f t="shared" si="17"/>
        <v>6.5091456657010519E-6</v>
      </c>
    </row>
    <row r="39" spans="1:25" x14ac:dyDescent="0.3">
      <c r="A39">
        <f>'Parm VaR Eq Weights'!B38</f>
        <v>-2.2337423419752329E-2</v>
      </c>
      <c r="B39">
        <f>'Parm VaR Eq Weights'!C38</f>
        <v>2.8816552851377046E-3</v>
      </c>
      <c r="C39">
        <f>'Parm VaR Eq Weights'!D38</f>
        <v>-8.6758251650501574E-3</v>
      </c>
      <c r="D39">
        <f>'Parm VaR Eq Weights'!E38</f>
        <v>4.0305102390122555E-3</v>
      </c>
      <c r="H39" s="60">
        <f t="shared" si="8"/>
        <v>1.7444601799482007E-4</v>
      </c>
      <c r="I39" s="60">
        <f t="shared" si="9"/>
        <v>1.6650244328482704E-4</v>
      </c>
      <c r="J39" s="60">
        <f t="shared" si="10"/>
        <v>1.3459291905717799E-4</v>
      </c>
      <c r="K39" s="60">
        <f t="shared" si="11"/>
        <v>2.6117064780263474E-4</v>
      </c>
      <c r="M39" s="60">
        <f t="shared" si="12"/>
        <v>5.1385429970958933E-5</v>
      </c>
      <c r="N39" s="60">
        <f t="shared" si="13"/>
        <v>5.4283135101984249E-5</v>
      </c>
      <c r="O39" s="60">
        <f t="shared" si="14"/>
        <v>-1.1490151594353158E-4</v>
      </c>
      <c r="P39" s="60">
        <f t="shared" si="15"/>
        <v>3.6271567040020033E-5</v>
      </c>
      <c r="Q39" s="60">
        <f t="shared" si="16"/>
        <v>-5.4988064943290975E-5</v>
      </c>
      <c r="R39" s="60">
        <f t="shared" si="17"/>
        <v>-1.0728231517700101E-5</v>
      </c>
      <c r="U39" s="79" t="s">
        <v>0</v>
      </c>
      <c r="V39" s="80" t="s">
        <v>63</v>
      </c>
      <c r="W39" s="80" t="s">
        <v>64</v>
      </c>
      <c r="X39" s="80" t="s">
        <v>61</v>
      </c>
    </row>
    <row r="40" spans="1:25" x14ac:dyDescent="0.3">
      <c r="A40">
        <f>'Parm VaR Eq Weights'!B39</f>
        <v>1.2614865708684865E-2</v>
      </c>
      <c r="B40">
        <f>'Parm VaR Eq Weights'!C39</f>
        <v>-2.1915439795392906E-2</v>
      </c>
      <c r="C40">
        <f>'Parm VaR Eq Weights'!D39</f>
        <v>-3.0670876370108113E-3</v>
      </c>
      <c r="D40">
        <f>'Parm VaR Eq Weights'!E39</f>
        <v>1.7052944234978225E-2</v>
      </c>
      <c r="H40" s="60">
        <f t="shared" si="8"/>
        <v>1.9391688601712886E-4</v>
      </c>
      <c r="I40" s="60">
        <f t="shared" si="9"/>
        <v>1.5701053291867912E-4</v>
      </c>
      <c r="J40" s="60">
        <f t="shared" si="10"/>
        <v>1.3103354045141836E-4</v>
      </c>
      <c r="K40" s="60">
        <f t="shared" si="11"/>
        <v>2.4647510970168362E-4</v>
      </c>
      <c r="M40" s="60">
        <f t="shared" si="12"/>
        <v>4.4440178917468109E-5</v>
      </c>
      <c r="N40" s="60">
        <f t="shared" si="13"/>
        <v>6.2653881809513279E-5</v>
      </c>
      <c r="O40" s="60">
        <f t="shared" si="14"/>
        <v>-1.1340929781530751E-4</v>
      </c>
      <c r="P40" s="60">
        <f t="shared" si="15"/>
        <v>3.2595228771230979E-5</v>
      </c>
      <c r="Q40" s="60">
        <f t="shared" si="16"/>
        <v>-5.0991908578770434E-5</v>
      </c>
      <c r="R40" s="60">
        <f t="shared" si="17"/>
        <v>-1.2182617756214987E-5</v>
      </c>
      <c r="T40" s="81" t="s">
        <v>12</v>
      </c>
      <c r="U40" s="57">
        <v>4000</v>
      </c>
      <c r="V40" s="57">
        <v>3000</v>
      </c>
      <c r="W40" s="57">
        <v>1000</v>
      </c>
      <c r="X40" s="57">
        <v>2000</v>
      </c>
      <c r="Y40" s="82" t="s">
        <v>12</v>
      </c>
    </row>
    <row r="41" spans="1:25" x14ac:dyDescent="0.3">
      <c r="A41">
        <f>'Parm VaR Eq Weights'!B40</f>
        <v>1.1566482650942907E-2</v>
      </c>
      <c r="B41">
        <f>'Parm VaR Eq Weights'!C40</f>
        <v>1.1052319938507343E-2</v>
      </c>
      <c r="C41">
        <f>'Parm VaR Eq Weights'!D40</f>
        <v>2.6796998653842288E-2</v>
      </c>
      <c r="D41">
        <f>'Parm VaR Eq Weights'!E40</f>
        <v>-4.4163279413824506E-3</v>
      </c>
      <c r="H41" s="60">
        <f t="shared" si="8"/>
        <v>1.9182996306699033E-4</v>
      </c>
      <c r="I41" s="60">
        <f t="shared" si="9"/>
        <v>1.7640709102908787E-4</v>
      </c>
      <c r="J41" s="60">
        <f t="shared" si="10"/>
        <v>1.2373594961871952E-4</v>
      </c>
      <c r="K41" s="60">
        <f t="shared" si="11"/>
        <v>2.4913477754445924E-4</v>
      </c>
      <c r="M41" s="60">
        <f t="shared" si="12"/>
        <v>2.5186148384481025E-5</v>
      </c>
      <c r="N41" s="60">
        <f t="shared" si="13"/>
        <v>5.6573194981482933E-5</v>
      </c>
      <c r="O41" s="60">
        <f t="shared" si="14"/>
        <v>-9.3697503858672525E-5</v>
      </c>
      <c r="P41" s="60">
        <f t="shared" si="15"/>
        <v>3.4672509512323381E-5</v>
      </c>
      <c r="Q41" s="60">
        <f t="shared" si="16"/>
        <v>-7.0355760426995704E-5</v>
      </c>
      <c r="R41" s="60">
        <f t="shared" si="17"/>
        <v>-1.4589833157106281E-5</v>
      </c>
      <c r="T41" s="83" t="s">
        <v>0</v>
      </c>
      <c r="U41" s="96">
        <v>4.8007711330690529E-4</v>
      </c>
      <c r="V41" s="66">
        <f>U42</f>
        <v>8.1055243136759209E-5</v>
      </c>
      <c r="W41" s="66">
        <f>U43</f>
        <v>6.223349358496836E-5</v>
      </c>
      <c r="X41" s="67">
        <f>U44</f>
        <v>2.2048861919691659E-5</v>
      </c>
      <c r="Y41" s="78">
        <v>4000</v>
      </c>
    </row>
    <row r="42" spans="1:25" x14ac:dyDescent="0.3">
      <c r="A42">
        <f>'Parm VaR Eq Weights'!B41</f>
        <v>6.8628638535740676E-3</v>
      </c>
      <c r="B42">
        <f>'Parm VaR Eq Weights'!C41</f>
        <v>1.2887968012323635E-2</v>
      </c>
      <c r="C42">
        <f>'Parm VaR Eq Weights'!D41</f>
        <v>-1.0351983693067078E-2</v>
      </c>
      <c r="D42">
        <f>'Parm VaR Eq Weights'!E41</f>
        <v>-5.2613894455468321E-3</v>
      </c>
      <c r="H42" s="60">
        <f t="shared" si="8"/>
        <v>1.883471765378447E-4</v>
      </c>
      <c r="I42" s="60">
        <f t="shared" si="9"/>
        <v>1.7315189212873021E-4</v>
      </c>
      <c r="J42" s="60">
        <f t="shared" si="10"/>
        <v>1.593965408528379E-4</v>
      </c>
      <c r="K42" s="60">
        <f t="shared" si="11"/>
        <v>2.353569280409418E-4</v>
      </c>
      <c r="M42" s="60">
        <f t="shared" si="12"/>
        <v>3.1345167490697105E-5</v>
      </c>
      <c r="N42" s="60">
        <f t="shared" si="13"/>
        <v>7.1775624484214418E-5</v>
      </c>
      <c r="O42" s="60">
        <f t="shared" si="14"/>
        <v>-9.1140536458044651E-5</v>
      </c>
      <c r="P42" s="60">
        <f t="shared" si="15"/>
        <v>5.036229909242493E-5</v>
      </c>
      <c r="Q42" s="60">
        <f t="shared" si="16"/>
        <v>-6.9063054963067666E-5</v>
      </c>
      <c r="R42" s="60">
        <f t="shared" si="17"/>
        <v>-2.0815103201689005E-5</v>
      </c>
      <c r="T42" s="27" t="s">
        <v>63</v>
      </c>
      <c r="U42" s="68">
        <f>U32*SQRT(U6)*SQRT(V7)</f>
        <v>8.1055243136759209E-5</v>
      </c>
      <c r="V42" s="97">
        <v>1.0313773769158045E-3</v>
      </c>
      <c r="W42" s="69">
        <f>V43</f>
        <v>6.6896399277057819E-5</v>
      </c>
      <c r="X42" s="70">
        <f>V44</f>
        <v>8.6646292743879861E-5</v>
      </c>
      <c r="Y42" s="78">
        <v>3000</v>
      </c>
    </row>
    <row r="43" spans="1:25" x14ac:dyDescent="0.3">
      <c r="A43">
        <f>'Parm VaR Eq Weights'!B42</f>
        <v>-2.1920248708528507E-2</v>
      </c>
      <c r="B43">
        <f>'Parm VaR Eq Weights'!C42</f>
        <v>1.6512308629893061E-2</v>
      </c>
      <c r="C43">
        <f>'Parm VaR Eq Weights'!D42</f>
        <v>-4.5257073829467016E-3</v>
      </c>
      <c r="D43">
        <f>'Parm VaR Eq Weights'!E42</f>
        <v>3.7476119033054054E-3</v>
      </c>
      <c r="H43" s="60">
        <f t="shared" si="8"/>
        <v>1.7987227996193563E-4</v>
      </c>
      <c r="I43" s="60">
        <f t="shared" si="9"/>
        <v>1.7272876177020703E-4</v>
      </c>
      <c r="J43" s="60">
        <f t="shared" si="10"/>
        <v>1.5626256238455923E-4</v>
      </c>
      <c r="K43" s="60">
        <f t="shared" si="11"/>
        <v>2.2289644549234797E-4</v>
      </c>
      <c r="M43" s="60">
        <f t="shared" si="12"/>
        <v>3.4771359630322961E-5</v>
      </c>
      <c r="N43" s="60">
        <f t="shared" si="13"/>
        <v>6.3206431733165241E-5</v>
      </c>
      <c r="O43" s="60">
        <f t="shared" si="14"/>
        <v>-8.7838596237287131E-5</v>
      </c>
      <c r="P43" s="60">
        <f t="shared" si="15"/>
        <v>3.9335599064858757E-5</v>
      </c>
      <c r="Q43" s="60">
        <f t="shared" si="16"/>
        <v>-6.89877887977587E-5</v>
      </c>
      <c r="R43" s="60">
        <f t="shared" si="17"/>
        <v>-1.62982479449971E-5</v>
      </c>
      <c r="T43" s="27" t="s">
        <v>64</v>
      </c>
      <c r="U43" s="68">
        <f>U33*SQRT(U6)*SQRT(W8)</f>
        <v>6.223349358496836E-5</v>
      </c>
      <c r="V43" s="69">
        <f>V33*SQRT(V7)*SQRT(W8)</f>
        <v>6.6896399277057819E-5</v>
      </c>
      <c r="W43" s="97">
        <v>9.535443753330915E-4</v>
      </c>
      <c r="X43" s="70">
        <f>W44</f>
        <v>6.6526251664429171E-5</v>
      </c>
      <c r="Y43" s="78">
        <v>1000</v>
      </c>
    </row>
    <row r="44" spans="1:25" x14ac:dyDescent="0.3">
      <c r="A44">
        <f>'Parm VaR Eq Weights'!B43</f>
        <v>3.3365487399586108E-3</v>
      </c>
      <c r="B44">
        <f>'Parm VaR Eq Weights'!C43</f>
        <v>5.4987839629377861E-3</v>
      </c>
      <c r="C44">
        <f>'Parm VaR Eq Weights'!D43</f>
        <v>1.3624384412075695E-2</v>
      </c>
      <c r="D44">
        <f>'Parm VaR Eq Weights'!E43</f>
        <v>4.1927101967357133E-3</v>
      </c>
      <c r="H44" s="60">
        <f t="shared" si="8"/>
        <v>1.9790978137084424E-4</v>
      </c>
      <c r="I44" s="60">
        <f t="shared" si="9"/>
        <v>1.7872441624132508E-4</v>
      </c>
      <c r="J44" s="60">
        <f t="shared" si="10"/>
        <v>1.4811573028044916E-4</v>
      </c>
      <c r="K44" s="60">
        <f t="shared" si="11"/>
        <v>2.1036533446147486E-4</v>
      </c>
      <c r="M44" s="60">
        <f t="shared" si="12"/>
        <v>1.0967843337349317E-5</v>
      </c>
      <c r="N44" s="60">
        <f t="shared" si="13"/>
        <v>6.5366323714148258E-5</v>
      </c>
      <c r="O44" s="60">
        <f t="shared" si="14"/>
        <v>-8.7497195562059676E-5</v>
      </c>
      <c r="P44" s="60">
        <f t="shared" si="15"/>
        <v>3.2491670496419133E-5</v>
      </c>
      <c r="Q44" s="60">
        <f t="shared" si="16"/>
        <v>-6.1135618007546779E-5</v>
      </c>
      <c r="R44" s="60">
        <f t="shared" si="17"/>
        <v>-1.6337988759849769E-5</v>
      </c>
      <c r="T44" s="27" t="s">
        <v>61</v>
      </c>
      <c r="U44" s="71">
        <f>U34*SQRT(U6)*SQRT(X9)</f>
        <v>2.2048861919691659E-5</v>
      </c>
      <c r="V44" s="72">
        <f>V34*SQRT(V7)*SQRT(X9)</f>
        <v>8.6646292743879861E-5</v>
      </c>
      <c r="W44" s="72">
        <f>W34*SQRT(W8)*SQRT(X9)</f>
        <v>6.6526251664429171E-5</v>
      </c>
      <c r="X44" s="98">
        <v>2.5410872838249561E-4</v>
      </c>
      <c r="Y44" s="78">
        <v>2000</v>
      </c>
    </row>
    <row r="45" spans="1:25" x14ac:dyDescent="0.3">
      <c r="A45">
        <f>'Parm VaR Eq Weights'!B44</f>
        <v>1.672695375406473E-2</v>
      </c>
      <c r="B45">
        <f>'Parm VaR Eq Weights'!C44</f>
        <v>-2.1500505695487672E-3</v>
      </c>
      <c r="C45">
        <f>'Parm VaR Eq Weights'!D44</f>
        <v>-1.3280255547457877E-2</v>
      </c>
      <c r="D45">
        <f>'Parm VaR Eq Weights'!E44</f>
        <v>-9.095168407275013E-3</v>
      </c>
      <c r="H45" s="60">
        <f t="shared" si="8"/>
        <v>1.8670314793824074E-4</v>
      </c>
      <c r="I45" s="60">
        <f t="shared" si="9"/>
        <v>1.6981514877110926E-4</v>
      </c>
      <c r="J45" s="60">
        <f t="shared" si="10"/>
        <v>1.5036621750010289E-4</v>
      </c>
      <c r="K45" s="60">
        <f t="shared" si="11"/>
        <v>1.9879814352141505E-4</v>
      </c>
      <c r="M45" s="60">
        <f t="shared" si="12"/>
        <v>1.1410590379279041E-5</v>
      </c>
      <c r="N45" s="60">
        <f t="shared" si="13"/>
        <v>6.4171849649868738E-5</v>
      </c>
      <c r="O45" s="60">
        <f t="shared" si="14"/>
        <v>-8.1408012912900272E-5</v>
      </c>
      <c r="P45" s="60">
        <f t="shared" si="15"/>
        <v>3.503722305723527E-5</v>
      </c>
      <c r="Q45" s="60">
        <f t="shared" si="16"/>
        <v>-5.6084192471630607E-5</v>
      </c>
      <c r="R45" s="60">
        <f t="shared" si="17"/>
        <v>-1.1930323707333365E-5</v>
      </c>
    </row>
    <row r="46" spans="1:25" x14ac:dyDescent="0.3">
      <c r="A46">
        <f>'Parm VaR Eq Weights'!B45</f>
        <v>-5.5253645656476204E-3</v>
      </c>
      <c r="B46">
        <f>'Parm VaR Eq Weights'!C45</f>
        <v>-7.4270152008351241E-4</v>
      </c>
      <c r="C46">
        <f>'Parm VaR Eq Weights'!D45</f>
        <v>4.0393873709264859E-3</v>
      </c>
      <c r="D46">
        <f>'Parm VaR Eq Weights'!E45</f>
        <v>5.6388740192188152E-3</v>
      </c>
      <c r="H46" s="60">
        <f t="shared" si="8"/>
        <v>1.9228841797538348E-4</v>
      </c>
      <c r="I46" s="60">
        <f t="shared" si="9"/>
        <v>1.5990360289193972E-4</v>
      </c>
      <c r="J46" s="60">
        <f t="shared" si="10"/>
        <v>1.5192615569444386E-4</v>
      </c>
      <c r="K46" s="60">
        <f t="shared" si="11"/>
        <v>1.9183358021153177E-4</v>
      </c>
      <c r="M46" s="60">
        <f t="shared" si="12"/>
        <v>8.5681271697777295E-6</v>
      </c>
      <c r="N46" s="60">
        <f t="shared" si="13"/>
        <v>4.6993245447807223E-5</v>
      </c>
      <c r="O46" s="60">
        <f t="shared" si="14"/>
        <v>-8.5651599818161432E-5</v>
      </c>
      <c r="P46" s="60">
        <f t="shared" si="15"/>
        <v>3.4648182934015047E-5</v>
      </c>
      <c r="Q46" s="60">
        <f t="shared" si="16"/>
        <v>-5.1545836602480545E-5</v>
      </c>
      <c r="R46" s="60">
        <f t="shared" si="17"/>
        <v>-3.967334643146699E-6</v>
      </c>
      <c r="T46" s="52" t="s">
        <v>71</v>
      </c>
      <c r="U46" s="94">
        <f t="array" ref="U46">MMULT(MMULT(U40:X40,U41:X44),Y41:Y44)</f>
        <v>23436.823983939452</v>
      </c>
    </row>
    <row r="47" spans="1:25" x14ac:dyDescent="0.3">
      <c r="A47">
        <f>'Parm VaR Eq Weights'!B46</f>
        <v>8.2507501303063745E-3</v>
      </c>
      <c r="B47">
        <f>'Parm VaR Eq Weights'!C46</f>
        <v>-1.599535584993398E-2</v>
      </c>
      <c r="C47">
        <f>'Parm VaR Eq Weights'!D46</f>
        <v>3.6965202995063637E-3</v>
      </c>
      <c r="D47">
        <f>'Parm VaR Eq Weights'!E46</f>
        <v>6.0267598747303095E-3</v>
      </c>
      <c r="H47" s="60">
        <f t="shared" si="8"/>
        <v>1.8258289211185933E-4</v>
      </c>
      <c r="I47" s="60">
        <f t="shared" si="9"/>
        <v>1.5034248305129938E-4</v>
      </c>
      <c r="J47" s="60">
        <f t="shared" si="10"/>
        <v>1.4378958537272126E-4</v>
      </c>
      <c r="K47" s="60">
        <f t="shared" si="11"/>
        <v>1.8223137941111709E-4</v>
      </c>
      <c r="M47" s="60">
        <f t="shared" si="12"/>
        <v>8.3002613393063883E-6</v>
      </c>
      <c r="N47" s="60">
        <f t="shared" si="13"/>
        <v>4.2834505450164284E-5</v>
      </c>
      <c r="O47" s="60">
        <f t="shared" si="14"/>
        <v>-8.2381913910828305E-5</v>
      </c>
      <c r="P47" s="60">
        <f t="shared" si="15"/>
        <v>3.2389288409538545E-5</v>
      </c>
      <c r="Q47" s="60">
        <f t="shared" si="16"/>
        <v>-4.87043664246697E-5</v>
      </c>
      <c r="R47" s="60">
        <f t="shared" si="17"/>
        <v>-2.362638774589218E-6</v>
      </c>
      <c r="T47" s="52" t="s">
        <v>72</v>
      </c>
      <c r="U47" s="94">
        <f>SQRT(U46)</f>
        <v>153.09090104881952</v>
      </c>
    </row>
    <row r="48" spans="1:25" x14ac:dyDescent="0.3">
      <c r="A48">
        <f>'Parm VaR Eq Weights'!B47</f>
        <v>-2.8866253360058944E-3</v>
      </c>
      <c r="B48">
        <f>'Parm VaR Eq Weights'!C47</f>
        <v>-8.3402581081575659E-3</v>
      </c>
      <c r="C48">
        <f>'Parm VaR Eq Weights'!D47</f>
        <v>-7.466244095854396E-3</v>
      </c>
      <c r="D48">
        <f>'Parm VaR Eq Weights'!E47</f>
        <v>-7.9081411975668765E-3</v>
      </c>
      <c r="H48" s="60">
        <f t="shared" si="8"/>
        <v>1.757124112479128E-4</v>
      </c>
      <c r="I48" s="60">
        <f t="shared" si="9"/>
        <v>1.5667301859418245E-4</v>
      </c>
      <c r="J48" s="60">
        <f t="shared" si="10"/>
        <v>1.3598206598983774E-4</v>
      </c>
      <c r="K48" s="60">
        <f t="shared" si="11"/>
        <v>1.7347680672170963E-4</v>
      </c>
      <c r="M48" s="60">
        <f t="shared" si="12"/>
        <v>-1.1617540284037799E-7</v>
      </c>
      <c r="N48" s="60">
        <f t="shared" si="13"/>
        <v>4.2094379043724366E-5</v>
      </c>
      <c r="O48" s="60">
        <f t="shared" si="14"/>
        <v>-7.4455481686873213E-5</v>
      </c>
      <c r="P48" s="60">
        <f t="shared" si="15"/>
        <v>2.68983016491397E-5</v>
      </c>
      <c r="Q48" s="60">
        <f t="shared" si="16"/>
        <v>-5.1566114568294414E-5</v>
      </c>
      <c r="R48" s="60">
        <f t="shared" si="17"/>
        <v>-8.8419803508240266E-7</v>
      </c>
      <c r="T48" s="52" t="s">
        <v>87</v>
      </c>
      <c r="U48" s="120">
        <f t="array" ref="U48">MDETERM(U41:X44)</f>
        <v>1.1171109977107403E-13</v>
      </c>
    </row>
    <row r="49" spans="1:18" x14ac:dyDescent="0.3">
      <c r="A49">
        <f>'Parm VaR Eq Weights'!B48</f>
        <v>8.1090383626311411E-3</v>
      </c>
      <c r="B49">
        <f>'Parm VaR Eq Weights'!C48</f>
        <v>7.3679220962819961E-3</v>
      </c>
      <c r="C49">
        <f>'Parm VaR Eq Weights'!D48</f>
        <v>8.3553081788827893E-3</v>
      </c>
      <c r="D49">
        <f>'Parm VaR Eq Weights'!E48</f>
        <v>3.9560373740605923E-3</v>
      </c>
      <c r="H49" s="60">
        <f t="shared" si="8"/>
        <v>1.656696229228663E-4</v>
      </c>
      <c r="I49" s="60">
        <f t="shared" si="9"/>
        <v>1.5144623179717278E-4</v>
      </c>
      <c r="J49" s="60">
        <f t="shared" si="10"/>
        <v>1.3116783008438031E-4</v>
      </c>
      <c r="K49" s="60">
        <f t="shared" si="11"/>
        <v>1.6682052015044632E-4</v>
      </c>
      <c r="M49" s="60">
        <f t="shared" si="12"/>
        <v>1.3353071431602192E-6</v>
      </c>
      <c r="N49" s="60">
        <f t="shared" si="13"/>
        <v>4.0861851263414767E-5</v>
      </c>
      <c r="O49" s="60">
        <f t="shared" si="14"/>
        <v>-6.8618482341164296E-5</v>
      </c>
      <c r="P49" s="60">
        <f t="shared" si="15"/>
        <v>2.9020627721667313E-5</v>
      </c>
      <c r="Q49" s="60">
        <f t="shared" si="16"/>
        <v>-4.4514791369589015E-5</v>
      </c>
      <c r="R49" s="60">
        <f t="shared" si="17"/>
        <v>2.7115005985535412E-6</v>
      </c>
    </row>
    <row r="50" spans="1:18" x14ac:dyDescent="0.3">
      <c r="A50">
        <f>'Parm VaR Eq Weights'!B49</f>
        <v>1.0661504817983032E-2</v>
      </c>
      <c r="B50">
        <f>'Parm VaR Eq Weights'!C49</f>
        <v>1.4006932745568948E-2</v>
      </c>
      <c r="C50">
        <f>'Parm VaR Eq Weights'!D49</f>
        <v>-3.6688223760543686E-3</v>
      </c>
      <c r="D50">
        <f>'Parm VaR Eq Weights'!E49</f>
        <v>1.0127911012143826E-2</v>
      </c>
      <c r="H50" s="60">
        <f t="shared" si="8"/>
        <v>1.5967483573749172E-4</v>
      </c>
      <c r="I50" s="60">
        <f t="shared" si="9"/>
        <v>1.4561663445035523E-4</v>
      </c>
      <c r="J50" s="60">
        <f t="shared" si="10"/>
        <v>1.2748643076516383E-4</v>
      </c>
      <c r="K50" s="60">
        <f t="shared" si="11"/>
        <v>1.577503028437174E-4</v>
      </c>
      <c r="M50" s="60">
        <f t="shared" si="12"/>
        <v>4.8399944904683105E-6</v>
      </c>
      <c r="N50" s="60">
        <f t="shared" si="13"/>
        <v>4.2475351060859862E-5</v>
      </c>
      <c r="O50" s="60">
        <f t="shared" si="14"/>
        <v>-6.2576593870878843E-5</v>
      </c>
      <c r="P50" s="60">
        <f t="shared" si="15"/>
        <v>3.0973065643513448E-5</v>
      </c>
      <c r="Q50" s="60">
        <f t="shared" si="16"/>
        <v>-4.0095037376490163E-5</v>
      </c>
      <c r="R50" s="60">
        <f t="shared" si="17"/>
        <v>4.532045248287598E-6</v>
      </c>
    </row>
    <row r="51" spans="1:18" x14ac:dyDescent="0.3">
      <c r="A51">
        <f>'Parm VaR Eq Weights'!B50</f>
        <v>8.3136580055207887E-4</v>
      </c>
      <c r="B51">
        <f>'Parm VaR Eq Weights'!C50</f>
        <v>-9.447219727463492E-3</v>
      </c>
      <c r="C51">
        <f>'Parm VaR Eq Weights'!D50</f>
        <v>2.1513085031992733E-3</v>
      </c>
      <c r="D51">
        <f>'Parm VaR Eq Weights'!E50</f>
        <v>-5.9190721787110215E-4</v>
      </c>
      <c r="H51" s="60">
        <f t="shared" si="8"/>
        <v>1.5691440669227474E-4</v>
      </c>
      <c r="I51" s="60">
        <f t="shared" si="9"/>
        <v>1.4865128627966742E-4</v>
      </c>
      <c r="J51" s="60">
        <f t="shared" si="10"/>
        <v>1.2064486037687624E-4</v>
      </c>
      <c r="K51" s="60">
        <f t="shared" si="11"/>
        <v>1.544397595612886E-4</v>
      </c>
      <c r="M51" s="60">
        <f t="shared" si="12"/>
        <v>1.3509693678163078E-5</v>
      </c>
      <c r="N51" s="60">
        <f t="shared" si="13"/>
        <v>3.7579919950890612E-5</v>
      </c>
      <c r="O51" s="60">
        <f t="shared" si="14"/>
        <v>-5.2343271915501614E-5</v>
      </c>
      <c r="P51" s="60">
        <f t="shared" si="15"/>
        <v>2.6031344808292716E-5</v>
      </c>
      <c r="Q51" s="60">
        <f t="shared" si="16"/>
        <v>-2.9177677029888402E-5</v>
      </c>
      <c r="R51" s="60">
        <f t="shared" si="17"/>
        <v>2.0306721407478971E-6</v>
      </c>
    </row>
    <row r="52" spans="1:18" x14ac:dyDescent="0.3">
      <c r="A52">
        <f>'Parm VaR Eq Weights'!B51</f>
        <v>-5.7261247757898117E-3</v>
      </c>
      <c r="B52">
        <f>'Parm VaR Eq Weights'!C51</f>
        <v>-5.3891744411887054E-3</v>
      </c>
      <c r="C52">
        <f>'Parm VaR Eq Weights'!D51</f>
        <v>-4.8043261655337823E-3</v>
      </c>
      <c r="D52">
        <f>'Parm VaR Eq Weights'!E51</f>
        <v>7.0642562798153719E-3</v>
      </c>
      <c r="H52" s="60">
        <f t="shared" si="8"/>
        <v>1.4754101243639789E-4</v>
      </c>
      <c r="I52" s="60">
        <f t="shared" si="9"/>
        <v>1.4508720673762589E-4</v>
      </c>
      <c r="J52" s="60">
        <f t="shared" si="10"/>
        <v>1.1368385645081991E-4</v>
      </c>
      <c r="K52" s="60">
        <f t="shared" si="11"/>
        <v>1.4519439523688534E-4</v>
      </c>
      <c r="M52" s="60">
        <f t="shared" si="12"/>
        <v>1.2227866333970447E-5</v>
      </c>
      <c r="N52" s="60">
        <f t="shared" si="13"/>
        <v>3.5432436212796979E-5</v>
      </c>
      <c r="O52" s="60">
        <f t="shared" si="14"/>
        <v>-4.923220108565379E-5</v>
      </c>
      <c r="P52" s="60">
        <f t="shared" si="15"/>
        <v>2.3250031071918106E-5</v>
      </c>
      <c r="Q52" s="60">
        <f t="shared" si="16"/>
        <v>-2.7091503755365102E-5</v>
      </c>
      <c r="R52" s="60">
        <f t="shared" si="17"/>
        <v>1.8324293104483553E-6</v>
      </c>
    </row>
    <row r="53" spans="1:18" x14ac:dyDescent="0.3">
      <c r="A53">
        <f>'Parm VaR Eq Weights'!B52</f>
        <v>-8.536532212991688E-3</v>
      </c>
      <c r="B53">
        <f>'Parm VaR Eq Weights'!C52</f>
        <v>1.262096878686089E-2</v>
      </c>
      <c r="C53">
        <f>'Parm VaR Eq Weights'!D52</f>
        <v>-6.4187176332836733E-4</v>
      </c>
      <c r="D53">
        <f>'Parm VaR Eq Weights'!E52</f>
        <v>1.0289005055137192E-2</v>
      </c>
      <c r="H53" s="60">
        <f t="shared" si="8"/>
        <v>1.4065586198708883E-4</v>
      </c>
      <c r="I53" s="60">
        <f t="shared" si="9"/>
        <v>1.3812456640282205E-4</v>
      </c>
      <c r="J53" s="60">
        <f t="shared" si="10"/>
        <v>1.0824771805806065E-4</v>
      </c>
      <c r="K53" s="60">
        <f t="shared" si="11"/>
        <v>1.3947695452988689E-4</v>
      </c>
      <c r="M53" s="60">
        <f t="shared" si="12"/>
        <v>1.3345739471256851E-5</v>
      </c>
      <c r="N53" s="60">
        <f t="shared" si="13"/>
        <v>3.4957100305275456E-5</v>
      </c>
      <c r="O53" s="60">
        <f t="shared" si="14"/>
        <v>-4.8705317794897333E-5</v>
      </c>
      <c r="P53" s="60">
        <f t="shared" si="15"/>
        <v>2.3408510314308748E-5</v>
      </c>
      <c r="Q53" s="60">
        <f t="shared" si="16"/>
        <v>-2.7750244093394467E-5</v>
      </c>
      <c r="R53" s="60">
        <f t="shared" si="17"/>
        <v>-3.1385592528774744E-7</v>
      </c>
    </row>
    <row r="54" spans="1:18" x14ac:dyDescent="0.3">
      <c r="A54">
        <f>'Parm VaR Eq Weights'!B53</f>
        <v>5.6231510713566087E-5</v>
      </c>
      <c r="B54">
        <f>'Parm VaR Eq Weights'!C53</f>
        <v>-1.0056385530561424E-2</v>
      </c>
      <c r="C54">
        <f>'Parm VaR Eq Weights'!D53</f>
        <v>-7.1574501499120672E-3</v>
      </c>
      <c r="D54">
        <f>'Parm VaR Eq Weights'!E53</f>
        <v>-3.0443519542964867E-3</v>
      </c>
      <c r="H54" s="60">
        <f t="shared" si="8"/>
        <v>1.3658885320127017E-4</v>
      </c>
      <c r="I54" s="60">
        <f t="shared" si="9"/>
        <v>1.3939442360578775E-4</v>
      </c>
      <c r="J54" s="60">
        <f t="shared" si="10"/>
        <v>1.0177757493621051E-4</v>
      </c>
      <c r="K54" s="60">
        <f t="shared" si="11"/>
        <v>1.3746015475957199E-4</v>
      </c>
      <c r="M54" s="60">
        <f t="shared" si="12"/>
        <v>6.0806367064893968E-6</v>
      </c>
      <c r="N54" s="60">
        <f t="shared" si="13"/>
        <v>3.318843582601467E-5</v>
      </c>
      <c r="O54" s="60">
        <f t="shared" si="14"/>
        <v>-5.1052944112772267E-5</v>
      </c>
      <c r="P54" s="60">
        <f t="shared" si="15"/>
        <v>2.1517937086042143E-5</v>
      </c>
      <c r="Q54" s="60">
        <f t="shared" si="16"/>
        <v>-1.8293796748866365E-5</v>
      </c>
      <c r="R54" s="60">
        <f t="shared" si="17"/>
        <v>-6.9127787882860666E-7</v>
      </c>
    </row>
    <row r="55" spans="1:18" x14ac:dyDescent="0.3">
      <c r="A55">
        <f>'Parm VaR Eq Weights'!B54</f>
        <v>-1.3380561466416821E-2</v>
      </c>
      <c r="B55">
        <f>'Parm VaR Eq Weights'!C54</f>
        <v>-5.1627017632589573E-3</v>
      </c>
      <c r="C55">
        <f>'Parm VaR Eq Weights'!D54</f>
        <v>-1.0156547942545141E-2</v>
      </c>
      <c r="D55">
        <f>'Parm VaR Eq Weights'!E54</f>
        <v>-2.641598978530784E-3</v>
      </c>
      <c r="H55" s="60">
        <f t="shared" si="8"/>
        <v>1.2839371172816179E-4</v>
      </c>
      <c r="I55" s="60">
        <f t="shared" si="9"/>
        <v>1.370986115857976E-4</v>
      </c>
      <c r="J55" s="60">
        <f t="shared" si="10"/>
        <v>9.8744665998946464E-5</v>
      </c>
      <c r="K55" s="60">
        <f t="shared" si="11"/>
        <v>1.2976863020329541E-4</v>
      </c>
      <c r="M55" s="60">
        <f t="shared" si="12"/>
        <v>5.6818693590579422E-6</v>
      </c>
      <c r="N55" s="60">
        <f t="shared" si="13"/>
        <v>3.1172981222366588E-5</v>
      </c>
      <c r="O55" s="60">
        <f t="shared" si="14"/>
        <v>-4.8000038776577958E-5</v>
      </c>
      <c r="P55" s="60">
        <f t="shared" si="15"/>
        <v>2.4545545548277041E-5</v>
      </c>
      <c r="Q55" s="60">
        <f t="shared" si="16"/>
        <v>-1.5359258327346967E-5</v>
      </c>
      <c r="R55" s="60">
        <f t="shared" si="17"/>
        <v>6.5758663500097988E-7</v>
      </c>
    </row>
    <row r="56" spans="1:18" x14ac:dyDescent="0.3">
      <c r="A56">
        <f>'Parm VaR Eq Weights'!B55</f>
        <v>1.8370592780630175E-3</v>
      </c>
      <c r="B56">
        <f>'Parm VaR Eq Weights'!C55</f>
        <v>-5.1894935708678147E-3</v>
      </c>
      <c r="C56">
        <f>'Parm VaR Eq Weights'!D55</f>
        <v>1.163810906019439E-2</v>
      </c>
      <c r="D56">
        <f>'Parm VaR Eq Weights'!E55</f>
        <v>-5.0362034121570725E-4</v>
      </c>
      <c r="H56" s="60">
        <f t="shared" si="8"/>
        <v>1.3143245453386561E-4</v>
      </c>
      <c r="I56" s="60">
        <f t="shared" si="9"/>
        <v>1.3047190426043116E-4</v>
      </c>
      <c r="J56" s="60">
        <f t="shared" si="10"/>
        <v>9.9009314005562749E-5</v>
      </c>
      <c r="K56" s="60">
        <f t="shared" si="11"/>
        <v>1.2240119510090018E-4</v>
      </c>
      <c r="M56" s="60">
        <f t="shared" si="12"/>
        <v>9.4857480940783682E-6</v>
      </c>
      <c r="N56" s="60">
        <f t="shared" si="13"/>
        <v>3.7456621190934671E-5</v>
      </c>
      <c r="O56" s="60">
        <f t="shared" si="14"/>
        <v>-4.2999271799871976E-5</v>
      </c>
      <c r="P56" s="60">
        <f t="shared" si="15"/>
        <v>2.6218926493676536E-5</v>
      </c>
      <c r="Q56" s="60">
        <f t="shared" si="16"/>
        <v>-1.3619435565449112E-5</v>
      </c>
      <c r="R56" s="60">
        <f t="shared" si="17"/>
        <v>2.2279030371264931E-6</v>
      </c>
    </row>
    <row r="57" spans="1:18" x14ac:dyDescent="0.3">
      <c r="A57">
        <f>'Parm VaR Eq Weights'!B56</f>
        <v>1.0434204752046693E-2</v>
      </c>
      <c r="B57">
        <f>'Parm VaR Eq Weights'!C56</f>
        <v>-2.4388845577206348E-4</v>
      </c>
      <c r="C57">
        <f>'Parm VaR Eq Weights'!D56</f>
        <v>8.2888304654393768E-3</v>
      </c>
      <c r="D57">
        <f>'Parm VaR Eq Weights'!E56</f>
        <v>1.3112825276195375E-2</v>
      </c>
      <c r="H57" s="60">
        <f t="shared" si="8"/>
        <v>1.2374899446930069E-4</v>
      </c>
      <c r="I57" s="60">
        <f t="shared" si="9"/>
        <v>1.2425944061613E-4</v>
      </c>
      <c r="J57" s="60">
        <f t="shared" si="10"/>
        <v>1.0119549011504772E-4</v>
      </c>
      <c r="K57" s="60">
        <f t="shared" si="11"/>
        <v>1.1507234140173133E-4</v>
      </c>
      <c r="M57" s="60">
        <f t="shared" si="12"/>
        <v>8.3445987696649977E-6</v>
      </c>
      <c r="N57" s="60">
        <f t="shared" si="13"/>
        <v>3.6492017693166955E-5</v>
      </c>
      <c r="O57" s="60">
        <f t="shared" si="14"/>
        <v>-4.0474826317106752E-5</v>
      </c>
      <c r="P57" s="60">
        <f t="shared" si="15"/>
        <v>2.1022037375359707E-5</v>
      </c>
      <c r="Q57" s="60">
        <f t="shared" si="16"/>
        <v>-1.2645457360148335E-5</v>
      </c>
      <c r="R57" s="60">
        <f t="shared" si="17"/>
        <v>1.7425575475388607E-6</v>
      </c>
    </row>
    <row r="58" spans="1:18" x14ac:dyDescent="0.3">
      <c r="A58">
        <f>'Parm VaR Eq Weights'!B57</f>
        <v>1.1136250030761329E-3</v>
      </c>
      <c r="B58">
        <f>'Parm VaR Eq Weights'!C57</f>
        <v>9.0973456407950591E-3</v>
      </c>
      <c r="C58">
        <f>'Parm VaR Eq Weights'!D57</f>
        <v>2.3153039277763639E-3</v>
      </c>
      <c r="D58">
        <f>'Parm VaR Eq Weights'!E57</f>
        <v>5.5750665892351225E-3</v>
      </c>
      <c r="H58" s="60">
        <f t="shared" si="8"/>
        <v>1.2285641252960067E-4</v>
      </c>
      <c r="I58" s="60">
        <f t="shared" si="9"/>
        <v>1.1680744307389372E-4</v>
      </c>
      <c r="J58" s="60">
        <f t="shared" si="10"/>
        <v>9.9246043337232611E-5</v>
      </c>
      <c r="K58" s="60">
        <f t="shared" si="11"/>
        <v>1.1848477212106916E-4</v>
      </c>
      <c r="M58" s="60">
        <f t="shared" si="12"/>
        <v>7.6912359184339259E-6</v>
      </c>
      <c r="N58" s="60">
        <f t="shared" si="13"/>
        <v>3.949173788546076E-5</v>
      </c>
      <c r="O58" s="60">
        <f t="shared" si="14"/>
        <v>-2.9837022509502192E-5</v>
      </c>
      <c r="P58" s="60">
        <f t="shared" si="15"/>
        <v>1.9639422129095777E-5</v>
      </c>
      <c r="Q58" s="60">
        <f t="shared" si="16"/>
        <v>-1.2078613920984643E-5</v>
      </c>
      <c r="R58" s="60">
        <f t="shared" si="17"/>
        <v>8.1594032329252395E-6</v>
      </c>
    </row>
    <row r="59" spans="1:18" x14ac:dyDescent="0.3">
      <c r="A59">
        <f>'Parm VaR Eq Weights'!B58</f>
        <v>-8.1874908594294672E-3</v>
      </c>
      <c r="B59">
        <f>'Parm VaR Eq Weights'!C58</f>
        <v>1.7429577957142339E-2</v>
      </c>
      <c r="C59">
        <f>'Parm VaR Eq Weights'!D58</f>
        <v>6.9165935145285235E-3</v>
      </c>
      <c r="D59">
        <f>'Parm VaR Eq Weights'!E58</f>
        <v>5.8062319175515723E-3</v>
      </c>
      <c r="H59" s="60">
        <f t="shared" si="8"/>
        <v>1.155594374166732E-4</v>
      </c>
      <c r="I59" s="60">
        <f t="shared" si="9"/>
        <v>1.1476469835194566E-4</v>
      </c>
      <c r="J59" s="60">
        <f t="shared" si="10"/>
        <v>9.3612918673677262E-5</v>
      </c>
      <c r="K59" s="60">
        <f t="shared" si="11"/>
        <v>1.1324056784226935E-4</v>
      </c>
      <c r="M59" s="60">
        <f t="shared" si="12"/>
        <v>7.8376236573607936E-6</v>
      </c>
      <c r="N59" s="60">
        <f t="shared" si="13"/>
        <v>3.7276936432954644E-5</v>
      </c>
      <c r="O59" s="60">
        <f t="shared" si="14"/>
        <v>-2.7674289146076859E-5</v>
      </c>
      <c r="P59" s="60">
        <f t="shared" si="15"/>
        <v>1.9724844007018351E-5</v>
      </c>
      <c r="Q59" s="60">
        <f t="shared" si="16"/>
        <v>-8.3107986217623425E-6</v>
      </c>
      <c r="R59" s="60">
        <f t="shared" si="17"/>
        <v>8.4443174532499775E-6</v>
      </c>
    </row>
    <row r="60" spans="1:18" x14ac:dyDescent="0.3">
      <c r="A60">
        <f>'Parm VaR Eq Weights'!B59</f>
        <v>2.5490454768968759E-3</v>
      </c>
      <c r="B60">
        <f>'Parm VaR Eq Weights'!C59</f>
        <v>-1.3724864792583624E-3</v>
      </c>
      <c r="C60">
        <f>'Parm VaR Eq Weights'!D59</f>
        <v>-1.2856094555449041E-2</v>
      </c>
      <c r="D60">
        <f>'Parm VaR Eq Weights'!E59</f>
        <v>9.4781917852524347E-3</v>
      </c>
      <c r="H60" s="60">
        <f t="shared" si="8"/>
        <v>1.1264797156606727E-4</v>
      </c>
      <c r="I60" s="60">
        <f t="shared" si="9"/>
        <v>1.2610622771667507E-4</v>
      </c>
      <c r="J60" s="60">
        <f t="shared" si="10"/>
        <v>9.0866499503969701E-5</v>
      </c>
      <c r="K60" s="60">
        <f t="shared" si="11"/>
        <v>1.0846887351655686E-4</v>
      </c>
      <c r="M60" s="60">
        <f t="shared" si="12"/>
        <v>-1.1949043745498355E-6</v>
      </c>
      <c r="N60" s="60">
        <f t="shared" si="13"/>
        <v>3.1642547476261875E-5</v>
      </c>
      <c r="O60" s="60">
        <f t="shared" si="14"/>
        <v>-2.8866140042473116E-5</v>
      </c>
      <c r="P60" s="60">
        <f t="shared" si="15"/>
        <v>2.5774551718157658E-5</v>
      </c>
      <c r="Q60" s="60">
        <f t="shared" si="16"/>
        <v>-1.7401403938038054E-6</v>
      </c>
      <c r="R60" s="60">
        <f t="shared" si="17"/>
        <v>1.0347219167542123E-5</v>
      </c>
    </row>
    <row r="61" spans="1:18" x14ac:dyDescent="0.3">
      <c r="A61">
        <f>'Parm VaR Eq Weights'!B60</f>
        <v>-7.2058635855479086E-3</v>
      </c>
      <c r="B61">
        <f>'Parm VaR Eq Weights'!C60</f>
        <v>-1.3743727873265442E-3</v>
      </c>
      <c r="C61">
        <f>'Parm VaR Eq Weights'!D60</f>
        <v>1.0029513618791617E-2</v>
      </c>
      <c r="D61">
        <f>'Parm VaR Eq Weights'!E60</f>
        <v>2.4339556132450934E-3</v>
      </c>
      <c r="H61" s="60">
        <f t="shared" si="8"/>
        <v>1.0627895124270054E-4</v>
      </c>
      <c r="I61" s="60">
        <f t="shared" si="9"/>
        <v>1.1865287720181938E-4</v>
      </c>
      <c r="J61" s="60">
        <f t="shared" si="10"/>
        <v>9.5331259566850313E-5</v>
      </c>
      <c r="K61" s="60">
        <f t="shared" si="11"/>
        <v>1.0735090827664505E-4</v>
      </c>
      <c r="M61" s="60">
        <f t="shared" si="12"/>
        <v>-1.3331219392001842E-6</v>
      </c>
      <c r="N61" s="60">
        <f t="shared" si="13"/>
        <v>2.7777748447058604E-5</v>
      </c>
      <c r="O61" s="60">
        <f t="shared" si="14"/>
        <v>-2.5684551125963195E-5</v>
      </c>
      <c r="P61" s="60">
        <f t="shared" si="15"/>
        <v>2.528676757227345E-5</v>
      </c>
      <c r="Q61" s="60">
        <f t="shared" si="16"/>
        <v>-2.4162533745601765E-6</v>
      </c>
      <c r="R61" s="60">
        <f t="shared" si="17"/>
        <v>2.4152342291364483E-6</v>
      </c>
    </row>
    <row r="62" spans="1:18" x14ac:dyDescent="0.3">
      <c r="A62">
        <f>'Parm VaR Eq Weights'!B61</f>
        <v>-2.2536744644764259E-3</v>
      </c>
      <c r="B62">
        <f>'Parm VaR Eq Weights'!C61</f>
        <v>-1.3361323717011805E-2</v>
      </c>
      <c r="C62">
        <f>'Parm VaR Eq Weights'!D61</f>
        <v>8.2287223397887622E-3</v>
      </c>
      <c r="D62">
        <f>'Parm VaR Eq Weights'!E61</f>
        <v>-3.0359856379023848E-4</v>
      </c>
      <c r="H62" s="60">
        <f t="shared" si="8"/>
        <v>1.0301768236895002E-4</v>
      </c>
      <c r="I62" s="60">
        <f t="shared" si="9"/>
        <v>1.1164703860322283E-4</v>
      </c>
      <c r="J62" s="60">
        <f t="shared" si="10"/>
        <v>9.5646852598610892E-5</v>
      </c>
      <c r="K62" s="60">
        <f t="shared" si="11"/>
        <v>1.0126530217568118E-4</v>
      </c>
      <c r="M62" s="60">
        <f t="shared" si="12"/>
        <v>-6.5892205357831313E-7</v>
      </c>
      <c r="N62" s="60">
        <f t="shared" si="13"/>
        <v>2.177480512225064E-5</v>
      </c>
      <c r="O62" s="60">
        <f t="shared" si="14"/>
        <v>-2.5195803185744766E-5</v>
      </c>
      <c r="P62" s="60">
        <f t="shared" si="15"/>
        <v>2.2942504082669752E-5</v>
      </c>
      <c r="Q62" s="60">
        <f t="shared" si="16"/>
        <v>-2.4719879137108507E-6</v>
      </c>
      <c r="R62" s="60">
        <f t="shared" si="17"/>
        <v>3.7350036336228205E-6</v>
      </c>
    </row>
    <row r="63" spans="1:18" x14ac:dyDescent="0.3">
      <c r="A63">
        <f>'Parm VaR Eq Weights'!B62</f>
        <v>1.2811179191865156E-2</v>
      </c>
      <c r="B63">
        <f>'Parm VaR Eq Weights'!C62</f>
        <v>-1.2762327381048034E-2</v>
      </c>
      <c r="C63">
        <f>'Parm VaR Eq Weights'!D62</f>
        <v>-3.0289619272038733E-3</v>
      </c>
      <c r="D63">
        <f>'Parm VaR Eq Weights'!E62</f>
        <v>-1.2110568462191803E-2</v>
      </c>
      <c r="H63" s="60">
        <f t="shared" si="8"/>
        <v>9.7141364342322992E-5</v>
      </c>
      <c r="I63" s="60">
        <f t="shared" si="9"/>
        <v>1.1565971457527639E-4</v>
      </c>
      <c r="J63" s="60">
        <f t="shared" si="10"/>
        <v>9.3970753723414543E-5</v>
      </c>
      <c r="K63" s="60">
        <f t="shared" si="11"/>
        <v>9.5194914370416443E-5</v>
      </c>
      <c r="M63" s="60">
        <f t="shared" si="12"/>
        <v>1.1873377139943523E-6</v>
      </c>
      <c r="N63" s="60">
        <f t="shared" si="13"/>
        <v>1.9355625130168683E-5</v>
      </c>
      <c r="O63" s="60">
        <f t="shared" si="14"/>
        <v>-2.3643002254760134E-5</v>
      </c>
      <c r="P63" s="60">
        <f t="shared" si="15"/>
        <v>1.4969156460150091E-5</v>
      </c>
      <c r="Q63" s="60">
        <f t="shared" si="16"/>
        <v>-2.080279917438925E-6</v>
      </c>
      <c r="R63" s="60">
        <f t="shared" si="17"/>
        <v>3.3610097185541399E-6</v>
      </c>
    </row>
    <row r="64" spans="1:18" x14ac:dyDescent="0.3">
      <c r="A64">
        <f>'Parm VaR Eq Weights'!B63</f>
        <v>3.4579455248213847E-3</v>
      </c>
      <c r="B64">
        <f>'Parm VaR Eq Weights'!C63</f>
        <v>2.2642061717874917E-3</v>
      </c>
      <c r="C64">
        <f>'Parm VaR Eq Weights'!D63</f>
        <v>3.1555337625949038E-3</v>
      </c>
      <c r="D64">
        <f>'Parm VaR Eq Weights'!E63</f>
        <v>7.6219881509838284E-3</v>
      </c>
      <c r="H64" s="60">
        <f t="shared" si="8"/>
        <v>1.0116046121894834E-4</v>
      </c>
      <c r="I64" s="60">
        <f t="shared" si="9"/>
        <v>1.1849275171162271E-4</v>
      </c>
      <c r="J64" s="60">
        <f t="shared" si="10"/>
        <v>8.8882985121396709E-5</v>
      </c>
      <c r="K64" s="60">
        <f t="shared" si="11"/>
        <v>9.8283171616837543E-5</v>
      </c>
      <c r="M64" s="60">
        <f t="shared" si="12"/>
        <v>-8.6939303278765286E-6</v>
      </c>
      <c r="N64" s="60">
        <f t="shared" si="13"/>
        <v>1.5866013181473796E-5</v>
      </c>
      <c r="O64" s="60">
        <f t="shared" si="14"/>
        <v>-3.1533461880543934E-5</v>
      </c>
      <c r="P64" s="60">
        <f t="shared" si="15"/>
        <v>1.6390403296923449E-5</v>
      </c>
      <c r="Q64" s="60">
        <f t="shared" si="16"/>
        <v>7.3180792467126535E-6</v>
      </c>
      <c r="R64" s="60">
        <f t="shared" si="17"/>
        <v>5.3602961827673891E-6</v>
      </c>
    </row>
    <row r="65" spans="1:18" x14ac:dyDescent="0.3">
      <c r="A65">
        <f>'Parm VaR Eq Weights'!B64</f>
        <v>-2.6564134619459431E-4</v>
      </c>
      <c r="B65">
        <f>'Parm VaR Eq Weights'!C64</f>
        <v>1.3620965617665116E-2</v>
      </c>
      <c r="C65">
        <f>'Parm VaR Eq Weights'!D64</f>
        <v>-1.5375130204636585E-4</v>
      </c>
      <c r="D65">
        <f>'Parm VaR Eq Weights'!E64</f>
        <v>-4.1102913713867628E-3</v>
      </c>
      <c r="H65" s="60">
        <f t="shared" si="8"/>
        <v>9.5808276780969375E-5</v>
      </c>
      <c r="I65" s="60">
        <f t="shared" si="9"/>
        <v>1.1169078438422697E-4</v>
      </c>
      <c r="J65" s="60">
        <f t="shared" si="10"/>
        <v>8.4147449613725475E-5</v>
      </c>
      <c r="K65" s="60">
        <f t="shared" si="11"/>
        <v>9.5871863522251552E-5</v>
      </c>
      <c r="M65" s="60">
        <f t="shared" si="12"/>
        <v>-7.7025244122636055E-6</v>
      </c>
      <c r="N65" s="60">
        <f t="shared" si="13"/>
        <v>1.5568752221752637E-5</v>
      </c>
      <c r="O65" s="60">
        <f t="shared" si="14"/>
        <v>-2.8060068978695124E-5</v>
      </c>
      <c r="P65" s="60">
        <f t="shared" si="15"/>
        <v>1.5835665840341112E-5</v>
      </c>
      <c r="Q65" s="60">
        <f t="shared" si="16"/>
        <v>7.9144596486748171E-6</v>
      </c>
      <c r="R65" s="60">
        <f t="shared" si="17"/>
        <v>6.4817648687130124E-6</v>
      </c>
    </row>
    <row r="66" spans="1:18" x14ac:dyDescent="0.3">
      <c r="A66">
        <f>'Parm VaR Eq Weights'!B65</f>
        <v>9.6822201844415662E-3</v>
      </c>
      <c r="B66">
        <f>'Parm VaR Eq Weights'!C65</f>
        <v>4.3854523842091122E-3</v>
      </c>
      <c r="C66">
        <f>'Parm VaR Eq Weights'!D65</f>
        <v>-1.2592729030224697E-4</v>
      </c>
      <c r="D66">
        <f>'Parm VaR Eq Weights'!E65</f>
        <v>-3.12790599374422E-3</v>
      </c>
      <c r="H66" s="60">
        <f t="shared" si="8"/>
        <v>9.0064014093599697E-5</v>
      </c>
      <c r="I66" s="60">
        <f t="shared" si="9"/>
        <v>1.1612117958263027E-4</v>
      </c>
      <c r="J66" s="60">
        <f t="shared" si="10"/>
        <v>7.9100021004674791E-5</v>
      </c>
      <c r="K66" s="60">
        <f t="shared" si="11"/>
        <v>9.1133221420378245E-5</v>
      </c>
      <c r="M66" s="60">
        <f t="shared" si="12"/>
        <v>-7.4574704461165999E-6</v>
      </c>
      <c r="N66" s="60">
        <f t="shared" si="13"/>
        <v>1.4637077650618764E-5</v>
      </c>
      <c r="O66" s="60">
        <f t="shared" si="14"/>
        <v>-2.6310953039984581E-5</v>
      </c>
      <c r="P66" s="60">
        <f t="shared" si="15"/>
        <v>1.4759871417989956E-5</v>
      </c>
      <c r="Q66" s="60">
        <f t="shared" si="16"/>
        <v>4.0804238228596429E-6</v>
      </c>
      <c r="R66" s="60">
        <f t="shared" si="17"/>
        <v>6.1307767355986708E-6</v>
      </c>
    </row>
    <row r="67" spans="1:18" x14ac:dyDescent="0.3">
      <c r="A67">
        <f>'Parm VaR Eq Weights'!B66</f>
        <v>9.3706436136782E-3</v>
      </c>
      <c r="B67">
        <f>'Parm VaR Eq Weights'!C66</f>
        <v>8.9428484546743795E-3</v>
      </c>
      <c r="C67">
        <f>'Parm VaR Eq Weights'!D66</f>
        <v>-6.6624571753826087E-3</v>
      </c>
      <c r="D67">
        <f>'Parm VaR Eq Weights'!E66</f>
        <v>8.8418531656638284E-3</v>
      </c>
      <c r="H67" s="60">
        <f t="shared" si="8"/>
        <v>9.0284896509984174E-5</v>
      </c>
      <c r="I67" s="60">
        <f t="shared" si="9"/>
        <v>1.1030784036452237E-4</v>
      </c>
      <c r="J67" s="60">
        <f t="shared" si="10"/>
        <v>7.4354971205340867E-5</v>
      </c>
      <c r="K67" s="60">
        <f t="shared" si="11"/>
        <v>8.6252255889497607E-5</v>
      </c>
      <c r="M67" s="60">
        <f t="shared" si="12"/>
        <v>-4.4623672838117903E-6</v>
      </c>
      <c r="N67" s="60">
        <f t="shared" si="13"/>
        <v>1.3685697646465451E-5</v>
      </c>
      <c r="O67" s="60">
        <f t="shared" si="14"/>
        <v>-2.6549400330445469E-5</v>
      </c>
      <c r="P67" s="60">
        <f t="shared" si="15"/>
        <v>1.3841144244780979E-5</v>
      </c>
      <c r="Q67" s="60">
        <f t="shared" si="16"/>
        <v>3.0125614256172099E-6</v>
      </c>
      <c r="R67" s="60">
        <f t="shared" si="17"/>
        <v>5.7865634550294927E-6</v>
      </c>
    </row>
    <row r="68" spans="1:18" x14ac:dyDescent="0.3">
      <c r="A68">
        <f>'Parm VaR Eq Weights'!B67</f>
        <v>1.7075957958787255E-3</v>
      </c>
      <c r="B68">
        <f>'Parm VaR Eq Weights'!C67</f>
        <v>1.0154097924636545E-2</v>
      </c>
      <c r="C68">
        <f>'Parm VaR Eq Weights'!D67</f>
        <v>-3.9315070703837803E-3</v>
      </c>
      <c r="D68">
        <f>'Parm VaR Eq Weights'!E67</f>
        <v>-9.8288748913135018E-3</v>
      </c>
      <c r="H68" s="60">
        <f t="shared" si="8"/>
        <v>9.0136340423459203E-5</v>
      </c>
      <c r="I68" s="60">
        <f t="shared" si="9"/>
        <v>1.0848784225164734E-4</v>
      </c>
      <c r="J68" s="60">
        <f t="shared" si="10"/>
        <v>7.2556973069848847E-5</v>
      </c>
      <c r="K68" s="60">
        <f t="shared" si="11"/>
        <v>8.5767822580317318E-5</v>
      </c>
      <c r="M68" s="60">
        <f t="shared" si="12"/>
        <v>8.3338949881010756E-7</v>
      </c>
      <c r="N68" s="60">
        <f t="shared" si="13"/>
        <v>9.1186650807633063E-6</v>
      </c>
      <c r="O68" s="60">
        <f t="shared" si="14"/>
        <v>-1.9985205016624248E-5</v>
      </c>
      <c r="P68" s="60">
        <f t="shared" si="15"/>
        <v>9.4357948987818413E-6</v>
      </c>
      <c r="Q68" s="60">
        <f t="shared" si="16"/>
        <v>7.5760889152210535E-6</v>
      </c>
      <c r="R68" s="60">
        <f t="shared" si="17"/>
        <v>1.9048615636923353E-6</v>
      </c>
    </row>
    <row r="69" spans="1:18" x14ac:dyDescent="0.3">
      <c r="A69">
        <f>'Parm VaR Eq Weights'!B68</f>
        <v>8.8348951711366005E-4</v>
      </c>
      <c r="B69">
        <f>'Parm VaR Eq Weights'!C68</f>
        <v>1.3463746411237768E-2</v>
      </c>
      <c r="C69">
        <f>'Parm VaR Eq Weights'!D68</f>
        <v>-6.2449750998840974E-3</v>
      </c>
      <c r="D69">
        <f>'Parm VaR Eq Weights'!E68</f>
        <v>7.1807926082219512E-3</v>
      </c>
      <c r="H69" s="60">
        <f t="shared" si="8"/>
        <v>8.4903113002177816E-5</v>
      </c>
      <c r="I69" s="60">
        <f t="shared" si="9"/>
        <v>1.08164913996335E-4</v>
      </c>
      <c r="J69" s="60">
        <f t="shared" si="10"/>
        <v>6.9130959556326578E-5</v>
      </c>
      <c r="K69" s="60">
        <f t="shared" si="11"/>
        <v>8.6418160123243859E-5</v>
      </c>
      <c r="M69" s="60">
        <f t="shared" si="12"/>
        <v>1.8237318245045174E-6</v>
      </c>
      <c r="N69" s="60">
        <f t="shared" si="13"/>
        <v>8.168739679226217E-6</v>
      </c>
      <c r="O69" s="60">
        <f t="shared" si="14"/>
        <v>-1.9793117442184285E-5</v>
      </c>
      <c r="P69" s="60">
        <f t="shared" si="15"/>
        <v>6.4743927378102578E-6</v>
      </c>
      <c r="Q69" s="60">
        <f t="shared" si="16"/>
        <v>1.1333220921838636E-6</v>
      </c>
      <c r="R69" s="60">
        <f t="shared" si="17"/>
        <v>4.1091073376177962E-6</v>
      </c>
    </row>
    <row r="70" spans="1:18" x14ac:dyDescent="0.3">
      <c r="A70">
        <f>'Parm VaR Eq Weights'!B69</f>
        <v>-6.8421404110904742E-3</v>
      </c>
      <c r="B70">
        <f>'Parm VaR Eq Weights'!C69</f>
        <v>-1.233473235659297E-2</v>
      </c>
      <c r="C70">
        <f>'Parm VaR Eq Weights'!D69</f>
        <v>1.9688169457204207E-2</v>
      </c>
      <c r="D70">
        <f>'Parm VaR Eq Weights'!E69</f>
        <v>8.4454972166889564E-3</v>
      </c>
      <c r="H70" s="60">
        <f t="shared" ref="H70:H133" si="18">H69*$F$3+A69^2*(1-$F$3)</f>
        <v>7.9855759445658135E-5</v>
      </c>
      <c r="I70" s="60">
        <f t="shared" ref="I70:I133" si="19">I69*$F$3+B69^2*(1-$F$3)</f>
        <v>1.1255136720212198E-4</v>
      </c>
      <c r="J70" s="60">
        <f t="shared" ref="J70:J133" si="20">J69*$F$3+C69^2*(1-$F$3)</f>
        <v>6.7323084822837318E-5</v>
      </c>
      <c r="K70" s="60">
        <f t="shared" ref="K70:K133" si="21">K69*$F$3+D69^2*(1-$F$3)</f>
        <v>8.4326897464786927E-5</v>
      </c>
      <c r="M70" s="60">
        <f t="shared" ref="M70:M133" si="22">M69*$F$3+A69*B69*(1-$F$3)</f>
        <v>2.4280126439585606E-6</v>
      </c>
      <c r="N70" s="60">
        <f t="shared" ref="N70:N133" si="23">N69*$F$3+A69*C69*(1-$F$3)</f>
        <v>7.3475730963496378E-6</v>
      </c>
      <c r="O70" s="60">
        <f t="shared" ref="O70:O133" si="24">O69*$F$3+A69*D69*(1-$F$3)</f>
        <v>-1.8224881096017348E-5</v>
      </c>
      <c r="P70" s="60">
        <f t="shared" ref="P70:P133" si="25">P69*$F$3+B69*C69*(1-$F$3)</f>
        <v>1.041083508181614E-6</v>
      </c>
      <c r="Q70" s="60">
        <f t="shared" ref="Q70:Q133" si="26">Q69*$F$3+B69*D69*(1-$F$3)</f>
        <v>6.8661450091802964E-6</v>
      </c>
      <c r="R70" s="60">
        <f t="shared" ref="R70:R133" si="27">R69*$F$3+C69*D69*(1-$F$3)</f>
        <v>1.1719286352140541E-6</v>
      </c>
    </row>
    <row r="71" spans="1:18" x14ac:dyDescent="0.3">
      <c r="A71">
        <f>'Parm VaR Eq Weights'!B70</f>
        <v>4.0605617654640479E-3</v>
      </c>
      <c r="B71">
        <f>'Parm VaR Eq Weights'!C70</f>
        <v>-1.3427721706730051E-3</v>
      </c>
      <c r="C71">
        <f>'Parm VaR Eq Weights'!D70</f>
        <v>-1.6039260717998799E-4</v>
      </c>
      <c r="D71">
        <f>'Parm VaR Eq Weights'!E70</f>
        <v>4.5480749037007358E-3</v>
      </c>
      <c r="H71" s="60">
        <f t="shared" si="18"/>
        <v>7.787330700322329E-5</v>
      </c>
      <c r="I71" s="60">
        <f t="shared" si="19"/>
        <v>1.1492702250852156E-4</v>
      </c>
      <c r="J71" s="60">
        <f t="shared" si="20"/>
        <v>8.6541140728002409E-5</v>
      </c>
      <c r="K71" s="60">
        <f t="shared" si="21"/>
        <v>8.3546869011125771E-5</v>
      </c>
      <c r="M71" s="60">
        <f t="shared" si="22"/>
        <v>7.3460901283428506E-6</v>
      </c>
      <c r="N71" s="60">
        <f t="shared" si="23"/>
        <v>-1.1758344812433939E-6</v>
      </c>
      <c r="O71" s="60">
        <f t="shared" si="24"/>
        <v>-2.0598504898139887E-5</v>
      </c>
      <c r="P71" s="60">
        <f t="shared" si="25"/>
        <v>-1.3592279553061026E-5</v>
      </c>
      <c r="Q71" s="60">
        <f t="shared" si="26"/>
        <v>2.0379944145692477E-7</v>
      </c>
      <c r="R71" s="60">
        <f t="shared" si="27"/>
        <v>1.1078195738252339E-5</v>
      </c>
    </row>
    <row r="72" spans="1:18" x14ac:dyDescent="0.3">
      <c r="A72">
        <f>'Parm VaR Eq Weights'!B71</f>
        <v>-8.5587227484663735E-4</v>
      </c>
      <c r="B72">
        <f>'Parm VaR Eq Weights'!C71</f>
        <v>-5.4017278004882046E-3</v>
      </c>
      <c r="C72">
        <f>'Parm VaR Eq Weights'!D71</f>
        <v>1.3780498391070793E-3</v>
      </c>
      <c r="D72">
        <f>'Parm VaR Eq Weights'!E71</f>
        <v>1.638935151748523E-3</v>
      </c>
      <c r="H72" s="60">
        <f t="shared" si="18"/>
        <v>7.4190198294098799E-5</v>
      </c>
      <c r="I72" s="60">
        <f t="shared" si="19"/>
        <v>1.0813958338415029E-4</v>
      </c>
      <c r="J72" s="60">
        <f t="shared" si="20"/>
        <v>8.1350215831628528E-5</v>
      </c>
      <c r="K72" s="60">
        <f t="shared" si="21"/>
        <v>7.9775155990238563E-5</v>
      </c>
      <c r="M72" s="60">
        <f t="shared" si="22"/>
        <v>6.578180160484441E-6</v>
      </c>
      <c r="N72" s="60">
        <f t="shared" si="23"/>
        <v>-1.1443614576594796E-6</v>
      </c>
      <c r="O72" s="60">
        <f t="shared" si="24"/>
        <v>-1.8254530260625463E-5</v>
      </c>
      <c r="P72" s="60">
        <f t="shared" si="25"/>
        <v>-1.2763820536119185E-5</v>
      </c>
      <c r="Q72" s="60">
        <f t="shared" si="26"/>
        <v>-1.7485022968003044E-7</v>
      </c>
      <c r="R72" s="60">
        <f t="shared" si="27"/>
        <v>1.0369735338469931E-5</v>
      </c>
    </row>
    <row r="73" spans="1:18" x14ac:dyDescent="0.3">
      <c r="A73">
        <f>'Parm VaR Eq Weights'!B72</f>
        <v>-2.6321948980257853E-3</v>
      </c>
      <c r="B73">
        <f>'Parm VaR Eq Weights'!C72</f>
        <v>3.4179836780433609E-3</v>
      </c>
      <c r="C73">
        <f>'Parm VaR Eq Weights'!D72</f>
        <v>6.9552864125297081E-3</v>
      </c>
      <c r="D73">
        <f>'Parm VaR Eq Weights'!E72</f>
        <v>-8.6292283196658243E-3</v>
      </c>
      <c r="H73" s="60">
        <f t="shared" si="18"/>
        <v>6.9782737437503942E-5</v>
      </c>
      <c r="I73" s="60">
        <f t="shared" si="19"/>
        <v>1.034019281749353E-4</v>
      </c>
      <c r="J73" s="60">
        <f t="shared" si="20"/>
        <v>7.6583144163274602E-5</v>
      </c>
      <c r="K73" s="60">
        <f t="shared" si="21"/>
        <v>7.5149813136722474E-5</v>
      </c>
      <c r="M73" s="60">
        <f t="shared" si="22"/>
        <v>6.4608806944977444E-6</v>
      </c>
      <c r="N73" s="60">
        <f t="shared" si="23"/>
        <v>-1.146465849238828E-6</v>
      </c>
      <c r="O73" s="60">
        <f t="shared" si="24"/>
        <v>-1.7243421594387121E-5</v>
      </c>
      <c r="P73" s="60">
        <f t="shared" si="25"/>
        <v>-1.2444622311533815E-5</v>
      </c>
      <c r="Q73" s="60">
        <f t="shared" si="26"/>
        <v>-6.9554411024307016E-7</v>
      </c>
      <c r="R73" s="60">
        <f t="shared" si="27"/>
        <v>9.8830632774921752E-6</v>
      </c>
    </row>
    <row r="74" spans="1:18" x14ac:dyDescent="0.3">
      <c r="A74">
        <f>'Parm VaR Eq Weights'!B73</f>
        <v>7.3867529733892432E-3</v>
      </c>
      <c r="B74">
        <f>'Parm VaR Eq Weights'!C73</f>
        <v>6.0048954040138047E-3</v>
      </c>
      <c r="C74">
        <f>'Parm VaR Eq Weights'!D73</f>
        <v>-1.331321475520404E-2</v>
      </c>
      <c r="D74">
        <f>'Parm VaR Eq Weights'!E73</f>
        <v>7.7200157641760161E-3</v>
      </c>
      <c r="H74" s="60">
        <f t="shared" si="18"/>
        <v>6.6011480190125281E-5</v>
      </c>
      <c r="I74" s="60">
        <f t="shared" si="19"/>
        <v>9.7898769229841435E-5</v>
      </c>
      <c r="J74" s="60">
        <f t="shared" si="20"/>
        <v>7.4890716058297342E-5</v>
      </c>
      <c r="K74" s="60">
        <f t="shared" si="21"/>
        <v>7.5108639232094489E-5</v>
      </c>
      <c r="M74" s="60">
        <f t="shared" si="22"/>
        <v>5.5334199008950106E-6</v>
      </c>
      <c r="N74" s="60">
        <f t="shared" si="23"/>
        <v>-2.1761380628466251E-6</v>
      </c>
      <c r="O74" s="60">
        <f t="shared" si="24"/>
        <v>-1.4845987653308451E-5</v>
      </c>
      <c r="P74" s="60">
        <f t="shared" si="25"/>
        <v>-1.0271561646793186E-5</v>
      </c>
      <c r="Q74" s="60">
        <f t="shared" si="26"/>
        <v>-2.4234851566721271E-6</v>
      </c>
      <c r="R74" s="60">
        <f t="shared" si="27"/>
        <v>5.6889542118993441E-6</v>
      </c>
    </row>
    <row r="75" spans="1:18" x14ac:dyDescent="0.3">
      <c r="A75">
        <f>'Parm VaR Eq Weights'!B74</f>
        <v>-3.1357620237914443E-3</v>
      </c>
      <c r="B75">
        <f>'Parm VaR Eq Weights'!C74</f>
        <v>-1.8207806185153604E-2</v>
      </c>
      <c r="C75">
        <f>'Parm VaR Eq Weights'!D74</f>
        <v>-5.0699182697203204E-3</v>
      </c>
      <c r="D75">
        <f>'Parm VaR Eq Weights'!E74</f>
        <v>1.504790922972493E-2</v>
      </c>
      <c r="H75" s="60">
        <f t="shared" si="18"/>
        <v>6.5324638548110248E-5</v>
      </c>
      <c r="I75" s="60">
        <f t="shared" si="19"/>
        <v>9.4188369204839715E-5</v>
      </c>
      <c r="J75" s="60">
        <f t="shared" si="20"/>
        <v>8.1031774321890465E-5</v>
      </c>
      <c r="K75" s="60">
        <f t="shared" si="21"/>
        <v>7.4178039482116395E-5</v>
      </c>
      <c r="M75" s="60">
        <f t="shared" si="22"/>
        <v>7.8628154456707353E-6</v>
      </c>
      <c r="N75" s="60">
        <f t="shared" si="23"/>
        <v>-7.9460554997782129E-6</v>
      </c>
      <c r="O75" s="60">
        <f t="shared" si="24"/>
        <v>-1.0533677430071598E-5</v>
      </c>
      <c r="P75" s="60">
        <f t="shared" si="25"/>
        <v>-1.4451935673756009E-5</v>
      </c>
      <c r="Q75" s="60">
        <f t="shared" si="26"/>
        <v>5.0339718360108398E-7</v>
      </c>
      <c r="R75" s="60">
        <f t="shared" si="27"/>
        <v>-8.1907670773677871E-7</v>
      </c>
    </row>
    <row r="76" spans="1:18" x14ac:dyDescent="0.3">
      <c r="A76">
        <f>'Parm VaR Eq Weights'!B75</f>
        <v>3.2484100188134367E-3</v>
      </c>
      <c r="B76">
        <f>'Parm VaR Eq Weights'!C75</f>
        <v>3.090414192186934E-3</v>
      </c>
      <c r="C76">
        <f>'Parm VaR Eq Weights'!D75</f>
        <v>1.0384810930360099E-2</v>
      </c>
      <c r="D76">
        <f>'Parm VaR Eq Weights'!E75</f>
        <v>9.7206085969423171E-3</v>
      </c>
      <c r="H76" s="60">
        <f t="shared" si="18"/>
        <v>6.1995140443414797E-5</v>
      </c>
      <c r="I76" s="60">
        <f t="shared" si="19"/>
        <v>1.0842851941711641E-4</v>
      </c>
      <c r="J76" s="60">
        <f t="shared" si="20"/>
        <v>7.7712112138275666E-5</v>
      </c>
      <c r="K76" s="60">
        <f t="shared" si="21"/>
        <v>8.3313731444351858E-5</v>
      </c>
      <c r="M76" s="60">
        <f t="shared" si="22"/>
        <v>1.0816767349248073E-5</v>
      </c>
      <c r="N76" s="60">
        <f t="shared" si="23"/>
        <v>-6.5154087393565949E-6</v>
      </c>
      <c r="O76" s="60">
        <f t="shared" si="24"/>
        <v>-1.2732856522269235E-5</v>
      </c>
      <c r="P76" s="60">
        <f t="shared" si="25"/>
        <v>-8.0460941795524291E-6</v>
      </c>
      <c r="Q76" s="60">
        <f t="shared" si="26"/>
        <v>-1.5966171532211933E-5</v>
      </c>
      <c r="R76" s="60">
        <f t="shared" si="27"/>
        <v>-5.3474323007651034E-6</v>
      </c>
    </row>
    <row r="77" spans="1:18" x14ac:dyDescent="0.3">
      <c r="A77">
        <f>'Parm VaR Eq Weights'!B76</f>
        <v>-2.0232133879298174E-3</v>
      </c>
      <c r="B77">
        <f>'Parm VaR Eq Weights'!C76</f>
        <v>-5.6036669253053412E-3</v>
      </c>
      <c r="C77">
        <f>'Parm VaR Eq Weights'!D76</f>
        <v>-9.5494894568632464E-3</v>
      </c>
      <c r="D77">
        <f>'Parm VaR Eq Weights'!E76</f>
        <v>-3.8047739618254505E-3</v>
      </c>
      <c r="H77" s="60">
        <f t="shared" si="18"/>
        <v>5.8908562075829557E-5</v>
      </c>
      <c r="I77" s="60">
        <f t="shared" si="19"/>
        <v>1.0249584784484564E-4</v>
      </c>
      <c r="J77" s="60">
        <f t="shared" si="20"/>
        <v>7.9520043293538714E-5</v>
      </c>
      <c r="K77" s="60">
        <f t="shared" si="21"/>
        <v>8.398432144738767E-5</v>
      </c>
      <c r="M77" s="60">
        <f t="shared" si="22"/>
        <v>1.0770097253744185E-5</v>
      </c>
      <c r="N77" s="60">
        <f t="shared" si="23"/>
        <v>-4.100436782815295E-6</v>
      </c>
      <c r="O77" s="60">
        <f t="shared" si="24"/>
        <v>-1.0074293789616792E-5</v>
      </c>
      <c r="P77" s="60">
        <f t="shared" si="25"/>
        <v>-5.637726503837511E-6</v>
      </c>
      <c r="Q77" s="60">
        <f t="shared" si="26"/>
        <v>-1.3205758834398123E-5</v>
      </c>
      <c r="R77" s="60">
        <f t="shared" si="27"/>
        <v>1.0302145817175438E-6</v>
      </c>
    </row>
    <row r="78" spans="1:18" x14ac:dyDescent="0.3">
      <c r="A78">
        <f>'Parm VaR Eq Weights'!B77</f>
        <v>-2.3572205679487208E-3</v>
      </c>
      <c r="B78">
        <f>'Parm VaR Eq Weights'!C77</f>
        <v>6.6764888909478584E-3</v>
      </c>
      <c r="C78">
        <f>'Parm VaR Eq Weights'!D77</f>
        <v>-1.3972023415153943E-2</v>
      </c>
      <c r="D78">
        <f>'Parm VaR Eq Weights'!E77</f>
        <v>-1.3060748006601416E-2</v>
      </c>
      <c r="H78" s="60">
        <f t="shared" si="18"/>
        <v>5.561965189606569E-5</v>
      </c>
      <c r="I78" s="60">
        <f t="shared" si="19"/>
        <v>9.8230161954740552E-5</v>
      </c>
      <c r="J78" s="60">
        <f t="shared" si="20"/>
        <v>8.0220405629130939E-5</v>
      </c>
      <c r="K78" s="60">
        <f t="shared" si="21"/>
        <v>7.981384045457951E-5</v>
      </c>
      <c r="M78" s="60">
        <f t="shared" si="22"/>
        <v>1.0804136255206171E-5</v>
      </c>
      <c r="N78" s="60">
        <f t="shared" si="23"/>
        <v>-2.6951712808251546E-6</v>
      </c>
      <c r="O78" s="60">
        <f t="shared" si="24"/>
        <v>-9.0079639851830617E-6</v>
      </c>
      <c r="P78" s="60">
        <f t="shared" si="25"/>
        <v>-2.0887334202286588E-6</v>
      </c>
      <c r="Q78" s="60">
        <f t="shared" si="26"/>
        <v>-1.1134172143845579E-5</v>
      </c>
      <c r="R78" s="60">
        <f t="shared" si="27"/>
        <v>3.1484206368664898E-6</v>
      </c>
    </row>
    <row r="79" spans="1:18" x14ac:dyDescent="0.3">
      <c r="A79">
        <f>'Parm VaR Eq Weights'!B78</f>
        <v>-1.1564187400276104E-2</v>
      </c>
      <c r="B79">
        <f>'Parm VaR Eq Weights'!C78</f>
        <v>-9.9921113402573914E-3</v>
      </c>
      <c r="C79">
        <f>'Parm VaR Eq Weights'!D78</f>
        <v>6.173424687645381E-3</v>
      </c>
      <c r="D79">
        <f>'Parm VaR Eq Weights'!E78</f>
        <v>-1.0457501032987088E-2</v>
      </c>
      <c r="H79" s="60">
        <f t="shared" si="18"/>
        <v>5.2615862110659374E-5</v>
      </c>
      <c r="I79" s="60">
        <f t="shared" si="19"/>
        <v>9.5010882472113125E-5</v>
      </c>
      <c r="J79" s="60">
        <f t="shared" si="20"/>
        <v>8.712022759019969E-5</v>
      </c>
      <c r="K79" s="60">
        <f t="shared" si="21"/>
        <v>8.5259998336821311E-5</v>
      </c>
      <c r="M79" s="60">
        <f t="shared" si="22"/>
        <v>9.211610663768393E-6</v>
      </c>
      <c r="N79" s="60">
        <f t="shared" si="23"/>
        <v>-5.5735254577192322E-7</v>
      </c>
      <c r="O79" s="60">
        <f t="shared" si="24"/>
        <v>-6.6202623160347081E-6</v>
      </c>
      <c r="P79" s="60">
        <f t="shared" si="25"/>
        <v>-7.5604529619352639E-6</v>
      </c>
      <c r="Q79" s="60">
        <f t="shared" si="26"/>
        <v>-1.5698118153627471E-5</v>
      </c>
      <c r="R79" s="60">
        <f t="shared" si="27"/>
        <v>1.3908620016714119E-5</v>
      </c>
    </row>
    <row r="80" spans="1:18" x14ac:dyDescent="0.3">
      <c r="A80">
        <f>'Parm VaR Eq Weights'!B79</f>
        <v>1.2695791469277327E-2</v>
      </c>
      <c r="B80">
        <f>'Parm VaR Eq Weights'!C79</f>
        <v>-1.4033029613838252E-2</v>
      </c>
      <c r="C80">
        <f>'Parm VaR Eq Weights'!D79</f>
        <v>-1.0970505515797774E-2</v>
      </c>
      <c r="D80">
        <f>'Parm VaR Eq Weights'!E79</f>
        <v>5.0266980693221101E-3</v>
      </c>
      <c r="H80" s="60">
        <f t="shared" si="18"/>
        <v>5.7482736197742094E-5</v>
      </c>
      <c r="I80" s="60">
        <f t="shared" si="19"/>
        <v>9.5300766865952358E-5</v>
      </c>
      <c r="J80" s="60">
        <f t="shared" si="20"/>
        <v>8.4179684277229465E-5</v>
      </c>
      <c r="K80" s="60">
        <f t="shared" si="21"/>
        <v>8.6705958107907591E-5</v>
      </c>
      <c r="M80" s="60">
        <f t="shared" si="22"/>
        <v>1.5591952907731926E-5</v>
      </c>
      <c r="N80" s="60">
        <f t="shared" si="23"/>
        <v>-4.8073497923909412E-6</v>
      </c>
      <c r="O80" s="60">
        <f t="shared" si="24"/>
        <v>1.0329035239699985E-6</v>
      </c>
      <c r="P80" s="60">
        <f t="shared" si="25"/>
        <v>-1.0807958593997932E-5</v>
      </c>
      <c r="Q80" s="60">
        <f t="shared" si="26"/>
        <v>-8.4866801846619949E-6</v>
      </c>
      <c r="R80" s="60">
        <f t="shared" si="27"/>
        <v>9.2005871128240931E-6</v>
      </c>
    </row>
    <row r="81" spans="1:18" x14ac:dyDescent="0.3">
      <c r="A81">
        <f>'Parm VaR Eq Weights'!B80</f>
        <v>-6.8795598882546083E-3</v>
      </c>
      <c r="B81">
        <f>'Parm VaR Eq Weights'!C80</f>
        <v>1.3699782872246031E-2</v>
      </c>
      <c r="C81">
        <f>'Parm VaR Eq Weights'!D80</f>
        <v>-6.5483501144405791E-3</v>
      </c>
      <c r="D81">
        <f>'Parm VaR Eq Weights'!E80</f>
        <v>5.523030314577783E-3</v>
      </c>
      <c r="H81" s="60">
        <f t="shared" si="18"/>
        <v>6.3704759287760065E-5</v>
      </c>
      <c r="I81" s="60">
        <f t="shared" si="19"/>
        <v>1.013982760625669E-4</v>
      </c>
      <c r="J81" s="60">
        <f t="shared" si="20"/>
        <v>8.635002269692466E-5</v>
      </c>
      <c r="K81" s="60">
        <f t="shared" si="21"/>
        <v>8.3019662230240736E-5</v>
      </c>
      <c r="M81" s="60">
        <f t="shared" si="22"/>
        <v>3.9668106736989724E-6</v>
      </c>
      <c r="N81" s="60">
        <f t="shared" si="23"/>
        <v>-1.2875663825315007E-5</v>
      </c>
      <c r="O81" s="60">
        <f t="shared" si="24"/>
        <v>4.8000039405597491E-6</v>
      </c>
      <c r="P81" s="60">
        <f t="shared" si="25"/>
        <v>-9.2251535144008312E-7</v>
      </c>
      <c r="Q81" s="60">
        <f t="shared" si="26"/>
        <v>-1.2209867545579521E-5</v>
      </c>
      <c r="R81" s="60">
        <f t="shared" si="27"/>
        <v>5.3398267523097495E-6</v>
      </c>
    </row>
    <row r="82" spans="1:18" x14ac:dyDescent="0.3">
      <c r="A82">
        <f>'Parm VaR Eq Weights'!B81</f>
        <v>1.0849230126018993E-2</v>
      </c>
      <c r="B82">
        <f>'Parm VaR Eq Weights'!C81</f>
        <v>7.9917162356390168E-4</v>
      </c>
      <c r="C82">
        <f>'Parm VaR Eq Weights'!D81</f>
        <v>5.037605747612129E-3</v>
      </c>
      <c r="D82">
        <f>'Parm VaR Eq Weights'!E81</f>
        <v>-7.6963058003129093E-3</v>
      </c>
      <c r="H82" s="60">
        <f t="shared" si="18"/>
        <v>6.2722174385859364E-5</v>
      </c>
      <c r="I82" s="60">
        <f t="shared" si="19"/>
        <v>1.0657542254361403E-4</v>
      </c>
      <c r="J82" s="60">
        <f t="shared" si="20"/>
        <v>8.3741874688386808E-5</v>
      </c>
      <c r="K82" s="60">
        <f t="shared" si="21"/>
        <v>7.9868714327771008E-5</v>
      </c>
      <c r="M82" s="60">
        <f t="shared" si="22"/>
        <v>-1.9261065702650493E-6</v>
      </c>
      <c r="N82" s="60">
        <f t="shared" si="23"/>
        <v>-9.4001379889029305E-6</v>
      </c>
      <c r="O82" s="60">
        <f t="shared" si="24"/>
        <v>2.2322426352991489E-6</v>
      </c>
      <c r="P82" s="60">
        <f t="shared" si="25"/>
        <v>-6.2498229147106858E-6</v>
      </c>
      <c r="Q82" s="60">
        <f t="shared" si="26"/>
        <v>-6.9374165264518454E-6</v>
      </c>
      <c r="R82" s="60">
        <f t="shared" si="27"/>
        <v>2.8494329756197097E-6</v>
      </c>
    </row>
    <row r="83" spans="1:18" x14ac:dyDescent="0.3">
      <c r="A83">
        <f>'Parm VaR Eq Weights'!B82</f>
        <v>4.4795984363044895E-3</v>
      </c>
      <c r="B83">
        <f>'Parm VaR Eq Weights'!C82</f>
        <v>1.6563532651232275E-2</v>
      </c>
      <c r="C83">
        <f>'Parm VaR Eq Weights'!D82</f>
        <v>1.3688301616016113E-3</v>
      </c>
      <c r="D83">
        <f>'Parm VaR Eq Weights'!E82</f>
        <v>-1.2293476589407696E-2</v>
      </c>
      <c r="H83" s="60">
        <f t="shared" si="18"/>
        <v>6.6021191582346894E-5</v>
      </c>
      <c r="I83" s="60">
        <f t="shared" si="19"/>
        <v>1.0021921770803178E-4</v>
      </c>
      <c r="J83" s="60">
        <f t="shared" si="20"/>
        <v>8.0240010507186081E-5</v>
      </c>
      <c r="K83" s="60">
        <f t="shared" si="21"/>
        <v>7.8630578846420555E-5</v>
      </c>
      <c r="M83" s="60">
        <f t="shared" si="22"/>
        <v>-1.2903163647954061E-6</v>
      </c>
      <c r="N83" s="60">
        <f t="shared" si="23"/>
        <v>-5.5568810671687545E-6</v>
      </c>
      <c r="O83" s="60">
        <f t="shared" si="24"/>
        <v>-2.9116314876873776E-6</v>
      </c>
      <c r="P83" s="60">
        <f t="shared" si="25"/>
        <v>-5.6332788459764021E-6</v>
      </c>
      <c r="Q83" s="60">
        <f t="shared" si="26"/>
        <v>-6.8902116869775547E-6</v>
      </c>
      <c r="R83" s="60">
        <f t="shared" si="27"/>
        <v>3.5220973698031226E-7</v>
      </c>
    </row>
    <row r="84" spans="1:18" x14ac:dyDescent="0.3">
      <c r="A84">
        <f>'Parm VaR Eq Weights'!B83</f>
        <v>7.025931033491264E-4</v>
      </c>
      <c r="B84">
        <f>'Parm VaR Eq Weights'!C83</f>
        <v>3.0798377363800726E-3</v>
      </c>
      <c r="C84">
        <f>'Parm VaR Eq Weights'!D83</f>
        <v>-3.567636322651194E-4</v>
      </c>
      <c r="D84">
        <f>'Parm VaR Eq Weights'!E83</f>
        <v>9.9922237981978964E-3</v>
      </c>
      <c r="H84" s="60">
        <f t="shared" si="18"/>
        <v>6.3263928216438574E-5</v>
      </c>
      <c r="I84" s="60">
        <f t="shared" si="19"/>
        <v>1.1066710147885614E-4</v>
      </c>
      <c r="J84" s="60">
        <f t="shared" si="20"/>
        <v>7.5538031637433525E-5</v>
      </c>
      <c r="K84" s="60">
        <f t="shared" si="21"/>
        <v>8.2980518114894217E-5</v>
      </c>
      <c r="M84" s="60">
        <f t="shared" si="22"/>
        <v>3.2389811149406294E-6</v>
      </c>
      <c r="N84" s="60">
        <f t="shared" si="23"/>
        <v>-4.8555596360500082E-6</v>
      </c>
      <c r="O84" s="60">
        <f t="shared" si="24"/>
        <v>-6.0411239088255314E-6</v>
      </c>
      <c r="P84" s="60">
        <f t="shared" si="25"/>
        <v>-3.9349223306770255E-6</v>
      </c>
      <c r="Q84" s="60">
        <f t="shared" si="26"/>
        <v>-1.869420303890775E-5</v>
      </c>
      <c r="R84" s="60">
        <f t="shared" si="27"/>
        <v>-6.785837400299812E-7</v>
      </c>
    </row>
    <row r="85" spans="1:18" x14ac:dyDescent="0.3">
      <c r="A85">
        <f>'Parm VaR Eq Weights'!B84</f>
        <v>8.5673925277203553E-3</v>
      </c>
      <c r="B85">
        <f>'Parm VaR Eq Weights'!C84</f>
        <v>5.3275012634745635E-3</v>
      </c>
      <c r="C85">
        <f>'Parm VaR Eq Weights'!D84</f>
        <v>-3.6066162646167319E-4</v>
      </c>
      <c r="D85">
        <f>'Parm VaR Eq Weights'!E84</f>
        <v>-3.6270714767304437E-3</v>
      </c>
      <c r="H85" s="60">
        <f t="shared" si="18"/>
        <v>5.9497710747584685E-5</v>
      </c>
      <c r="I85" s="60">
        <f t="shared" si="19"/>
        <v>1.0459619941907061E-4</v>
      </c>
      <c r="J85" s="60">
        <f t="shared" si="20"/>
        <v>7.1013386556545934E-5</v>
      </c>
      <c r="K85" s="60">
        <f t="shared" si="21"/>
        <v>8.3992359213996904E-5</v>
      </c>
      <c r="M85" s="60">
        <f t="shared" si="22"/>
        <v>3.1744746132250931E-6</v>
      </c>
      <c r="N85" s="60">
        <f t="shared" si="23"/>
        <v>-4.5792656379403227E-6</v>
      </c>
      <c r="O85" s="60">
        <f t="shared" si="24"/>
        <v>-5.2574284226319076E-6</v>
      </c>
      <c r="P85" s="60">
        <f t="shared" si="25"/>
        <v>-3.7647534366934921E-6</v>
      </c>
      <c r="Q85" s="60">
        <f t="shared" si="26"/>
        <v>-1.572608518113059E-5</v>
      </c>
      <c r="R85" s="60">
        <f t="shared" si="27"/>
        <v>-8.5176043902724545E-7</v>
      </c>
    </row>
    <row r="86" spans="1:18" x14ac:dyDescent="0.3">
      <c r="A86">
        <f>'Parm VaR Eq Weights'!B85</f>
        <v>-7.1418865944396052E-4</v>
      </c>
      <c r="B86">
        <f>'Parm VaR Eq Weights'!C85</f>
        <v>8.1106382836121076E-3</v>
      </c>
      <c r="C86">
        <f>'Parm VaR Eq Weights'!D85</f>
        <v>-3.7662399911575918E-4</v>
      </c>
      <c r="D86">
        <f>'Parm VaR Eq Weights'!E85</f>
        <v>1.0841347864745238E-2</v>
      </c>
      <c r="H86" s="60">
        <f t="shared" si="18"/>
        <v>6.033186098617192E-5</v>
      </c>
      <c r="I86" s="60">
        <f t="shared" si="19"/>
        <v>1.0002336363666576E-4</v>
      </c>
      <c r="J86" s="60">
        <f t="shared" si="20"/>
        <v>6.6760387971681303E-5</v>
      </c>
      <c r="K86" s="60">
        <f t="shared" si="21"/>
        <v>7.9742156510995783E-5</v>
      </c>
      <c r="M86" s="60">
        <f t="shared" si="22"/>
        <v>5.7225738073983533E-6</v>
      </c>
      <c r="N86" s="60">
        <f t="shared" si="23"/>
        <v>-4.4899054830788957E-6</v>
      </c>
      <c r="O86" s="60">
        <f t="shared" si="24"/>
        <v>-6.8064554213088764E-6</v>
      </c>
      <c r="P86" s="60">
        <f t="shared" si="25"/>
        <v>-3.654153746731564E-6</v>
      </c>
      <c r="Q86" s="60">
        <f t="shared" si="26"/>
        <v>-1.5941913742762395E-5</v>
      </c>
      <c r="R86" s="60">
        <f t="shared" si="27"/>
        <v>-7.2216608280018995E-7</v>
      </c>
    </row>
    <row r="87" spans="1:18" x14ac:dyDescent="0.3">
      <c r="A87">
        <f>'Parm VaR Eq Weights'!B86</f>
        <v>3.1259043500576704E-3</v>
      </c>
      <c r="B87">
        <f>'Parm VaR Eq Weights'!C86</f>
        <v>-1.7593577746037689E-2</v>
      </c>
      <c r="C87">
        <f>'Parm VaR Eq Weights'!D86</f>
        <v>9.3576404354742508E-3</v>
      </c>
      <c r="D87">
        <f>'Parm VaR Eq Weights'!E86</f>
        <v>-1.0620201633983452E-2</v>
      </c>
      <c r="H87" s="60">
        <f t="shared" si="18"/>
        <v>5.6742553253478309E-5</v>
      </c>
      <c r="I87" s="60">
        <f t="shared" si="19"/>
        <v>9.7968909020521461E-5</v>
      </c>
      <c r="J87" s="60">
        <f t="shared" si="20"/>
        <v>6.2763275431583027E-5</v>
      </c>
      <c r="K87" s="60">
        <f t="shared" si="21"/>
        <v>8.2009716531801009E-5</v>
      </c>
      <c r="M87" s="60">
        <f t="shared" si="22"/>
        <v>5.0316678259739838E-6</v>
      </c>
      <c r="N87" s="60">
        <f t="shared" si="23"/>
        <v>-4.2043723187515873E-6</v>
      </c>
      <c r="O87" s="60">
        <f t="shared" si="24"/>
        <v>-6.8626341579156268E-6</v>
      </c>
      <c r="P87" s="60">
        <f t="shared" si="25"/>
        <v>-3.6181841834729919E-6</v>
      </c>
      <c r="Q87" s="60">
        <f t="shared" si="26"/>
        <v>-9.709583855931099E-6</v>
      </c>
      <c r="R87" s="60">
        <f t="shared" si="27"/>
        <v>-9.2382282514970572E-7</v>
      </c>
    </row>
    <row r="88" spans="1:18" x14ac:dyDescent="0.3">
      <c r="A88">
        <f>'Parm VaR Eq Weights'!B87</f>
        <v>1.0687077753775459E-3</v>
      </c>
      <c r="B88">
        <f>'Parm VaR Eq Weights'!C87</f>
        <v>3.4074411215576908E-3</v>
      </c>
      <c r="C88">
        <f>'Parm VaR Eq Weights'!D87</f>
        <v>4.0692711549535866E-3</v>
      </c>
      <c r="D88">
        <f>'Parm VaR Eq Weights'!E87</f>
        <v>3.6525326570922135E-3</v>
      </c>
      <c r="H88" s="60">
        <f t="shared" si="18"/>
        <v>5.3924276738612177E-5</v>
      </c>
      <c r="I88" s="60">
        <f t="shared" si="19"/>
        <v>1.1066281315364254E-4</v>
      </c>
      <c r="J88" s="60">
        <f t="shared" si="20"/>
        <v>6.4251404976865402E-5</v>
      </c>
      <c r="K88" s="60">
        <f t="shared" si="21"/>
        <v>8.3856454504680844E-5</v>
      </c>
      <c r="M88" s="60">
        <f t="shared" si="22"/>
        <v>1.4300172838505193E-6</v>
      </c>
      <c r="N88" s="60">
        <f t="shared" si="23"/>
        <v>-2.1970446430150193E-6</v>
      </c>
      <c r="O88" s="60">
        <f t="shared" si="24"/>
        <v>-8.4427401776101975E-6</v>
      </c>
      <c r="P88" s="60">
        <f t="shared" si="25"/>
        <v>-1.3279155603723555E-5</v>
      </c>
      <c r="Q88" s="60">
        <f t="shared" si="26"/>
        <v>2.0838317629898402E-6</v>
      </c>
      <c r="R88" s="60">
        <f t="shared" si="27"/>
        <v>-6.8311951502239236E-6</v>
      </c>
    </row>
    <row r="89" spans="1:18" x14ac:dyDescent="0.3">
      <c r="A89">
        <f>'Parm VaR Eq Weights'!B88</f>
        <v>1.7433853342918365E-3</v>
      </c>
      <c r="B89">
        <f>'Parm VaR Eq Weights'!C88</f>
        <v>1.2671165698104479E-3</v>
      </c>
      <c r="C89">
        <f>'Parm VaR Eq Weights'!D88</f>
        <v>-1.2134538998427417E-3</v>
      </c>
      <c r="D89">
        <f>'Parm VaR Eq Weights'!E88</f>
        <v>7.1818430400393775E-3</v>
      </c>
      <c r="H89" s="60">
        <f t="shared" si="18"/>
        <v>5.0757348312844586E-5</v>
      </c>
      <c r="I89" s="60">
        <f t="shared" si="19"/>
        <v>1.0471968366423693E-4</v>
      </c>
      <c r="J89" s="60">
        <f t="shared" si="20"/>
        <v>6.1389858742205713E-5</v>
      </c>
      <c r="K89" s="60">
        <f t="shared" si="21"/>
        <v>7.96255269230675E-5</v>
      </c>
      <c r="M89" s="60">
        <f t="shared" si="22"/>
        <v>1.5627097760644816E-6</v>
      </c>
      <c r="N89" s="60">
        <f t="shared" si="23"/>
        <v>-1.80429026102901E-6</v>
      </c>
      <c r="O89" s="60">
        <f t="shared" si="24"/>
        <v>-7.7019663639262934E-6</v>
      </c>
      <c r="P89" s="60">
        <f t="shared" si="25"/>
        <v>-1.1650458155410696E-5</v>
      </c>
      <c r="Q89" s="60">
        <f t="shared" si="26"/>
        <v>2.7055492556269533E-6</v>
      </c>
      <c r="R89" s="60">
        <f t="shared" si="27"/>
        <v>-5.5295346941686079E-6</v>
      </c>
    </row>
    <row r="90" spans="1:18" x14ac:dyDescent="0.3">
      <c r="A90">
        <f>'Parm VaR Eq Weights'!B89</f>
        <v>-4.0261279241578449E-3</v>
      </c>
      <c r="B90">
        <f>'Parm VaR Eq Weights'!C89</f>
        <v>-1.2150256256259394E-2</v>
      </c>
      <c r="C90">
        <f>'Parm VaR Eq Weights'!D89</f>
        <v>7.806248514494199E-3</v>
      </c>
      <c r="D90">
        <f>'Parm VaR Eq Weights'!E89</f>
        <v>-8.7693134684633505E-3</v>
      </c>
      <c r="H90" s="60">
        <f t="shared" si="18"/>
        <v>4.7894270959503335E-5</v>
      </c>
      <c r="I90" s="60">
        <f t="shared" si="19"/>
        <v>9.8532837708471992E-5</v>
      </c>
      <c r="J90" s="60">
        <f t="shared" si="20"/>
        <v>5.7794815439695981E-5</v>
      </c>
      <c r="K90" s="60">
        <f t="shared" si="21"/>
        <v>7.7942727474789169E-5</v>
      </c>
      <c r="M90" s="60">
        <f t="shared" si="22"/>
        <v>1.6014915361793555E-6</v>
      </c>
      <c r="N90" s="60">
        <f t="shared" si="23"/>
        <v>-1.8229639093367735E-6</v>
      </c>
      <c r="O90" s="60">
        <f t="shared" si="24"/>
        <v>-6.4886051923392818E-6</v>
      </c>
      <c r="P90" s="60">
        <f t="shared" si="25"/>
        <v>-1.1043685918677565E-5</v>
      </c>
      <c r="Q90" s="60">
        <f t="shared" si="26"/>
        <v>3.0892302393580405E-6</v>
      </c>
      <c r="R90" s="60">
        <f t="shared" si="27"/>
        <v>-5.7206527392181456E-6</v>
      </c>
    </row>
    <row r="91" spans="1:18" x14ac:dyDescent="0.3">
      <c r="A91">
        <f>'Parm VaR Eq Weights'!B90</f>
        <v>2.4715496262726938E-3</v>
      </c>
      <c r="B91">
        <f>'Parm VaR Eq Weights'!C90</f>
        <v>-9.2751529406175318E-3</v>
      </c>
      <c r="C91">
        <f>'Parm VaR Eq Weights'!D90</f>
        <v>-6.3345567778281212E-3</v>
      </c>
      <c r="D91">
        <f>'Parm VaR Eq Weights'!E90</f>
        <v>4.2290758903084993E-3</v>
      </c>
      <c r="H91" s="60">
        <f t="shared" si="18"/>
        <v>4.5993197065634148E-5</v>
      </c>
      <c r="I91" s="60">
        <f t="shared" si="19"/>
        <v>1.0147859107152992E-4</v>
      </c>
      <c r="J91" s="60">
        <f t="shared" si="20"/>
        <v>5.7983377465516794E-5</v>
      </c>
      <c r="K91" s="60">
        <f t="shared" si="21"/>
        <v>7.788021534879219E-5</v>
      </c>
      <c r="M91" s="60">
        <f t="shared" si="22"/>
        <v>4.440511203948567E-6</v>
      </c>
      <c r="N91" s="60">
        <f t="shared" si="23"/>
        <v>-3.5993233824038161E-6</v>
      </c>
      <c r="O91" s="60">
        <f t="shared" si="24"/>
        <v>-3.9809062109344965E-6</v>
      </c>
      <c r="P91" s="60">
        <f t="shared" si="25"/>
        <v>-1.6071939954625841E-5</v>
      </c>
      <c r="Q91" s="60">
        <f t="shared" si="26"/>
        <v>9.2968407749943586E-6</v>
      </c>
      <c r="R91" s="60">
        <f t="shared" si="27"/>
        <v>-9.4847399890446201E-6</v>
      </c>
    </row>
    <row r="92" spans="1:18" x14ac:dyDescent="0.3">
      <c r="A92">
        <f>'Parm VaR Eq Weights'!B91</f>
        <v>-1.0171026706909943E-3</v>
      </c>
      <c r="B92">
        <f>'Parm VaR Eq Weights'!C91</f>
        <v>-4.2930012655925057E-3</v>
      </c>
      <c r="C92">
        <f>'Parm VaR Eq Weights'!D91</f>
        <v>-3.8317209399343463E-3</v>
      </c>
      <c r="D92">
        <f>'Parm VaR Eq Weights'!E91</f>
        <v>-3.0863569236209976E-4</v>
      </c>
      <c r="H92" s="60">
        <f t="shared" si="18"/>
        <v>4.3600118695003813E-5</v>
      </c>
      <c r="I92" s="60">
        <f t="shared" si="19"/>
        <v>1.0055158333154888E-4</v>
      </c>
      <c r="J92" s="60">
        <f t="shared" si="20"/>
        <v>5.6911971391877476E-5</v>
      </c>
      <c r="K92" s="60">
        <f t="shared" si="21"/>
        <v>7.4280507401023975E-5</v>
      </c>
      <c r="M92" s="60">
        <f t="shared" si="22"/>
        <v>2.7986404846713313E-6</v>
      </c>
      <c r="N92" s="60">
        <f t="shared" si="23"/>
        <v>-4.322734265670243E-6</v>
      </c>
      <c r="O92" s="60">
        <f t="shared" si="24"/>
        <v>-3.1149095821081761E-6</v>
      </c>
      <c r="P92" s="60">
        <f t="shared" si="25"/>
        <v>-1.1582384581825413E-5</v>
      </c>
      <c r="Q92" s="60">
        <f t="shared" si="26"/>
        <v>6.38551078768932E-6</v>
      </c>
      <c r="R92" s="60">
        <f t="shared" si="27"/>
        <v>-1.0523014870396136E-5</v>
      </c>
    </row>
    <row r="93" spans="1:18" x14ac:dyDescent="0.3">
      <c r="A93">
        <f>'Parm VaR Eq Weights'!B92</f>
        <v>-2.1261277232105065E-3</v>
      </c>
      <c r="B93">
        <f>'Parm VaR Eq Weights'!C92</f>
        <v>-2.7758297368400516E-2</v>
      </c>
      <c r="C93">
        <f>'Parm VaR Eq Weights'!D92</f>
        <v>-1.4705049055562214E-2</v>
      </c>
      <c r="D93">
        <f>'Parm VaR Eq Weights'!E92</f>
        <v>3.847797218964099E-3</v>
      </c>
      <c r="H93" s="60">
        <f t="shared" si="18"/>
        <v>4.1046181443867187E-5</v>
      </c>
      <c r="I93" s="60">
        <f t="shared" si="19"/>
        <v>9.5624279923638676E-5</v>
      </c>
      <c r="J93" s="60">
        <f t="shared" si="20"/>
        <v>5.437817823005671E-5</v>
      </c>
      <c r="K93" s="60">
        <f t="shared" si="21"/>
        <v>6.9829392316398523E-5</v>
      </c>
      <c r="M93" s="60">
        <f t="shared" si="22"/>
        <v>2.892707438741889E-6</v>
      </c>
      <c r="N93" s="60">
        <f t="shared" si="23"/>
        <v>-3.8295349936490379E-6</v>
      </c>
      <c r="O93" s="60">
        <f t="shared" si="24"/>
        <v>-2.9091801559633621E-6</v>
      </c>
      <c r="P93" s="60">
        <f t="shared" si="25"/>
        <v>-9.9004665362437584E-6</v>
      </c>
      <c r="Q93" s="60">
        <f t="shared" si="26"/>
        <v>6.0818785455030119E-6</v>
      </c>
      <c r="R93" s="60">
        <f t="shared" si="27"/>
        <v>-9.8206776274582678E-6</v>
      </c>
    </row>
    <row r="94" spans="1:18" x14ac:dyDescent="0.3">
      <c r="A94">
        <f>'Parm VaR Eq Weights'!B93</f>
        <v>-4.0234022532672654E-3</v>
      </c>
      <c r="B94">
        <f>'Parm VaR Eq Weights'!C93</f>
        <v>7.7378297577048918E-3</v>
      </c>
      <c r="C94">
        <f>'Parm VaR Eq Weights'!D93</f>
        <v>2.2160528016779038E-3</v>
      </c>
      <c r="D94">
        <f>'Parm VaR Eq Weights'!E93</f>
        <v>-1.1758217449926939E-2</v>
      </c>
      <c r="H94" s="60">
        <f t="shared" si="18"/>
        <v>3.8854635702959414E-5</v>
      </c>
      <c r="I94" s="60">
        <f t="shared" si="19"/>
        <v>1.3611820749577345E-4</v>
      </c>
      <c r="J94" s="60">
        <f t="shared" si="20"/>
        <v>6.4089795599842791E-5</v>
      </c>
      <c r="K94" s="60">
        <f t="shared" si="21"/>
        <v>6.6527961383710673E-5</v>
      </c>
      <c r="M94" s="60">
        <f t="shared" si="22"/>
        <v>6.2602061274620341E-6</v>
      </c>
      <c r="N94" s="60">
        <f t="shared" si="23"/>
        <v>-1.7238741459380158E-6</v>
      </c>
      <c r="O94" s="60">
        <f t="shared" si="24"/>
        <v>-3.2254838470374721E-6</v>
      </c>
      <c r="P94" s="60">
        <f t="shared" si="25"/>
        <v>1.5184788926003678E-5</v>
      </c>
      <c r="Q94" s="60">
        <f t="shared" si="26"/>
        <v>-6.9153213226577369E-7</v>
      </c>
      <c r="R94" s="60">
        <f t="shared" si="27"/>
        <v>-1.262635978145415E-5</v>
      </c>
    </row>
    <row r="95" spans="1:18" x14ac:dyDescent="0.3">
      <c r="A95">
        <f>'Parm VaR Eq Weights'!B94</f>
        <v>1.7121541196234353E-3</v>
      </c>
      <c r="B95">
        <f>'Parm VaR Eq Weights'!C94</f>
        <v>-1.34737625104838E-2</v>
      </c>
      <c r="C95">
        <f>'Parm VaR Eq Weights'!D94</f>
        <v>-1.4857551577760301E-2</v>
      </c>
      <c r="D95">
        <f>'Parm VaR Eq Weights'!E94</f>
        <v>4.0424229251325265E-3</v>
      </c>
      <c r="H95" s="60">
        <f t="shared" si="18"/>
        <v>3.7494623502277617E-5</v>
      </c>
      <c r="I95" s="60">
        <f t="shared" si="19"/>
        <v>1.3154355560758045E-4</v>
      </c>
      <c r="J95" s="60">
        <f t="shared" si="20"/>
        <v>6.0539061265041689E-5</v>
      </c>
      <c r="K95" s="60">
        <f t="shared" si="21"/>
        <v>7.0831624356674014E-5</v>
      </c>
      <c r="M95" s="60">
        <f t="shared" si="22"/>
        <v>4.0166496588614081E-6</v>
      </c>
      <c r="N95" s="60">
        <f t="shared" si="23"/>
        <v>-2.1554060073195419E-6</v>
      </c>
      <c r="O95" s="60">
        <f t="shared" si="24"/>
        <v>-1.9347250126866955E-7</v>
      </c>
      <c r="P95" s="60">
        <f t="shared" si="25"/>
        <v>1.5302547949251572E-5</v>
      </c>
      <c r="Q95" s="60">
        <f t="shared" si="26"/>
        <v>-6.1090252972264086E-6</v>
      </c>
      <c r="R95" s="60">
        <f t="shared" si="27"/>
        <v>-1.3432188037925819E-5</v>
      </c>
    </row>
    <row r="96" spans="1:18" x14ac:dyDescent="0.3">
      <c r="A96">
        <f>'Parm VaR Eq Weights'!B95</f>
        <v>-6.3455103018463079E-3</v>
      </c>
      <c r="B96">
        <f>'Parm VaR Eq Weights'!C95</f>
        <v>1.4557743061961194E-3</v>
      </c>
      <c r="C96">
        <f>'Parm VaR Eq Weights'!D95</f>
        <v>8.2683050749545878E-3</v>
      </c>
      <c r="D96">
        <f>'Parm VaR Eq Weights'!E95</f>
        <v>-1.0508709846834699E-2</v>
      </c>
      <c r="H96" s="60">
        <f t="shared" si="18"/>
        <v>3.5420834395901571E-5</v>
      </c>
      <c r="I96" s="60">
        <f t="shared" si="19"/>
        <v>1.3454347884246076E-4</v>
      </c>
      <c r="J96" s="60">
        <f t="shared" si="20"/>
        <v>7.0151527922287659E-5</v>
      </c>
      <c r="K96" s="60">
        <f t="shared" si="21"/>
        <v>6.7562197881611787E-5</v>
      </c>
      <c r="M96" s="60">
        <f t="shared" si="22"/>
        <v>2.391501199980564E-6</v>
      </c>
      <c r="N96" s="60">
        <f t="shared" si="23"/>
        <v>-3.5523867353631691E-6</v>
      </c>
      <c r="O96" s="60">
        <f t="shared" si="24"/>
        <v>2.3341091267900342E-7</v>
      </c>
      <c r="P96" s="60">
        <f t="shared" si="25"/>
        <v>2.6395622359056855E-5</v>
      </c>
      <c r="Q96" s="60">
        <f t="shared" si="26"/>
        <v>-9.010482567003081E-6</v>
      </c>
      <c r="R96" s="60">
        <f t="shared" si="27"/>
        <v>-1.6229887182206904E-5</v>
      </c>
    </row>
    <row r="97" spans="1:18" x14ac:dyDescent="0.3">
      <c r="A97">
        <f>'Parm VaR Eq Weights'!B96</f>
        <v>1.8619344893302517E-3</v>
      </c>
      <c r="B97">
        <f>'Parm VaR Eq Weights'!C96</f>
        <v>-1.2860440443646173E-2</v>
      </c>
      <c r="C97">
        <f>'Parm VaR Eq Weights'!D96</f>
        <v>-1.9416652585217051E-2</v>
      </c>
      <c r="D97">
        <f>'Parm VaR Eq Weights'!E96</f>
        <v>-1.6724855245521034E-2</v>
      </c>
      <c r="H97" s="60">
        <f t="shared" si="18"/>
        <v>3.5711514391597735E-5</v>
      </c>
      <c r="I97" s="60">
        <f t="shared" si="19"/>
        <v>1.2659802684174796E-4</v>
      </c>
      <c r="J97" s="60">
        <f t="shared" si="20"/>
        <v>7.0044328375701599E-5</v>
      </c>
      <c r="K97" s="60">
        <f t="shared" si="21"/>
        <v>7.0134444967412718E-5</v>
      </c>
      <c r="M97" s="60">
        <f t="shared" si="22"/>
        <v>1.6937532765538913E-6</v>
      </c>
      <c r="N97" s="60">
        <f t="shared" si="23"/>
        <v>-6.4872404331573287E-6</v>
      </c>
      <c r="O97" s="60">
        <f t="shared" si="24"/>
        <v>4.2203938534504664E-6</v>
      </c>
      <c r="P97" s="60">
        <f t="shared" si="25"/>
        <v>2.5534092182548036E-5</v>
      </c>
      <c r="Q97" s="60">
        <f t="shared" si="26"/>
        <v>-9.3877522001604233E-6</v>
      </c>
      <c r="R97" s="60">
        <f t="shared" si="27"/>
        <v>-2.0469447088743008E-5</v>
      </c>
    </row>
    <row r="98" spans="1:18" x14ac:dyDescent="0.3">
      <c r="A98">
        <f>'Parm VaR Eq Weights'!B97</f>
        <v>-1.3724669170993424E-2</v>
      </c>
      <c r="B98">
        <f>'Parm VaR Eq Weights'!C97</f>
        <v>-2.7619610893598661E-3</v>
      </c>
      <c r="C98">
        <f>'Parm VaR Eq Weights'!D97</f>
        <v>-2.3387085056920838E-3</v>
      </c>
      <c r="D98">
        <f>'Parm VaR Eq Weights'!E97</f>
        <v>9.9635595020524503E-3</v>
      </c>
      <c r="H98" s="60">
        <f t="shared" si="18"/>
        <v>3.3776831530655316E-5</v>
      </c>
      <c r="I98" s="60">
        <f t="shared" si="19"/>
        <v>1.2892560093551731E-4</v>
      </c>
      <c r="J98" s="60">
        <f t="shared" si="20"/>
        <v>8.8462052530060469E-5</v>
      </c>
      <c r="K98" s="60">
        <f t="shared" si="21"/>
        <v>8.2709625248385927E-5</v>
      </c>
      <c r="M98" s="60">
        <f t="shared" si="22"/>
        <v>1.5541022336050924E-7</v>
      </c>
      <c r="N98" s="60">
        <f t="shared" si="23"/>
        <v>-8.2671581141134318E-6</v>
      </c>
      <c r="O98" s="60">
        <f t="shared" si="24"/>
        <v>2.0987351336019416E-6</v>
      </c>
      <c r="P98" s="60">
        <f t="shared" si="25"/>
        <v>3.8984448902824307E-5</v>
      </c>
      <c r="Q98" s="60">
        <f t="shared" si="26"/>
        <v>4.0808532206668075E-6</v>
      </c>
      <c r="R98" s="60">
        <f t="shared" si="27"/>
        <v>2.4316196700120644E-7</v>
      </c>
    </row>
    <row r="99" spans="1:18" x14ac:dyDescent="0.3">
      <c r="A99">
        <f>'Parm VaR Eq Weights'!B98</f>
        <v>2.2045773020528221E-3</v>
      </c>
      <c r="B99">
        <f>'Parm VaR Eq Weights'!C98</f>
        <v>-1.8182657969855329E-2</v>
      </c>
      <c r="C99">
        <f>'Parm VaR Eq Weights'!D98</f>
        <v>8.8246933881750266E-3</v>
      </c>
      <c r="D99">
        <f>'Parm VaR Eq Weights'!E98</f>
        <v>4.5811523534872783E-3</v>
      </c>
      <c r="H99" s="60">
        <f t="shared" si="18"/>
        <v>4.3052214270009044E-5</v>
      </c>
      <c r="I99" s="60">
        <f t="shared" si="19"/>
        <v>1.2164777062293453E-4</v>
      </c>
      <c r="J99" s="60">
        <f t="shared" si="20"/>
        <v>8.3482502826732615E-5</v>
      </c>
      <c r="K99" s="60">
        <f t="shared" si="21"/>
        <v>8.3703398810539153E-5</v>
      </c>
      <c r="M99" s="60">
        <f t="shared" si="22"/>
        <v>2.4205057428361268E-6</v>
      </c>
      <c r="N99" s="60">
        <f t="shared" si="23"/>
        <v>-5.8452485955858899E-6</v>
      </c>
      <c r="O99" s="60">
        <f t="shared" si="24"/>
        <v>-6.2319824502848541E-6</v>
      </c>
      <c r="P99" s="60">
        <f t="shared" si="25"/>
        <v>3.7032947282179436E-5</v>
      </c>
      <c r="Q99" s="60">
        <f t="shared" si="26"/>
        <v>2.1848642080553593E-6</v>
      </c>
      <c r="R99" s="60">
        <f t="shared" si="27"/>
        <v>-1.1695394322840221E-6</v>
      </c>
    </row>
    <row r="100" spans="1:18" x14ac:dyDescent="0.3">
      <c r="A100">
        <f>'Parm VaR Eq Weights'!B99</f>
        <v>-8.6043552078701492E-3</v>
      </c>
      <c r="B100">
        <f>'Parm VaR Eq Weights'!C99</f>
        <v>4.9745822673390137E-3</v>
      </c>
      <c r="C100">
        <f>'Parm VaR Eq Weights'!D99</f>
        <v>-1.9588793188229144E-2</v>
      </c>
      <c r="D100">
        <f>'Parm VaR Eq Weights'!E99</f>
        <v>-8.4305976619364325E-3</v>
      </c>
      <c r="H100" s="60">
        <f t="shared" si="18"/>
        <v>4.0760691078652084E-5</v>
      </c>
      <c r="I100" s="60">
        <f t="shared" si="19"/>
        <v>1.3418544743648309E-4</v>
      </c>
      <c r="J100" s="60">
        <f t="shared" si="20"/>
        <v>8.3146065460846657E-5</v>
      </c>
      <c r="K100" s="60">
        <f t="shared" si="21"/>
        <v>7.9940412295058524E-5</v>
      </c>
      <c r="M100" s="60">
        <f t="shared" si="22"/>
        <v>-1.2982910481401743E-7</v>
      </c>
      <c r="N100" s="60">
        <f t="shared" si="23"/>
        <v>-4.3272505553819589E-6</v>
      </c>
      <c r="O100" s="60">
        <f t="shared" si="24"/>
        <v>-5.2520932335231271E-6</v>
      </c>
      <c r="P100" s="60">
        <f t="shared" si="25"/>
        <v>2.5183587551286845E-5</v>
      </c>
      <c r="Q100" s="60">
        <f t="shared" si="26"/>
        <v>-2.9440792255033843E-6</v>
      </c>
      <c r="R100" s="60">
        <f t="shared" si="27"/>
        <v>1.3262688266955203E-6</v>
      </c>
    </row>
    <row r="101" spans="1:18" x14ac:dyDescent="0.3">
      <c r="A101">
        <f>'Parm VaR Eq Weights'!B100</f>
        <v>6.1786899400682943E-3</v>
      </c>
      <c r="B101">
        <f>'Parm VaR Eq Weights'!C100</f>
        <v>1.6064284535243195E-2</v>
      </c>
      <c r="C101">
        <f>'Parm VaR Eq Weights'!D100</f>
        <v>9.7955858945755047E-3</v>
      </c>
      <c r="D101">
        <f>'Parm VaR Eq Weights'!E100</f>
        <v>-3.7579177672991343E-3</v>
      </c>
      <c r="H101" s="60">
        <f t="shared" si="18"/>
        <v>4.275714532652509E-5</v>
      </c>
      <c r="I101" s="60">
        <f t="shared" si="19"/>
        <v>1.2761910871436554E-4</v>
      </c>
      <c r="J101" s="60">
        <f t="shared" si="20"/>
        <v>1.0118055064746863E-4</v>
      </c>
      <c r="K101" s="60">
        <f t="shared" si="21"/>
        <v>7.9408486173601888E-5</v>
      </c>
      <c r="M101" s="60">
        <f t="shared" si="22"/>
        <v>-2.6902237288625948E-6</v>
      </c>
      <c r="N101" s="60">
        <f t="shared" si="23"/>
        <v>6.0453205590428117E-6</v>
      </c>
      <c r="O101" s="60">
        <f t="shared" si="24"/>
        <v>-5.845762256352975E-7</v>
      </c>
      <c r="P101" s="60">
        <f t="shared" si="25"/>
        <v>1.7825808504245469E-5</v>
      </c>
      <c r="Q101" s="60">
        <f t="shared" si="26"/>
        <v>-5.2837565699015069E-6</v>
      </c>
      <c r="R101" s="60">
        <f t="shared" si="27"/>
        <v>1.1155406740264256E-5</v>
      </c>
    </row>
    <row r="102" spans="1:18" x14ac:dyDescent="0.3">
      <c r="A102">
        <f>'Parm VaR Eq Weights'!B101</f>
        <v>7.5840311129960977E-4</v>
      </c>
      <c r="B102">
        <f>'Parm VaR Eq Weights'!C101</f>
        <v>-1.4143930754880822E-2</v>
      </c>
      <c r="C102">
        <f>'Parm VaR Eq Weights'!D101</f>
        <v>-4.5742379874241261E-3</v>
      </c>
      <c r="D102">
        <f>'Parm VaR Eq Weights'!E101</f>
        <v>-5.3562574057392865E-3</v>
      </c>
      <c r="H102" s="60">
        <f t="shared" si="18"/>
        <v>4.2482289169463654E-5</v>
      </c>
      <c r="I102" s="60">
        <f t="shared" si="19"/>
        <v>1.3544563644925884E-4</v>
      </c>
      <c r="J102" s="60">
        <f t="shared" si="20"/>
        <v>1.0086692778970091E-4</v>
      </c>
      <c r="K102" s="60">
        <f t="shared" si="21"/>
        <v>7.549129375993272E-5</v>
      </c>
      <c r="M102" s="60">
        <f t="shared" si="22"/>
        <v>3.4265636900072745E-6</v>
      </c>
      <c r="N102" s="60">
        <f t="shared" si="23"/>
        <v>9.3140346069335595E-6</v>
      </c>
      <c r="O102" s="60">
        <f t="shared" si="24"/>
        <v>-1.9426421743620847E-6</v>
      </c>
      <c r="P102" s="60">
        <f t="shared" si="25"/>
        <v>2.6197804733983288E-5</v>
      </c>
      <c r="Q102" s="60">
        <f t="shared" si="26"/>
        <v>-8.5888267921437665E-6</v>
      </c>
      <c r="R102" s="60">
        <f t="shared" si="27"/>
        <v>8.2774219593885936E-6</v>
      </c>
    </row>
    <row r="103" spans="1:18" x14ac:dyDescent="0.3">
      <c r="A103">
        <f>'Parm VaR Eq Weights'!B102</f>
        <v>3.0679575043312929E-3</v>
      </c>
      <c r="B103">
        <f>'Parm VaR Eq Weights'!C102</f>
        <v>-1.0646148865401961E-2</v>
      </c>
      <c r="C103">
        <f>'Parm VaR Eq Weights'!D102</f>
        <v>1.2178448451897294E-2</v>
      </c>
      <c r="D103">
        <f>'Parm VaR Eq Weights'!E102</f>
        <v>-5.0599791568566822E-3</v>
      </c>
      <c r="H103" s="60">
        <f t="shared" si="18"/>
        <v>3.9967862336049565E-5</v>
      </c>
      <c r="I103" s="60">
        <f t="shared" si="19"/>
        <v>1.3932194489423515E-4</v>
      </c>
      <c r="J103" s="60">
        <f t="shared" si="20"/>
        <v>9.6070331312254494E-5</v>
      </c>
      <c r="K103" s="60">
        <f t="shared" si="21"/>
        <v>7.268318573812896E-5</v>
      </c>
      <c r="M103" s="60">
        <f t="shared" si="22"/>
        <v>2.5773618031763659E-6</v>
      </c>
      <c r="N103" s="60">
        <f t="shared" si="23"/>
        <v>8.5470455512283061E-6</v>
      </c>
      <c r="O103" s="60">
        <f t="shared" si="24"/>
        <v>-2.0698157807864147E-6</v>
      </c>
      <c r="P103" s="60">
        <f t="shared" si="25"/>
        <v>2.8507798770972627E-5</v>
      </c>
      <c r="Q103" s="60">
        <f t="shared" si="26"/>
        <v>-3.5279851534894933E-6</v>
      </c>
      <c r="R103" s="60">
        <f t="shared" si="27"/>
        <v>9.2508244075705467E-6</v>
      </c>
    </row>
    <row r="104" spans="1:18" x14ac:dyDescent="0.3">
      <c r="A104">
        <f>'Parm VaR Eq Weights'!B103</f>
        <v>-4.9473505407420315E-3</v>
      </c>
      <c r="B104">
        <f>'Parm VaR Eq Weights'!C103</f>
        <v>-2.109651382675225E-3</v>
      </c>
      <c r="C104">
        <f>'Parm VaR Eq Weights'!D103</f>
        <v>-7.0664914265583965E-3</v>
      </c>
      <c r="D104">
        <f>'Parm VaR Eq Weights'!E103</f>
        <v>-6.8692953059530711E-3</v>
      </c>
      <c r="H104" s="60">
        <f t="shared" si="18"/>
        <v>3.8134532390789546E-5</v>
      </c>
      <c r="I104" s="60">
        <f t="shared" si="19"/>
        <v>1.3776305734043901E-4</v>
      </c>
      <c r="J104" s="60">
        <f t="shared" si="20"/>
        <v>9.9204987835250401E-5</v>
      </c>
      <c r="K104" s="60">
        <f t="shared" si="21"/>
        <v>6.9858397937910658E-5</v>
      </c>
      <c r="M104" s="60">
        <f t="shared" si="22"/>
        <v>4.6300415675550034E-7</v>
      </c>
      <c r="N104" s="60">
        <f t="shared" si="23"/>
        <v>1.0276000557301217E-5</v>
      </c>
      <c r="O104" s="60">
        <f t="shared" si="24"/>
        <v>-2.8770548955015336E-6</v>
      </c>
      <c r="P104" s="60">
        <f t="shared" si="25"/>
        <v>1.9018116334602904E-5</v>
      </c>
      <c r="Q104" s="60">
        <f t="shared" si="26"/>
        <v>-8.4148562696479982E-8</v>
      </c>
      <c r="R104" s="60">
        <f t="shared" si="27"/>
        <v>4.9984132233490806E-6</v>
      </c>
    </row>
    <row r="105" spans="1:18" x14ac:dyDescent="0.3">
      <c r="A105">
        <f>'Parm VaR Eq Weights'!B104</f>
        <v>8.6208034180800981E-3</v>
      </c>
      <c r="B105">
        <f>'Parm VaR Eq Weights'!C104</f>
        <v>4.7380906717401734E-3</v>
      </c>
      <c r="C105">
        <f>'Parm VaR Eq Weights'!D104</f>
        <v>1.0779929052201475E-2</v>
      </c>
      <c r="D105">
        <f>'Parm VaR Eq Weights'!E104</f>
        <v>2.3642233613070198E-3</v>
      </c>
      <c r="H105" s="60">
        <f t="shared" si="18"/>
        <v>3.7315037089721002E-5</v>
      </c>
      <c r="I105" s="60">
        <f t="shared" si="19"/>
        <v>1.2976431163739806E-4</v>
      </c>
      <c r="J105" s="60">
        <f t="shared" si="20"/>
        <v>9.6248806630032778E-5</v>
      </c>
      <c r="K105" s="60">
        <f t="shared" si="21"/>
        <v>6.849812714165935E-5</v>
      </c>
      <c r="M105" s="60">
        <f t="shared" si="22"/>
        <v>1.0614550018814979E-6</v>
      </c>
      <c r="N105" s="60">
        <f t="shared" si="23"/>
        <v>1.1757065134683103E-5</v>
      </c>
      <c r="O105" s="60">
        <f t="shared" si="24"/>
        <v>-6.653428909860219E-7</v>
      </c>
      <c r="P105" s="60">
        <f t="shared" si="25"/>
        <v>1.8771499359048822E-5</v>
      </c>
      <c r="Q105" s="60">
        <f t="shared" si="26"/>
        <v>7.9040945147780934E-7</v>
      </c>
      <c r="R105" s="60">
        <f t="shared" si="27"/>
        <v>7.6110174131090513E-6</v>
      </c>
    </row>
    <row r="106" spans="1:18" x14ac:dyDescent="0.3">
      <c r="A106">
        <f>'Parm VaR Eq Weights'!B105</f>
        <v>8.4812816194133941E-3</v>
      </c>
      <c r="B106">
        <f>'Parm VaR Eq Weights'!C105</f>
        <v>1.3168734087826652E-2</v>
      </c>
      <c r="C106">
        <f>'Parm VaR Eq Weights'!D105</f>
        <v>2.2133829785846108E-3</v>
      </c>
      <c r="D106">
        <f>'Parm VaR Eq Weights'!E105</f>
        <v>-2.5243073584190118E-2</v>
      </c>
      <c r="H106" s="60">
        <f t="shared" si="18"/>
        <v>3.9535229958728634E-5</v>
      </c>
      <c r="I106" s="60">
        <f t="shared" si="19"/>
        <v>1.2332542313197204E-4</v>
      </c>
      <c r="J106" s="60">
        <f t="shared" si="20"/>
        <v>9.7446290454460656E-5</v>
      </c>
      <c r="K106" s="60">
        <f t="shared" si="21"/>
        <v>6.4723612639288784E-5</v>
      </c>
      <c r="M106" s="60">
        <f t="shared" si="22"/>
        <v>3.4485365972552769E-6</v>
      </c>
      <c r="N106" s="60">
        <f t="shared" si="23"/>
        <v>1.6627540179794885E-5</v>
      </c>
      <c r="O106" s="60">
        <f t="shared" si="24"/>
        <v>5.9746797252876293E-7</v>
      </c>
      <c r="P106" s="60">
        <f t="shared" si="25"/>
        <v>2.0709786274561296E-5</v>
      </c>
      <c r="Q106" s="60">
        <f t="shared" si="26"/>
        <v>1.4150991636362806E-6</v>
      </c>
      <c r="R106" s="60">
        <f t="shared" si="27"/>
        <v>8.6835259742293278E-6</v>
      </c>
    </row>
    <row r="107" spans="1:18" x14ac:dyDescent="0.3">
      <c r="A107">
        <f>'Parm VaR Eq Weights'!B106</f>
        <v>8.8229860643219485E-3</v>
      </c>
      <c r="B107">
        <f>'Parm VaR Eq Weights'!C106</f>
        <v>-2.1785732959208969E-4</v>
      </c>
      <c r="C107">
        <f>'Parm VaR Eq Weights'!D106</f>
        <v>1.0716068433960639E-2</v>
      </c>
      <c r="D107">
        <f>'Parm VaR Eq Weights'!E106</f>
        <v>5.3027975467629458E-4</v>
      </c>
      <c r="H107" s="60">
        <f t="shared" si="18"/>
        <v>4.1479044435672888E-5</v>
      </c>
      <c r="I107" s="60">
        <f t="shared" si="19"/>
        <v>1.2633083119260698E-4</v>
      </c>
      <c r="J107" s="60">
        <f t="shared" si="20"/>
        <v>9.1893456879786292E-5</v>
      </c>
      <c r="K107" s="60">
        <f t="shared" si="21"/>
        <v>9.9072961719541693E-5</v>
      </c>
      <c r="M107" s="60">
        <f t="shared" si="22"/>
        <v>9.9428889436215743E-6</v>
      </c>
      <c r="N107" s="60">
        <f t="shared" si="23"/>
        <v>1.6756227231386719E-5</v>
      </c>
      <c r="O107" s="60">
        <f t="shared" si="24"/>
        <v>-1.2283997066248461E-5</v>
      </c>
      <c r="P107" s="60">
        <f t="shared" si="25"/>
        <v>2.1216046210857767E-5</v>
      </c>
      <c r="Q107" s="60">
        <f t="shared" si="26"/>
        <v>-1.8614966201560368E-5</v>
      </c>
      <c r="R107" s="60">
        <f t="shared" si="27"/>
        <v>4.8101590518712521E-6</v>
      </c>
    </row>
    <row r="108" spans="1:18" x14ac:dyDescent="0.3">
      <c r="A108">
        <f>'Parm VaR Eq Weights'!B107</f>
        <v>3.4732671751059457E-3</v>
      </c>
      <c r="B108">
        <f>'Parm VaR Eq Weights'!C107</f>
        <v>-1.2919507604877534E-2</v>
      </c>
      <c r="C108">
        <f>'Parm VaR Eq Weights'!D107</f>
        <v>2.428552764721756E-3</v>
      </c>
      <c r="D108">
        <f>'Parm VaR Eq Weights'!E107</f>
        <v>-9.5538783494682894E-3</v>
      </c>
      <c r="H108" s="60">
        <f t="shared" si="18"/>
        <v>4.3661006755005674E-5</v>
      </c>
      <c r="I108" s="60">
        <f t="shared" si="19"/>
        <v>1.1875382903001397E-4</v>
      </c>
      <c r="J108" s="60">
        <f t="shared" si="20"/>
        <v>9.326989682787877E-5</v>
      </c>
      <c r="K108" s="60">
        <f t="shared" si="21"/>
        <v>9.314545581346235E-5</v>
      </c>
      <c r="M108" s="60">
        <f t="shared" si="22"/>
        <v>9.2309864760241954E-6</v>
      </c>
      <c r="N108" s="60">
        <f t="shared" si="23"/>
        <v>2.1423716944932822E-5</v>
      </c>
      <c r="O108" s="60">
        <f t="shared" si="24"/>
        <v>-1.1266238189131493E-5</v>
      </c>
      <c r="P108" s="60">
        <f t="shared" si="25"/>
        <v>1.9803008995041376E-5</v>
      </c>
      <c r="Q108" s="60">
        <f t="shared" si="26"/>
        <v>-1.7504999749344177E-5</v>
      </c>
      <c r="R108" s="60">
        <f t="shared" si="27"/>
        <v>4.8625003571742787E-6</v>
      </c>
    </row>
    <row r="109" spans="1:18" x14ac:dyDescent="0.3">
      <c r="A109">
        <f>'Parm VaR Eq Weights'!B108</f>
        <v>-7.094202737347218E-3</v>
      </c>
      <c r="B109">
        <f>'Parm VaR Eq Weights'!C108</f>
        <v>5.974232844026821E-3</v>
      </c>
      <c r="C109">
        <f>'Parm VaR Eq Weights'!D108</f>
        <v>-1.5957155745019186E-2</v>
      </c>
      <c r="D109">
        <f>'Parm VaR Eq Weights'!E108</f>
        <v>-8.4023887914087061E-3</v>
      </c>
      <c r="H109" s="60">
        <f t="shared" si="18"/>
        <v>4.1765161441885438E-5</v>
      </c>
      <c r="I109" s="60">
        <f t="shared" si="19"/>
        <v>1.2164341989336244E-4</v>
      </c>
      <c r="J109" s="60">
        <f t="shared" si="20"/>
        <v>8.8027575130068301E-5</v>
      </c>
      <c r="K109" s="60">
        <f t="shared" si="21"/>
        <v>9.3033323955640947E-5</v>
      </c>
      <c r="M109" s="60">
        <f t="shared" si="22"/>
        <v>5.9847531865095743E-6</v>
      </c>
      <c r="N109" s="60">
        <f t="shared" si="23"/>
        <v>2.0644394684280105E-5</v>
      </c>
      <c r="O109" s="60">
        <f t="shared" si="24"/>
        <v>-1.2581254221753419E-5</v>
      </c>
      <c r="P109" s="60">
        <f t="shared" si="25"/>
        <v>1.6732286100578746E-5</v>
      </c>
      <c r="Q109" s="60">
        <f t="shared" si="26"/>
        <v>-9.0488155248616956E-6</v>
      </c>
      <c r="R109" s="60">
        <f t="shared" si="27"/>
        <v>3.1786244749788279E-6</v>
      </c>
    </row>
    <row r="110" spans="1:18" x14ac:dyDescent="0.3">
      <c r="A110">
        <f>'Parm VaR Eq Weights'!B109</f>
        <v>8.7490424816761229E-3</v>
      </c>
      <c r="B110">
        <f>'Parm VaR Eq Weights'!C109</f>
        <v>1.566294763103069E-3</v>
      </c>
      <c r="C110">
        <f>'Parm VaR Eq Weights'!D109</f>
        <v>1.0413909482083181E-2</v>
      </c>
      <c r="D110">
        <f>'Parm VaR Eq Weights'!E109</f>
        <v>9.5284184080833348E-3</v>
      </c>
      <c r="H110" s="60">
        <f t="shared" si="18"/>
        <v>4.2278914504087397E-5</v>
      </c>
      <c r="I110" s="60">
        <f t="shared" si="19"/>
        <v>1.1648630218423961E-4</v>
      </c>
      <c r="J110" s="60">
        <f t="shared" si="20"/>
        <v>9.8023769790512129E-5</v>
      </c>
      <c r="K110" s="60">
        <f t="shared" si="21"/>
        <v>9.1687332762421938E-5</v>
      </c>
      <c r="M110" s="60">
        <f t="shared" si="22"/>
        <v>3.0827228555803139E-6</v>
      </c>
      <c r="N110" s="60">
        <f t="shared" si="23"/>
        <v>2.6197928881218762E-5</v>
      </c>
      <c r="O110" s="60">
        <f t="shared" si="24"/>
        <v>-8.2498839945921757E-6</v>
      </c>
      <c r="P110" s="60">
        <f t="shared" si="25"/>
        <v>1.0008443097595324E-5</v>
      </c>
      <c r="Q110" s="60">
        <f t="shared" si="26"/>
        <v>-1.1517756218524998E-5</v>
      </c>
      <c r="R110" s="60">
        <f t="shared" si="27"/>
        <v>1.1032600600962839E-5</v>
      </c>
    </row>
    <row r="111" spans="1:18" x14ac:dyDescent="0.3">
      <c r="A111">
        <f>'Parm VaR Eq Weights'!B110</f>
        <v>1.0792376622543276E-3</v>
      </c>
      <c r="B111">
        <f>'Parm VaR Eq Weights'!C110</f>
        <v>4.9852704367380157E-4</v>
      </c>
      <c r="C111">
        <f>'Parm VaR Eq Weights'!D110</f>
        <v>-3.6209558749964021E-3</v>
      </c>
      <c r="D111">
        <f>'Parm VaR Eq Weights'!E110</f>
        <v>1.3786161913105119E-2</v>
      </c>
      <c r="H111" s="60">
        <f t="shared" si="18"/>
        <v>4.4334924294612567E-5</v>
      </c>
      <c r="I111" s="60">
        <f t="shared" si="19"/>
        <v>1.0964432081028068E-4</v>
      </c>
      <c r="J111" s="60">
        <f t="shared" si="20"/>
        <v>9.8649314245142722E-5</v>
      </c>
      <c r="K111" s="60">
        <f t="shared" si="21"/>
        <v>9.1633538238246692E-5</v>
      </c>
      <c r="M111" s="60">
        <f t="shared" si="22"/>
        <v>3.7199742495184308E-6</v>
      </c>
      <c r="N111" s="60">
        <f t="shared" si="23"/>
        <v>3.0092757335890173E-5</v>
      </c>
      <c r="O111" s="60">
        <f t="shared" si="24"/>
        <v>-2.7530187087862891E-6</v>
      </c>
      <c r="P111" s="60">
        <f t="shared" si="25"/>
        <v>1.0386611624852581E-5</v>
      </c>
      <c r="Q111" s="60">
        <f t="shared" si="26"/>
        <v>-9.9312321342193483E-6</v>
      </c>
      <c r="R111" s="60">
        <f t="shared" si="27"/>
        <v>1.6324329773456774E-5</v>
      </c>
    </row>
    <row r="112" spans="1:18" x14ac:dyDescent="0.3">
      <c r="A112">
        <f>'Parm VaR Eq Weights'!B111</f>
        <v>-1.0281357433985861E-3</v>
      </c>
      <c r="B112">
        <f>'Parm VaR Eq Weights'!C111</f>
        <v>-1.2543263165827868E-2</v>
      </c>
      <c r="C112">
        <f>'Parm VaR Eq Weights'!D111</f>
        <v>2.56399295005318E-3</v>
      </c>
      <c r="D112">
        <f>'Parm VaR Eq Weights'!E111</f>
        <v>9.8902340511111894E-3</v>
      </c>
      <c r="H112" s="60">
        <f t="shared" si="18"/>
        <v>4.1744714072833502E-5</v>
      </c>
      <c r="I112" s="60">
        <f t="shared" si="19"/>
        <v>1.0308057331446029E-4</v>
      </c>
      <c r="J112" s="60">
        <f t="shared" si="20"/>
        <v>9.3517034677354405E-5</v>
      </c>
      <c r="K112" s="60">
        <f t="shared" si="21"/>
        <v>9.7539021561612903E-5</v>
      </c>
      <c r="M112" s="60">
        <f t="shared" si="22"/>
        <v>3.5290575442184294E-6</v>
      </c>
      <c r="N112" s="60">
        <f t="shared" si="23"/>
        <v>2.8052719578517328E-5</v>
      </c>
      <c r="O112" s="60">
        <f t="shared" si="24"/>
        <v>-1.6951248769855577E-6</v>
      </c>
      <c r="P112" s="60">
        <f t="shared" si="25"/>
        <v>9.6551062617033108E-6</v>
      </c>
      <c r="Q112" s="60">
        <f t="shared" si="26"/>
        <v>-8.9229917336372664E-6</v>
      </c>
      <c r="R112" s="60">
        <f t="shared" si="27"/>
        <v>1.2349724948674785E-5</v>
      </c>
    </row>
    <row r="113" spans="1:18" x14ac:dyDescent="0.3">
      <c r="A113">
        <f>'Parm VaR Eq Weights'!B112</f>
        <v>3.97369856319845E-3</v>
      </c>
      <c r="B113">
        <f>'Parm VaR Eq Weights'!C112</f>
        <v>-2.2801964507233531E-3</v>
      </c>
      <c r="C113">
        <f>'Parm VaR Eq Weights'!D112</f>
        <v>1.2585977806992174E-2</v>
      </c>
      <c r="D113">
        <f>'Parm VaR Eq Weights'!E112</f>
        <v>-1.1679099798363733E-2</v>
      </c>
      <c r="H113" s="60">
        <f t="shared" si="18"/>
        <v>3.9303455014874716E-5</v>
      </c>
      <c r="I113" s="60">
        <f t="shared" si="19"/>
        <v>1.0633574596642553E-4</v>
      </c>
      <c r="J113" s="60">
        <f t="shared" si="20"/>
        <v>8.8300456187588483E-5</v>
      </c>
      <c r="K113" s="60">
        <f t="shared" si="21"/>
        <v>9.7555684043061679E-5</v>
      </c>
      <c r="M113" s="60">
        <f t="shared" si="22"/>
        <v>4.0910847235438759E-6</v>
      </c>
      <c r="N113" s="60">
        <f t="shared" si="23"/>
        <v>2.6211388435939985E-5</v>
      </c>
      <c r="O113" s="60">
        <f t="shared" si="24"/>
        <v>-2.2035275726779374E-6</v>
      </c>
      <c r="P113" s="60">
        <f t="shared" si="25"/>
        <v>7.146149586330448E-6</v>
      </c>
      <c r="Q113" s="60">
        <f t="shared" si="26"/>
        <v>-1.5830960738102208E-5</v>
      </c>
      <c r="R113" s="60">
        <f t="shared" si="27"/>
        <v>1.3130250874639798E-5</v>
      </c>
    </row>
    <row r="114" spans="1:18" x14ac:dyDescent="0.3">
      <c r="A114">
        <f>'Parm VaR Eq Weights'!B113</f>
        <v>2.1605124999145341E-3</v>
      </c>
      <c r="B114">
        <f>'Parm VaR Eq Weights'!C113</f>
        <v>-3.7898408636215298E-3</v>
      </c>
      <c r="C114">
        <f>'Parm VaR Eq Weights'!D113</f>
        <v>7.2982788695738245E-3</v>
      </c>
      <c r="D114">
        <f>'Parm VaR Eq Weights'!E113</f>
        <v>7.1642901731265082E-3</v>
      </c>
      <c r="H114" s="60">
        <f t="shared" si="18"/>
        <v>3.7892664530252158E-5</v>
      </c>
      <c r="I114" s="60">
        <f t="shared" si="19"/>
        <v>1.0026755895967348E-4</v>
      </c>
      <c r="J114" s="60">
        <f t="shared" si="20"/>
        <v>9.250683905781914E-5</v>
      </c>
      <c r="K114" s="60">
        <f t="shared" si="21"/>
        <v>9.9886425326486378E-5</v>
      </c>
      <c r="M114" s="60">
        <f t="shared" si="22"/>
        <v>3.3019708385282667E-6</v>
      </c>
      <c r="N114" s="60">
        <f t="shared" si="23"/>
        <v>2.7639478045469134E-5</v>
      </c>
      <c r="O114" s="60">
        <f t="shared" si="24"/>
        <v>-4.8558692436098204E-6</v>
      </c>
      <c r="P114" s="60">
        <f t="shared" si="25"/>
        <v>4.9954704956874325E-6</v>
      </c>
      <c r="Q114" s="60">
        <f t="shared" si="26"/>
        <v>-1.3283264579343706E-5</v>
      </c>
      <c r="R114" s="60">
        <f t="shared" si="27"/>
        <v>3.5228623700902372E-6</v>
      </c>
    </row>
    <row r="115" spans="1:18" x14ac:dyDescent="0.3">
      <c r="A115">
        <f>'Parm VaR Eq Weights'!B114</f>
        <v>-3.9529931373905947E-3</v>
      </c>
      <c r="B115">
        <f>'Parm VaR Eq Weights'!C114</f>
        <v>7.6263670150248869E-3</v>
      </c>
      <c r="C115">
        <f>'Parm VaR Eq Weights'!D114</f>
        <v>-9.2975369874286791E-3</v>
      </c>
      <c r="D115">
        <f>'Parm VaR Eq Weights'!E114</f>
        <v>1.4942206092618877E-2</v>
      </c>
      <c r="H115" s="60">
        <f t="shared" si="18"/>
        <v>3.5899173514174244E-5</v>
      </c>
      <c r="I115" s="60">
        <f t="shared" si="19"/>
        <v>9.5113279048387596E-5</v>
      </c>
      <c r="J115" s="60">
        <f t="shared" si="20"/>
        <v>9.0152321181834059E-5</v>
      </c>
      <c r="K115" s="60">
        <f t="shared" si="21"/>
        <v>9.6972863027982621E-5</v>
      </c>
      <c r="M115" s="60">
        <f t="shared" si="22"/>
        <v>2.6125726747040978E-6</v>
      </c>
      <c r="N115" s="60">
        <f t="shared" si="23"/>
        <v>2.6927190726275568E-5</v>
      </c>
      <c r="O115" s="60">
        <f t="shared" si="24"/>
        <v>-3.6358047806699492E-6</v>
      </c>
      <c r="P115" s="60">
        <f t="shared" si="25"/>
        <v>3.0361833363051999E-6</v>
      </c>
      <c r="Q115" s="60">
        <f t="shared" si="26"/>
        <v>-1.4115359884000506E-5</v>
      </c>
      <c r="R115" s="60">
        <f t="shared" si="27"/>
        <v>6.4487098830463007E-6</v>
      </c>
    </row>
    <row r="116" spans="1:18" x14ac:dyDescent="0.3">
      <c r="A116">
        <f>'Parm VaR Eq Weights'!B115</f>
        <v>-9.4844767122883428E-4</v>
      </c>
      <c r="B116">
        <f>'Parm VaR Eq Weights'!C115</f>
        <v>1.1209656112094446E-3</v>
      </c>
      <c r="C116">
        <f>'Parm VaR Eq Weights'!D115</f>
        <v>-1.6295665579350888E-2</v>
      </c>
      <c r="D116">
        <f>'Parm VaR Eq Weights'!E115</f>
        <v>3.1267999670863502E-3</v>
      </c>
      <c r="H116" s="60">
        <f t="shared" si="18"/>
        <v>3.4682792387979217E-5</v>
      </c>
      <c r="I116" s="60">
        <f t="shared" si="19"/>
        <v>9.2896170736355907E-5</v>
      </c>
      <c r="J116" s="60">
        <f t="shared" si="20"/>
        <v>8.9929833552880283E-5</v>
      </c>
      <c r="K116" s="60">
        <f t="shared" si="21"/>
        <v>1.0455066262116148E-4</v>
      </c>
      <c r="M116" s="60">
        <f t="shared" si="22"/>
        <v>6.4699972580492807E-7</v>
      </c>
      <c r="N116" s="60">
        <f t="shared" si="23"/>
        <v>2.7516745277055482E-5</v>
      </c>
      <c r="O116" s="60">
        <f t="shared" si="24"/>
        <v>-6.961642782325657E-6</v>
      </c>
      <c r="P116" s="60">
        <f t="shared" si="25"/>
        <v>-1.4003734279871119E-6</v>
      </c>
      <c r="Q116" s="60">
        <f t="shared" si="26"/>
        <v>-6.431153430373319E-6</v>
      </c>
      <c r="R116" s="60">
        <f t="shared" si="27"/>
        <v>-2.2737555391308555E-6</v>
      </c>
    </row>
    <row r="117" spans="1:18" x14ac:dyDescent="0.3">
      <c r="A117">
        <f>'Parm VaR Eq Weights'!B116</f>
        <v>1.8380493665326805E-3</v>
      </c>
      <c r="B117">
        <f>'Parm VaR Eq Weights'!C116</f>
        <v>1.43845363183734E-2</v>
      </c>
      <c r="C117">
        <f>'Parm VaR Eq Weights'!D116</f>
        <v>-1.9713929087617063E-3</v>
      </c>
      <c r="D117">
        <f>'Parm VaR Eq Weights'!E116</f>
        <v>9.242322907701675E-3</v>
      </c>
      <c r="H117" s="60">
        <f t="shared" si="18"/>
        <v>3.2655798023804026E-5</v>
      </c>
      <c r="I117" s="60">
        <f t="shared" si="19"/>
        <v>8.7397794326265398E-5</v>
      </c>
      <c r="J117" s="60">
        <f t="shared" si="20"/>
        <v>1.0046696654014996E-4</v>
      </c>
      <c r="K117" s="60">
        <f t="shared" si="21"/>
        <v>9.8864235545942052E-5</v>
      </c>
      <c r="M117" s="60">
        <f t="shared" si="22"/>
        <v>5.443891088478801E-7</v>
      </c>
      <c r="N117" s="60">
        <f t="shared" si="23"/>
        <v>2.6793075724623704E-5</v>
      </c>
      <c r="O117" s="60">
        <f t="shared" si="24"/>
        <v>-6.7218805842170046E-6</v>
      </c>
      <c r="P117" s="60">
        <f t="shared" si="25"/>
        <v>-2.4123638658811926E-6</v>
      </c>
      <c r="Q117" s="60">
        <f t="shared" si="26"/>
        <v>-5.8349821103768421E-6</v>
      </c>
      <c r="R117" s="60">
        <f t="shared" si="27"/>
        <v>-5.1945274026128775E-6</v>
      </c>
    </row>
    <row r="118" spans="1:18" x14ac:dyDescent="0.3">
      <c r="A118">
        <f>'Parm VaR Eq Weights'!B117</f>
        <v>4.7809111912511899E-3</v>
      </c>
      <c r="B118">
        <f>'Parm VaR Eq Weights'!C117</f>
        <v>9.0128022427504555E-3</v>
      </c>
      <c r="C118">
        <f>'Parm VaR Eq Weights'!D117</f>
        <v>9.4746908025041456E-3</v>
      </c>
      <c r="D118">
        <f>'Parm VaR Eq Weights'!E117</f>
        <v>8.0165099415928642E-3</v>
      </c>
      <c r="H118" s="60">
        <f t="shared" si="18"/>
        <v>3.0899155670804457E-5</v>
      </c>
      <c r="I118" s="60">
        <f t="shared" si="19"/>
        <v>9.4568819772365679E-5</v>
      </c>
      <c r="J118" s="60">
        <f t="shared" si="20"/>
        <v>9.4672131947783907E-5</v>
      </c>
      <c r="K118" s="60">
        <f t="shared" si="21"/>
        <v>9.8057613376999162E-5</v>
      </c>
      <c r="M118" s="60">
        <f t="shared" si="22"/>
        <v>2.0980950343881624E-6</v>
      </c>
      <c r="N118" s="60">
        <f t="shared" si="23"/>
        <v>2.4968080131918091E-5</v>
      </c>
      <c r="O118" s="60">
        <f t="shared" si="24"/>
        <v>-5.2992970032164894E-6</v>
      </c>
      <c r="P118" s="60">
        <f t="shared" si="25"/>
        <v>-3.9690764075603152E-6</v>
      </c>
      <c r="Q118" s="60">
        <f t="shared" si="26"/>
        <v>2.4919085881639272E-6</v>
      </c>
      <c r="R118" s="60">
        <f t="shared" si="27"/>
        <v>-5.9760707488998425E-6</v>
      </c>
    </row>
    <row r="119" spans="1:18" x14ac:dyDescent="0.3">
      <c r="A119">
        <f>'Parm VaR Eq Weights'!B118</f>
        <v>9.1016050531687615E-3</v>
      </c>
      <c r="B119">
        <f>'Parm VaR Eq Weights'!C118</f>
        <v>-4.8324832252972707E-3</v>
      </c>
      <c r="C119">
        <f>'Parm VaR Eq Weights'!D118</f>
        <v>-5.3274658314246401E-3</v>
      </c>
      <c r="D119">
        <f>'Parm VaR Eq Weights'!E118</f>
        <v>-6.570921688504862E-3</v>
      </c>
      <c r="H119" s="60">
        <f t="shared" si="18"/>
        <v>3.041663303967404E-5</v>
      </c>
      <c r="I119" s="60">
        <f t="shared" si="19"/>
        <v>9.3768526842039396E-5</v>
      </c>
      <c r="J119" s="60">
        <f t="shared" si="20"/>
        <v>9.4377989979100278E-5</v>
      </c>
      <c r="K119" s="60">
        <f t="shared" si="21"/>
        <v>9.6030022472998641E-5</v>
      </c>
      <c r="M119" s="60">
        <f t="shared" si="22"/>
        <v>4.5575737587388432E-6</v>
      </c>
      <c r="N119" s="60">
        <f t="shared" si="23"/>
        <v>2.6187854641483213E-5</v>
      </c>
      <c r="O119" s="60">
        <f t="shared" si="24"/>
        <v>-2.6817658573512328E-6</v>
      </c>
      <c r="P119" s="60">
        <f t="shared" si="25"/>
        <v>1.3926790477438971E-6</v>
      </c>
      <c r="Q119" s="60">
        <f t="shared" si="26"/>
        <v>6.6774671997112647E-6</v>
      </c>
      <c r="R119" s="60">
        <f t="shared" si="27"/>
        <v>-1.0602693232582701E-6</v>
      </c>
    </row>
    <row r="120" spans="1:18" x14ac:dyDescent="0.3">
      <c r="A120">
        <f>'Parm VaR Eq Weights'!B119</f>
        <v>-3.0322960411387533E-3</v>
      </c>
      <c r="B120">
        <f>'Parm VaR Eq Weights'!C119</f>
        <v>8.0395257093819736E-4</v>
      </c>
      <c r="C120">
        <f>'Parm VaR Eq Weights'!D119</f>
        <v>2.0383912378749737E-2</v>
      </c>
      <c r="D120">
        <f>'Parm VaR Eq Weights'!E119</f>
        <v>4.1112030346282394E-3</v>
      </c>
      <c r="H120" s="60">
        <f t="shared" si="18"/>
        <v>3.356198792992563E-5</v>
      </c>
      <c r="I120" s="60">
        <f t="shared" si="19"/>
        <v>8.95435888788838E-5</v>
      </c>
      <c r="J120" s="60">
        <f t="shared" si="20"/>
        <v>9.0418224111454086E-5</v>
      </c>
      <c r="K120" s="60">
        <f t="shared" si="21"/>
        <v>9.2858841834806533E-5</v>
      </c>
      <c r="M120" s="60">
        <f t="shared" si="22"/>
        <v>1.6451181086513753E-6</v>
      </c>
      <c r="N120" s="60">
        <f t="shared" si="23"/>
        <v>2.1707273967081511E-5</v>
      </c>
      <c r="O120" s="60">
        <f t="shared" si="24"/>
        <v>-6.1092159485544853E-6</v>
      </c>
      <c r="P120" s="60">
        <f t="shared" si="25"/>
        <v>2.8538116607015017E-6</v>
      </c>
      <c r="Q120" s="60">
        <f t="shared" si="26"/>
        <v>8.1820512977950952E-6</v>
      </c>
      <c r="R120" s="60">
        <f t="shared" si="27"/>
        <v>1.1037284827258334E-6</v>
      </c>
    </row>
    <row r="121" spans="1:18" x14ac:dyDescent="0.3">
      <c r="A121">
        <f>'Parm VaR Eq Weights'!B120</f>
        <v>-6.5622086765430845E-3</v>
      </c>
      <c r="B121">
        <f>'Parm VaR Eq Weights'!C120</f>
        <v>-2.4700648562108692E-3</v>
      </c>
      <c r="C121">
        <f>'Parm VaR Eq Weights'!D120</f>
        <v>-3.0914391569243386E-3</v>
      </c>
      <c r="D121">
        <f>'Parm VaR Eq Weights'!E120</f>
        <v>-1.4648879907535387E-2</v>
      </c>
      <c r="H121" s="60">
        <f t="shared" si="18"/>
        <v>3.2099957810996442E-5</v>
      </c>
      <c r="I121" s="60">
        <f t="shared" si="19"/>
        <v>8.4209753930329848E-5</v>
      </c>
      <c r="J121" s="60">
        <f t="shared" si="20"/>
        <v>1.0992336369663967E-4</v>
      </c>
      <c r="K121" s="60">
        <f t="shared" si="21"/>
        <v>8.830143074823433E-5</v>
      </c>
      <c r="M121" s="60">
        <f t="shared" si="22"/>
        <v>1.4001416902451394E-6</v>
      </c>
      <c r="N121" s="60">
        <f t="shared" si="23"/>
        <v>1.6696234120516492E-5</v>
      </c>
      <c r="O121" s="60">
        <f t="shared" si="24"/>
        <v>-6.4906460728144666E-6</v>
      </c>
      <c r="P121" s="60">
        <f t="shared" si="25"/>
        <v>3.6658448868199005E-6</v>
      </c>
      <c r="Q121" s="60">
        <f t="shared" si="26"/>
        <v>7.8894409548876858E-6</v>
      </c>
      <c r="R121" s="60">
        <f t="shared" si="27"/>
        <v>6.065648919509011E-6</v>
      </c>
    </row>
    <row r="122" spans="1:18" x14ac:dyDescent="0.3">
      <c r="A122">
        <f>'Parm VaR Eq Weights'!B121</f>
        <v>-5.7541700458761252E-3</v>
      </c>
      <c r="B122">
        <f>'Parm VaR Eq Weights'!C121</f>
        <v>-5.2246688234804349E-3</v>
      </c>
      <c r="C122">
        <f>'Parm VaR Eq Weights'!D121</f>
        <v>-1.630993242650234E-2</v>
      </c>
      <c r="D122">
        <f>'Parm VaR Eq Weights'!E121</f>
        <v>3.4012599072987156E-3</v>
      </c>
      <c r="H122" s="60">
        <f t="shared" si="18"/>
        <v>3.2757715305206497E-5</v>
      </c>
      <c r="I122" s="60">
        <f t="shared" si="19"/>
        <v>7.9523241918143332E-5</v>
      </c>
      <c r="J122" s="60">
        <f t="shared" si="20"/>
        <v>1.039013816384992E-4</v>
      </c>
      <c r="K122" s="60">
        <f t="shared" si="21"/>
        <v>9.5878725856063913E-5</v>
      </c>
      <c r="M122" s="60">
        <f t="shared" si="22"/>
        <v>2.2886780506934985E-6</v>
      </c>
      <c r="N122" s="60">
        <f t="shared" si="23"/>
        <v>1.6911660204799939E-5</v>
      </c>
      <c r="O122" s="60">
        <f t="shared" si="24"/>
        <v>-3.3346689859361112E-7</v>
      </c>
      <c r="P122" s="60">
        <f t="shared" si="25"/>
        <v>3.9040575066086849E-6</v>
      </c>
      <c r="Q122" s="60">
        <f t="shared" si="26"/>
        <v>9.5870955041418279E-6</v>
      </c>
      <c r="R122" s="60">
        <f t="shared" si="27"/>
        <v>8.4188772414126964E-6</v>
      </c>
    </row>
    <row r="123" spans="1:18" x14ac:dyDescent="0.3">
      <c r="A123">
        <f>'Parm VaR Eq Weights'!B122</f>
        <v>4.8847286524287027E-3</v>
      </c>
      <c r="B123">
        <f>'Parm VaR Eq Weights'!C122</f>
        <v>-8.4759979436518449E-3</v>
      </c>
      <c r="C123">
        <f>'Parm VaR Eq Weights'!D122</f>
        <v>-3.9483117638250268E-4</v>
      </c>
      <c r="D123">
        <f>'Parm VaR Eq Weights'!E122</f>
        <v>2.989133299246824E-4</v>
      </c>
      <c r="H123" s="60">
        <f t="shared" si="18"/>
        <v>3.2778880761905591E-5</v>
      </c>
      <c r="I123" s="60">
        <f t="shared" si="19"/>
        <v>7.6389677261957633E-5</v>
      </c>
      <c r="J123" s="60">
        <f t="shared" si="20"/>
        <v>1.136281324856136E-4</v>
      </c>
      <c r="K123" s="60">
        <f t="shared" si="21"/>
        <v>9.0820116442119931E-5</v>
      </c>
      <c r="M123" s="60">
        <f t="shared" si="22"/>
        <v>3.9551753382735281E-6</v>
      </c>
      <c r="N123" s="60">
        <f t="shared" si="23"/>
        <v>2.1527968069642555E-5</v>
      </c>
      <c r="O123" s="60">
        <f t="shared" si="24"/>
        <v>-1.487744557287056E-6</v>
      </c>
      <c r="P123" s="60">
        <f t="shared" si="25"/>
        <v>8.7826537839213317E-6</v>
      </c>
      <c r="Q123" s="60">
        <f t="shared" si="26"/>
        <v>7.9456423780002626E-6</v>
      </c>
      <c r="R123" s="60">
        <f t="shared" si="27"/>
        <v>4.58528545174711E-6</v>
      </c>
    </row>
    <row r="124" spans="1:18" x14ac:dyDescent="0.3">
      <c r="A124">
        <f>'Parm VaR Eq Weights'!B123</f>
        <v>-1.0403516539228181E-3</v>
      </c>
      <c r="B124">
        <f>'Parm VaR Eq Weights'!C123</f>
        <v>-2.2094683548483367E-2</v>
      </c>
      <c r="C124">
        <f>'Parm VaR Eq Weights'!D123</f>
        <v>-9.7982701750603009E-3</v>
      </c>
      <c r="D124">
        <f>'Parm VaR Eq Weights'!E123</f>
        <v>-5.478407553130454E-3</v>
      </c>
      <c r="H124" s="60">
        <f t="shared" si="18"/>
        <v>3.2243782356662733E-5</v>
      </c>
      <c r="I124" s="60">
        <f t="shared" si="19"/>
        <v>7.6116849094687587E-5</v>
      </c>
      <c r="J124" s="60">
        <f t="shared" si="20"/>
        <v>1.0681979803594739E-4</v>
      </c>
      <c r="K124" s="60">
        <f t="shared" si="21"/>
        <v>8.5376270406321131E-5</v>
      </c>
      <c r="M124" s="60">
        <f t="shared" si="22"/>
        <v>1.233687817180138E-6</v>
      </c>
      <c r="N124" s="60">
        <f t="shared" si="23"/>
        <v>2.0120571395855135E-5</v>
      </c>
      <c r="O124" s="60">
        <f t="shared" si="24"/>
        <v>-1.3108732534132744E-6</v>
      </c>
      <c r="P124" s="60">
        <f t="shared" si="25"/>
        <v>8.4564898512325156E-6</v>
      </c>
      <c r="Q124" s="60">
        <f t="shared" si="26"/>
        <v>7.3168885091339421E-6</v>
      </c>
      <c r="R124" s="60">
        <f t="shared" si="27"/>
        <v>4.3030871065408483E-6</v>
      </c>
    </row>
    <row r="125" spans="1:18" x14ac:dyDescent="0.3">
      <c r="A125">
        <f>'Parm VaR Eq Weights'!B124</f>
        <v>4.9264450595979167E-3</v>
      </c>
      <c r="B125">
        <f>'Parm VaR Eq Weights'!C124</f>
        <v>-1.3797885748594225E-3</v>
      </c>
      <c r="C125">
        <f>'Parm VaR Eq Weights'!D124</f>
        <v>-1.4105065314900002E-2</v>
      </c>
      <c r="D125">
        <f>'Parm VaR Eq Weights'!E124</f>
        <v>8.8891750273310047E-3</v>
      </c>
      <c r="H125" s="60">
        <f t="shared" si="18"/>
        <v>3.0374095309092166E-5</v>
      </c>
      <c r="I125" s="60">
        <f t="shared" si="19"/>
        <v>1.0084034061546364E-4</v>
      </c>
      <c r="J125" s="60">
        <f t="shared" si="20"/>
        <v>1.0617097605919912E-4</v>
      </c>
      <c r="K125" s="60">
        <f t="shared" si="21"/>
        <v>8.2054471141033668E-5</v>
      </c>
      <c r="M125" s="60">
        <f t="shared" si="22"/>
        <v>2.5388409825032879E-6</v>
      </c>
      <c r="N125" s="60">
        <f t="shared" si="23"/>
        <v>1.9524955907036223E-5</v>
      </c>
      <c r="O125" s="60">
        <f t="shared" si="24"/>
        <v>-8.9025263668272603E-7</v>
      </c>
      <c r="P125" s="60">
        <f t="shared" si="25"/>
        <v>2.093848119058858E-5</v>
      </c>
      <c r="Q125" s="60">
        <f t="shared" si="26"/>
        <v>1.4140496072748219E-5</v>
      </c>
      <c r="R125" s="60">
        <f t="shared" si="27"/>
        <v>7.265636920228192E-6</v>
      </c>
    </row>
    <row r="126" spans="1:18" x14ac:dyDescent="0.3">
      <c r="A126">
        <f>'Parm VaR Eq Weights'!B125</f>
        <v>4.6441830259694008E-3</v>
      </c>
      <c r="B126">
        <f>'Parm VaR Eq Weights'!C125</f>
        <v>5.1755519657256891E-3</v>
      </c>
      <c r="C126">
        <f>'Parm VaR Eq Weights'!D125</f>
        <v>6.9512320847692835E-3</v>
      </c>
      <c r="D126">
        <f>'Parm VaR Eq Weights'!E125</f>
        <v>-3.1192507322928133E-3</v>
      </c>
      <c r="H126" s="60">
        <f t="shared" si="18"/>
        <v>3.0007841246060838E-5</v>
      </c>
      <c r="I126" s="60">
        <f t="shared" si="19"/>
        <v>9.4904149169214576E-5</v>
      </c>
      <c r="J126" s="60">
        <f t="shared" si="20"/>
        <v>1.1173788954790289E-4</v>
      </c>
      <c r="K126" s="60">
        <f t="shared" si="21"/>
        <v>8.1872248832563148E-5</v>
      </c>
      <c r="M126" s="60">
        <f t="shared" si="22"/>
        <v>1.9786633670787393E-6</v>
      </c>
      <c r="N126" s="60">
        <f t="shared" si="23"/>
        <v>1.4184188792460342E-5</v>
      </c>
      <c r="O126" s="60">
        <f t="shared" si="24"/>
        <v>1.790684465356E-6</v>
      </c>
      <c r="P126" s="60">
        <f t="shared" si="25"/>
        <v>2.0849892797301962E-5</v>
      </c>
      <c r="Q126" s="60">
        <f t="shared" si="26"/>
        <v>1.2556155379825103E-5</v>
      </c>
      <c r="R126" s="60">
        <f t="shared" si="27"/>
        <v>-6.9324495635041627E-7</v>
      </c>
    </row>
    <row r="127" spans="1:18" x14ac:dyDescent="0.3">
      <c r="A127">
        <f>'Parm VaR Eq Weights'!B126</f>
        <v>3.5382272090601356E-3</v>
      </c>
      <c r="B127">
        <f>'Parm VaR Eq Weights'!C126</f>
        <v>1.5432318252284331E-2</v>
      </c>
      <c r="C127">
        <f>'Parm VaR Eq Weights'!D126</f>
        <v>4.8463603964105269E-3</v>
      </c>
      <c r="D127">
        <f>'Parm VaR Eq Weights'!E126</f>
        <v>1.1278687935242053E-2</v>
      </c>
      <c r="H127" s="60">
        <f t="shared" si="18"/>
        <v>2.9501476930019323E-5</v>
      </c>
      <c r="I127" s="60">
        <f t="shared" si="19"/>
        <v>9.0817080508057314E-5</v>
      </c>
      <c r="J127" s="60">
        <f t="shared" si="20"/>
        <v>1.0793279382480826E-4</v>
      </c>
      <c r="K127" s="60">
        <f t="shared" si="21"/>
        <v>7.7543697410463919E-5</v>
      </c>
      <c r="M127" s="60">
        <f t="shared" si="22"/>
        <v>3.302116200408765E-6</v>
      </c>
      <c r="N127" s="60">
        <f t="shared" si="23"/>
        <v>1.5270105108372287E-5</v>
      </c>
      <c r="O127" s="60">
        <f t="shared" si="24"/>
        <v>8.1406111915522478E-7</v>
      </c>
      <c r="P127" s="60">
        <f t="shared" si="25"/>
        <v>2.1757487002296436E-5</v>
      </c>
      <c r="Q127" s="60">
        <f t="shared" si="26"/>
        <v>1.0834155401489035E-5</v>
      </c>
      <c r="R127" s="60">
        <f t="shared" si="27"/>
        <v>-1.9526084052146255E-6</v>
      </c>
    </row>
    <row r="128" spans="1:18" x14ac:dyDescent="0.3">
      <c r="A128">
        <f>'Parm VaR Eq Weights'!B127</f>
        <v>2.8241823171378795E-3</v>
      </c>
      <c r="B128">
        <f>'Parm VaR Eq Weights'!C127</f>
        <v>3.903155192247995E-3</v>
      </c>
      <c r="C128">
        <f>'Parm VaR Eq Weights'!D127</f>
        <v>6.3371849925977853E-3</v>
      </c>
      <c r="D128">
        <f>'Parm VaR Eq Weights'!E127</f>
        <v>9.9934450697891416E-3</v>
      </c>
      <c r="H128" s="60">
        <f t="shared" si="18"/>
        <v>2.8482531421194172E-5</v>
      </c>
      <c r="I128" s="60">
        <f t="shared" si="19"/>
        <v>9.965744247596117E-5</v>
      </c>
      <c r="J128" s="60">
        <f t="shared" si="20"/>
        <v>1.0286605874083354E-4</v>
      </c>
      <c r="K128" s="60">
        <f t="shared" si="21"/>
        <v>8.0523603658270561E-5</v>
      </c>
      <c r="M128" s="60">
        <f t="shared" si="22"/>
        <v>6.3801721287307091E-6</v>
      </c>
      <c r="N128" s="60">
        <f t="shared" si="23"/>
        <v>1.5382750255039423E-5</v>
      </c>
      <c r="O128" s="60">
        <f t="shared" si="24"/>
        <v>3.1596110841042157E-6</v>
      </c>
      <c r="P128" s="60">
        <f t="shared" si="25"/>
        <v>2.4939472342319096E-5</v>
      </c>
      <c r="Q128" s="60">
        <f t="shared" si="26"/>
        <v>2.0627484178491002E-5</v>
      </c>
      <c r="R128" s="60">
        <f t="shared" si="27"/>
        <v>1.4441832910680732E-6</v>
      </c>
    </row>
    <row r="129" spans="1:18" x14ac:dyDescent="0.3">
      <c r="A129">
        <f>'Parm VaR Eq Weights'!B128</f>
        <v>-2.6237996566552441E-4</v>
      </c>
      <c r="B129">
        <f>'Parm VaR Eq Weights'!C128</f>
        <v>8.7506232745725599E-3</v>
      </c>
      <c r="C129">
        <f>'Parm VaR Eq Weights'!D128</f>
        <v>8.1636423634101063E-3</v>
      </c>
      <c r="D129">
        <f>'Parm VaR Eq Weights'!E128</f>
        <v>-1.6886669858202943E-2</v>
      </c>
      <c r="H129" s="60">
        <f t="shared" si="18"/>
        <v>2.7252139881548577E-5</v>
      </c>
      <c r="I129" s="60">
        <f t="shared" si="19"/>
        <v>9.4592073154689844E-5</v>
      </c>
      <c r="J129" s="60">
        <f t="shared" si="20"/>
        <v>9.9103690034207917E-5</v>
      </c>
      <c r="K129" s="60">
        <f t="shared" si="21"/>
        <v>8.1684324100547899E-5</v>
      </c>
      <c r="M129" s="60">
        <f t="shared" si="22"/>
        <v>6.6587551135063679E-6</v>
      </c>
      <c r="N129" s="60">
        <f t="shared" si="23"/>
        <v>1.5533627187528629E-5</v>
      </c>
      <c r="O129" s="60">
        <f t="shared" si="24"/>
        <v>4.663433070261197E-6</v>
      </c>
      <c r="P129" s="60">
        <f t="shared" si="25"/>
        <v>2.4927204992265598E-5</v>
      </c>
      <c r="Q129" s="60">
        <f t="shared" si="26"/>
        <v>2.1730193148537102E-5</v>
      </c>
      <c r="R129" s="60">
        <f t="shared" si="27"/>
        <v>5.1573509008410768E-6</v>
      </c>
    </row>
    <row r="130" spans="1:18" x14ac:dyDescent="0.3">
      <c r="A130">
        <f>'Parm VaR Eq Weights'!B129</f>
        <v>-1.4416744482073506E-3</v>
      </c>
      <c r="B130">
        <f>'Parm VaR Eq Weights'!C129</f>
        <v>-8.4132942790553326E-3</v>
      </c>
      <c r="C130">
        <f>'Parm VaR Eq Weights'!D129</f>
        <v>4.8436400850388212E-3</v>
      </c>
      <c r="D130">
        <f>'Parm VaR Eq Weights'!E129</f>
        <v>-6.715488764732565E-3</v>
      </c>
      <c r="H130" s="60">
        <f t="shared" si="18"/>
        <v>2.562114208343862E-5</v>
      </c>
      <c r="I130" s="60">
        <f t="shared" si="19"/>
        <v>9.3510953227017913E-5</v>
      </c>
      <c r="J130" s="60">
        <f t="shared" si="20"/>
        <v>9.7156172030415293E-5</v>
      </c>
      <c r="K130" s="60">
        <f t="shared" si="21"/>
        <v>9.3892841788511416E-5</v>
      </c>
      <c r="M130" s="60">
        <f t="shared" si="22"/>
        <v>6.1214705126359281E-6</v>
      </c>
      <c r="N130" s="60">
        <f t="shared" si="23"/>
        <v>1.447309098409588E-5</v>
      </c>
      <c r="O130" s="60">
        <f t="shared" si="24"/>
        <v>4.6494705175015449E-6</v>
      </c>
      <c r="P130" s="60">
        <f t="shared" si="25"/>
        <v>2.7717790224962247E-5</v>
      </c>
      <c r="Q130" s="60">
        <f t="shared" si="26"/>
        <v>1.1560248382152055E-5</v>
      </c>
      <c r="R130" s="60">
        <f t="shared" si="27"/>
        <v>-3.423494159090159E-6</v>
      </c>
    </row>
    <row r="131" spans="1:18" x14ac:dyDescent="0.3">
      <c r="A131">
        <f>'Parm VaR Eq Weights'!B130</f>
        <v>-7.1138879740945352E-3</v>
      </c>
      <c r="B131">
        <f>'Parm VaR Eq Weights'!C130</f>
        <v>-1.5160383613654682E-2</v>
      </c>
      <c r="C131">
        <f>'Parm VaR Eq Weights'!D130</f>
        <v>-2.4258937440050143E-2</v>
      </c>
      <c r="D131">
        <f>'Parm VaR Eq Weights'!E130</f>
        <v>-4.4954583269565668E-3</v>
      </c>
      <c r="H131" s="60">
        <f t="shared" si="18"/>
        <v>2.4208579071309142E-5</v>
      </c>
      <c r="I131" s="60">
        <f t="shared" si="19"/>
        <v>9.214730727095595E-5</v>
      </c>
      <c r="J131" s="60">
        <f t="shared" si="20"/>
        <v>9.2734452664994068E-5</v>
      </c>
      <c r="K131" s="60">
        <f t="shared" si="21"/>
        <v>9.0965138642155679E-5</v>
      </c>
      <c r="M131" s="60">
        <f t="shared" si="22"/>
        <v>6.4819361651195625E-6</v>
      </c>
      <c r="N131" s="60">
        <f t="shared" si="23"/>
        <v>1.3185728396235324E-5</v>
      </c>
      <c r="O131" s="60">
        <f t="shared" si="24"/>
        <v>4.951395200011762E-6</v>
      </c>
      <c r="P131" s="60">
        <f t="shared" si="25"/>
        <v>2.3609664646428898E-5</v>
      </c>
      <c r="Q131" s="60">
        <f t="shared" si="26"/>
        <v>1.4256596471546024E-5</v>
      </c>
      <c r="R131" s="60">
        <f t="shared" si="27"/>
        <v>-5.1697291438339414E-6</v>
      </c>
    </row>
    <row r="132" spans="1:18" x14ac:dyDescent="0.3">
      <c r="A132">
        <f>'Parm VaR Eq Weights'!B131</f>
        <v>-4.0059919541401623E-3</v>
      </c>
      <c r="B132">
        <f>'Parm VaR Eq Weights'!C131</f>
        <v>-6.5734849676426753E-3</v>
      </c>
      <c r="C132">
        <f>'Parm VaR Eq Weights'!D131</f>
        <v>2.3928644342796541E-3</v>
      </c>
      <c r="D132">
        <f>'Parm VaR Eq Weights'!E131</f>
        <v>9.8990773909032933E-3</v>
      </c>
      <c r="H132" s="60">
        <f t="shared" si="18"/>
        <v>2.5792508453508609E-5</v>
      </c>
      <c r="I132" s="60">
        <f t="shared" si="19"/>
        <v>1.0040870271348876E-4</v>
      </c>
      <c r="J132" s="60">
        <f t="shared" si="20"/>
        <v>1.2248014824831044E-4</v>
      </c>
      <c r="K132" s="60">
        <f t="shared" si="21"/>
        <v>8.6719779057790522E-5</v>
      </c>
      <c r="M132" s="60">
        <f t="shared" si="22"/>
        <v>1.2563976235522667E-5</v>
      </c>
      <c r="N132" s="60">
        <f t="shared" si="23"/>
        <v>2.2749106491606276E-5</v>
      </c>
      <c r="O132" s="60">
        <f t="shared" si="24"/>
        <v>6.5731227038218258E-6</v>
      </c>
      <c r="P132" s="60">
        <f t="shared" si="25"/>
        <v>4.4259572626691802E-5</v>
      </c>
      <c r="Q132" s="60">
        <f t="shared" si="26"/>
        <v>1.7490373048604855E-5</v>
      </c>
      <c r="R132" s="60">
        <f t="shared" si="27"/>
        <v>1.6837571438756109E-6</v>
      </c>
    </row>
    <row r="133" spans="1:18" x14ac:dyDescent="0.3">
      <c r="A133">
        <f>'Parm VaR Eq Weights'!B132</f>
        <v>6.3892546712602119E-3</v>
      </c>
      <c r="B133">
        <f>'Parm VaR Eq Weights'!C132</f>
        <v>-1.5470072847323334E-2</v>
      </c>
      <c r="C133">
        <f>'Parm VaR Eq Weights'!D132</f>
        <v>4.4832899385457035E-3</v>
      </c>
      <c r="D133">
        <f>'Parm VaR Eq Weights'!E132</f>
        <v>3.6629823461151469E-3</v>
      </c>
      <c r="H133" s="60">
        <f t="shared" si="18"/>
        <v>2.5207836238496236E-5</v>
      </c>
      <c r="I133" s="60">
        <f t="shared" si="19"/>
        <v>9.6976822827868884E-5</v>
      </c>
      <c r="J133" s="60">
        <f t="shared" si="20"/>
        <v>1.1547488736546224E-4</v>
      </c>
      <c r="K133" s="60">
        <f t="shared" si="21"/>
        <v>8.7396096305788663E-5</v>
      </c>
      <c r="M133" s="60">
        <f t="shared" si="22"/>
        <v>1.339013733485358E-5</v>
      </c>
      <c r="N133" s="60">
        <f t="shared" si="23"/>
        <v>2.0809012361845549E-5</v>
      </c>
      <c r="O133" s="60">
        <f t="shared" si="24"/>
        <v>3.7993978787103508E-6</v>
      </c>
      <c r="P133" s="60">
        <f t="shared" si="25"/>
        <v>4.0660230765789643E-5</v>
      </c>
      <c r="Q133" s="60">
        <f t="shared" si="26"/>
        <v>1.2536664480330503E-5</v>
      </c>
      <c r="R133" s="60">
        <f t="shared" si="27"/>
        <v>3.0039607284955348E-6</v>
      </c>
    </row>
    <row r="134" spans="1:18" x14ac:dyDescent="0.3">
      <c r="A134">
        <f>'Parm VaR Eq Weights'!B133</f>
        <v>-7.602164923620233E-3</v>
      </c>
      <c r="B134">
        <f>'Parm VaR Eq Weights'!C133</f>
        <v>-8.1808173185224167E-3</v>
      </c>
      <c r="C134">
        <f>'Parm VaR Eq Weights'!D133</f>
        <v>-1.4330822701165903E-2</v>
      </c>
      <c r="D134">
        <f>'Parm VaR Eq Weights'!E133</f>
        <v>1.3185879427465881E-2</v>
      </c>
      <c r="H134" s="60">
        <f t="shared" ref="H134:H197" si="28">H133*$F$3+A133^2*(1-$F$3)</f>
        <v>2.614472057943969E-5</v>
      </c>
      <c r="I134" s="60">
        <f t="shared" ref="I134:I197" si="29">I133*$F$3+B133^2*(1-$F$3)</f>
        <v>1.055176026922862E-4</v>
      </c>
      <c r="J134" s="60">
        <f t="shared" ref="J134:J197" si="30">J133*$F$3+C133^2*(1-$F$3)</f>
        <v>1.0975238744391841E-4</v>
      </c>
      <c r="K134" s="60">
        <f t="shared" ref="K134:K197" si="31">K133*$F$3+D133^2*(1-$F$3)</f>
        <v>8.2957376907518405E-5</v>
      </c>
      <c r="M134" s="60">
        <f t="shared" ref="M134:M197" si="32">M133*$F$3+A133*B133*(1-$F$3)</f>
        <v>6.6561949824925756E-6</v>
      </c>
      <c r="N134" s="60">
        <f t="shared" ref="N134:N197" si="33">N133*$F$3+A133*C133*(1-$F$3)</f>
        <v>2.1279164491082838E-5</v>
      </c>
      <c r="O134" s="60">
        <f t="shared" ref="O134:O197" si="34">O133*$F$3+A133*D133*(1-$F$3)</f>
        <v>4.975657629927324E-6</v>
      </c>
      <c r="P134" s="60">
        <f t="shared" ref="P134:P197" si="35">P133*$F$3+B133*C133*(1-$F$3)</f>
        <v>3.405920760314383E-5</v>
      </c>
      <c r="Q134" s="60">
        <f t="shared" ref="Q134:Q197" si="36">Q133*$F$3+B133*D133*(1-$F$3)</f>
        <v>8.3844683875390303E-6</v>
      </c>
      <c r="R134" s="60">
        <f t="shared" ref="R134:R197" si="37">R133*$F$3+C133*D133*(1-$F$3)</f>
        <v>3.8090557986303183E-6</v>
      </c>
    </row>
    <row r="135" spans="1:18" x14ac:dyDescent="0.3">
      <c r="A135">
        <f>'Parm VaR Eq Weights'!B134</f>
        <v>7.9194084074941801E-3</v>
      </c>
      <c r="B135">
        <f>'Parm VaR Eq Weights'!C134</f>
        <v>4.1826330536574932E-3</v>
      </c>
      <c r="C135">
        <f>'Parm VaR Eq Weights'!D134</f>
        <v>6.3552497664351839E-3</v>
      </c>
      <c r="D135">
        <f>'Parm VaR Eq Weights'!E134</f>
        <v>-1.1123539930007212E-2</v>
      </c>
      <c r="H135" s="60">
        <f t="shared" si="28"/>
        <v>2.8043612036228619E-5</v>
      </c>
      <c r="I135" s="60">
        <f t="shared" si="29"/>
        <v>1.0320209285069121E-4</v>
      </c>
      <c r="J135" s="60">
        <f t="shared" si="30"/>
        <v>1.1548959295481843E-4</v>
      </c>
      <c r="K135" s="60">
        <f t="shared" si="31"/>
        <v>8.8411979269607384E-5</v>
      </c>
      <c r="M135" s="60">
        <f t="shared" si="32"/>
        <v>9.9883386314679863E-6</v>
      </c>
      <c r="N135" s="60">
        <f t="shared" si="33"/>
        <v>2.6539131281543312E-5</v>
      </c>
      <c r="O135" s="60">
        <f t="shared" si="34"/>
        <v>-1.3373556321023268E-6</v>
      </c>
      <c r="P135" s="60">
        <f t="shared" si="35"/>
        <v>3.9049925699497537E-5</v>
      </c>
      <c r="Q135" s="60">
        <f t="shared" si="36"/>
        <v>1.4091240374770037E-6</v>
      </c>
      <c r="R135" s="60">
        <f t="shared" si="37"/>
        <v>-7.7573575633253809E-6</v>
      </c>
    </row>
    <row r="136" spans="1:18" x14ac:dyDescent="0.3">
      <c r="A136">
        <f>'Parm VaR Eq Weights'!B135</f>
        <v>3.3231159317151163E-3</v>
      </c>
      <c r="B136">
        <f>'Parm VaR Eq Weights'!C135</f>
        <v>1.4133082652825842E-2</v>
      </c>
      <c r="C136">
        <f>'Parm VaR Eq Weights'!D135</f>
        <v>-5.1605498167522895E-3</v>
      </c>
      <c r="D136">
        <f>'Parm VaR Eq Weights'!E135</f>
        <v>-1.2845813170642172E-2</v>
      </c>
      <c r="H136" s="60">
        <f t="shared" si="28"/>
        <v>3.0124017085536275E-5</v>
      </c>
      <c r="I136" s="60">
        <f t="shared" si="29"/>
        <v>9.8059632435342625E-5</v>
      </c>
      <c r="J136" s="60">
        <f t="shared" si="30"/>
        <v>1.1098356935315579E-4</v>
      </c>
      <c r="K136" s="60">
        <f t="shared" si="31"/>
        <v>9.053124894789884E-5</v>
      </c>
      <c r="M136" s="60">
        <f t="shared" si="32"/>
        <v>1.1376477075815801E-5</v>
      </c>
      <c r="N136" s="60">
        <f t="shared" si="33"/>
        <v>2.7966572510572647E-5</v>
      </c>
      <c r="O136" s="60">
        <f t="shared" si="34"/>
        <v>-6.5426256327439724E-6</v>
      </c>
      <c r="P136" s="60">
        <f t="shared" si="35"/>
        <v>3.8301830821768138E-5</v>
      </c>
      <c r="Q136" s="60">
        <f t="shared" si="36"/>
        <v>-1.4669645518672463E-6</v>
      </c>
      <c r="R136" s="60">
        <f t="shared" si="37"/>
        <v>-1.1533488582052508E-5</v>
      </c>
    </row>
    <row r="137" spans="1:18" x14ac:dyDescent="0.3">
      <c r="A137">
        <f>'Parm VaR Eq Weights'!B136</f>
        <v>2.428017769041398E-3</v>
      </c>
      <c r="B137">
        <f>'Parm VaR Eq Weights'!C136</f>
        <v>5.6079941470492329E-3</v>
      </c>
      <c r="C137">
        <f>'Parm VaR Eq Weights'!D136</f>
        <v>4.6075056840244703E-3</v>
      </c>
      <c r="D137">
        <f>'Parm VaR Eq Weights'!E136</f>
        <v>2.8232883187195783E-2</v>
      </c>
      <c r="H137" s="60">
        <f t="shared" si="28"/>
        <v>2.8979162030141228E-5</v>
      </c>
      <c r="I137" s="60">
        <f t="shared" si="29"/>
        <v>1.0416069600551847E-4</v>
      </c>
      <c r="J137" s="60">
        <f t="shared" si="30"/>
        <v>1.0592243165663736E-4</v>
      </c>
      <c r="K137" s="60">
        <f t="shared" si="31"/>
        <v>9.500026897192754E-5</v>
      </c>
      <c r="M137" s="60">
        <f t="shared" si="32"/>
        <v>1.3511840778937981E-5</v>
      </c>
      <c r="N137" s="60">
        <f t="shared" si="33"/>
        <v>2.5259631841190743E-5</v>
      </c>
      <c r="O137" s="60">
        <f t="shared" si="34"/>
        <v>-8.7113556789711475E-6</v>
      </c>
      <c r="P137" s="60">
        <f t="shared" si="35"/>
        <v>3.1627652346810922E-5</v>
      </c>
      <c r="Q137" s="60">
        <f t="shared" si="36"/>
        <v>-1.2272003035761897E-5</v>
      </c>
      <c r="R137" s="60">
        <f t="shared" si="37"/>
        <v>-6.8639917389018565E-6</v>
      </c>
    </row>
    <row r="138" spans="1:18" x14ac:dyDescent="0.3">
      <c r="A138">
        <f>'Parm VaR Eq Weights'!B137</f>
        <v>2.0685363919573665E-3</v>
      </c>
      <c r="B138">
        <f>'Parm VaR Eq Weights'!C137</f>
        <v>6.2981423093447335E-3</v>
      </c>
      <c r="C138">
        <f>'Parm VaR Eq Weights'!D137</f>
        <v>5.4386813748665552E-3</v>
      </c>
      <c r="D138">
        <f>'Parm VaR Eq Weights'!E137</f>
        <v>1.8542522928018412E-3</v>
      </c>
      <c r="H138" s="60">
        <f t="shared" si="28"/>
        <v>2.75941285255396E-5</v>
      </c>
      <c r="I138" s="60">
        <f t="shared" si="29"/>
        <v>9.979803014638766E-5</v>
      </c>
      <c r="J138" s="60">
        <f t="shared" si="30"/>
        <v>1.0084083227493818E-4</v>
      </c>
      <c r="K138" s="60">
        <f t="shared" si="31"/>
        <v>1.3712599441732245E-4</v>
      </c>
      <c r="M138" s="60">
        <f t="shared" si="32"/>
        <v>1.3518108898464644E-5</v>
      </c>
      <c r="N138" s="60">
        <f t="shared" si="33"/>
        <v>2.4415280271025537E-5</v>
      </c>
      <c r="O138" s="60">
        <f t="shared" si="34"/>
        <v>-4.0756778152459855E-6</v>
      </c>
      <c r="P138" s="60">
        <f t="shared" si="35"/>
        <v>3.1280325100512583E-5</v>
      </c>
      <c r="Q138" s="60">
        <f t="shared" si="36"/>
        <v>-2.0358922335290555E-6</v>
      </c>
      <c r="R138" s="60">
        <f t="shared" si="37"/>
        <v>1.3528379511164697E-6</v>
      </c>
    </row>
    <row r="139" spans="1:18" x14ac:dyDescent="0.3">
      <c r="A139">
        <f>'Parm VaR Eq Weights'!B138</f>
        <v>-3.9815191812947226E-4</v>
      </c>
      <c r="B139">
        <f>'Parm VaR Eq Weights'!C138</f>
        <v>-4.9098110046424566E-3</v>
      </c>
      <c r="C139">
        <f>'Parm VaR Eq Weights'!D138</f>
        <v>-3.346162900704931E-3</v>
      </c>
      <c r="D139">
        <f>'Parm VaR Eq Weights'!E138</f>
        <v>-2.6120017161350077E-3</v>
      </c>
      <c r="H139" s="60">
        <f t="shared" si="28"/>
        <v>2.6195211382298342E-5</v>
      </c>
      <c r="I139" s="60">
        <f t="shared" si="29"/>
        <v>9.6190144130529884E-5</v>
      </c>
      <c r="J139" s="60">
        <f t="shared" si="30"/>
        <v>9.6565137644281099E-5</v>
      </c>
      <c r="K139" s="60">
        <f t="shared" si="31"/>
        <v>1.2910472984620474E-4</v>
      </c>
      <c r="M139" s="60">
        <f t="shared" si="32"/>
        <v>1.3488698558673126E-5</v>
      </c>
      <c r="N139" s="60">
        <f t="shared" si="33"/>
        <v>2.3625370075654334E-5</v>
      </c>
      <c r="O139" s="60">
        <f t="shared" si="34"/>
        <v>-3.6010018454793657E-6</v>
      </c>
      <c r="P139" s="60">
        <f t="shared" si="35"/>
        <v>3.1458720950927358E-5</v>
      </c>
      <c r="Q139" s="60">
        <f t="shared" si="36"/>
        <v>-1.2130380104676262E-6</v>
      </c>
      <c r="R139" s="60">
        <f t="shared" si="37"/>
        <v>1.8767489185993808E-6</v>
      </c>
    </row>
    <row r="140" spans="1:18" x14ac:dyDescent="0.3">
      <c r="A140">
        <f>'Parm VaR Eq Weights'!B139</f>
        <v>-1.6912621635861431E-3</v>
      </c>
      <c r="B140">
        <f>'Parm VaR Eq Weights'!C139</f>
        <v>-4.2673562437332939E-3</v>
      </c>
      <c r="C140">
        <f>'Parm VaR Eq Weights'!D139</f>
        <v>2.6878013288883598E-3</v>
      </c>
      <c r="D140">
        <f>'Parm VaR Eq Weights'!E139</f>
        <v>8.612124203015803E-4</v>
      </c>
      <c r="H140" s="60">
        <f t="shared" si="28"/>
        <v>2.4633010196355051E-5</v>
      </c>
      <c r="I140" s="60">
        <f t="shared" si="29"/>
        <v>9.1865110128776584E-5</v>
      </c>
      <c r="J140" s="60">
        <f t="shared" si="30"/>
        <v>9.144303775510747E-5</v>
      </c>
      <c r="K140" s="60">
        <f t="shared" si="31"/>
        <v>1.2176779923333797E-4</v>
      </c>
      <c r="M140" s="60">
        <f t="shared" si="32"/>
        <v>1.2796667685301834E-5</v>
      </c>
      <c r="N140" s="60">
        <f t="shared" si="33"/>
        <v>2.2287784741752434E-5</v>
      </c>
      <c r="O140" s="60">
        <f t="shared" si="34"/>
        <v>-3.3225433251444059E-6</v>
      </c>
      <c r="P140" s="60">
        <f t="shared" si="35"/>
        <v>3.0556939339864163E-5</v>
      </c>
      <c r="Q140" s="60">
        <f t="shared" si="36"/>
        <v>-3.7078964363808932E-7</v>
      </c>
      <c r="R140" s="60">
        <f t="shared" si="37"/>
        <v>2.2885549778299327E-6</v>
      </c>
    </row>
    <row r="141" spans="1:18" x14ac:dyDescent="0.3">
      <c r="A141">
        <f>'Parm VaR Eq Weights'!B140</f>
        <v>6.1988397272563387E-3</v>
      </c>
      <c r="B141">
        <f>'Parm VaR Eq Weights'!C140</f>
        <v>2.1661001175807795E-2</v>
      </c>
      <c r="C141">
        <f>'Parm VaR Eq Weights'!D140</f>
        <v>2.2541077170286617E-3</v>
      </c>
      <c r="D141">
        <f>'Parm VaR Eq Weights'!E140</f>
        <v>-9.8312361053062187E-3</v>
      </c>
      <c r="H141" s="60">
        <f t="shared" si="28"/>
        <v>2.3326651646932432E-5</v>
      </c>
      <c r="I141" s="60">
        <f t="shared" si="29"/>
        <v>8.7445823279705748E-5</v>
      </c>
      <c r="J141" s="60">
        <f t="shared" si="30"/>
        <v>8.6389912048815461E-5</v>
      </c>
      <c r="K141" s="60">
        <f t="shared" si="31"/>
        <v>1.1450623248931059E-4</v>
      </c>
      <c r="M141" s="60">
        <f t="shared" si="32"/>
        <v>1.2461900713397876E-5</v>
      </c>
      <c r="N141" s="60">
        <f t="shared" si="33"/>
        <v>2.067777105580016E-5</v>
      </c>
      <c r="O141" s="60">
        <f t="shared" si="34"/>
        <v>-3.210582884511732E-6</v>
      </c>
      <c r="P141" s="60">
        <f t="shared" si="35"/>
        <v>2.8035334632507527E-5</v>
      </c>
      <c r="Q141" s="60">
        <f t="shared" si="36"/>
        <v>-5.6904827695708071E-7</v>
      </c>
      <c r="R141" s="60">
        <f t="shared" si="37"/>
        <v>2.2901277524246415E-6</v>
      </c>
    </row>
    <row r="142" spans="1:18" x14ac:dyDescent="0.3">
      <c r="A142">
        <f>'Parm VaR Eq Weights'!B141</f>
        <v>7.6704094885201891E-3</v>
      </c>
      <c r="B142">
        <f>'Parm VaR Eq Weights'!C141</f>
        <v>2.8420941589444625E-3</v>
      </c>
      <c r="C142">
        <f>'Parm VaR Eq Weights'!D141</f>
        <v>6.2058924054526256E-3</v>
      </c>
      <c r="D142">
        <f>'Parm VaR Eq Weights'!E141</f>
        <v>-5.5073869258514766E-3</v>
      </c>
      <c r="H142" s="60">
        <f t="shared" si="28"/>
        <v>2.4232589385969172E-5</v>
      </c>
      <c r="I142" s="60">
        <f t="shared" si="29"/>
        <v>1.1035101219922422E-4</v>
      </c>
      <c r="J142" s="60">
        <f t="shared" si="30"/>
        <v>8.1511377421884611E-5</v>
      </c>
      <c r="K142" s="60">
        <f t="shared" si="31"/>
        <v>1.1343505074144855E-4</v>
      </c>
      <c r="M142" s="60">
        <f t="shared" si="32"/>
        <v>1.9770571147838628E-5</v>
      </c>
      <c r="N142" s="60">
        <f t="shared" si="33"/>
        <v>2.0275475940402091E-5</v>
      </c>
      <c r="O142" s="60">
        <f t="shared" si="34"/>
        <v>-6.6744833276975761E-6</v>
      </c>
      <c r="P142" s="60">
        <f t="shared" si="35"/>
        <v>2.9282788349094391E-5</v>
      </c>
      <c r="Q142" s="60">
        <f t="shared" si="36"/>
        <v>-1.3312170390540591E-5</v>
      </c>
      <c r="R142" s="60">
        <f t="shared" si="37"/>
        <v>8.2308017690506856E-7</v>
      </c>
    </row>
    <row r="143" spans="1:18" x14ac:dyDescent="0.3">
      <c r="A143">
        <f>'Parm VaR Eq Weights'!B142</f>
        <v>2.6927856925118674E-4</v>
      </c>
      <c r="B143">
        <f>'Parm VaR Eq Weights'!C142</f>
        <v>2.2863001819272192E-3</v>
      </c>
      <c r="C143">
        <f>'Parm VaR Eq Weights'!D142</f>
        <v>1.8101266420070801E-3</v>
      </c>
      <c r="D143">
        <f>'Parm VaR Eq Weights'!E142</f>
        <v>1.1050558570765649E-2</v>
      </c>
      <c r="H143" s="60">
        <f t="shared" si="28"/>
        <v>2.6308744926105856E-5</v>
      </c>
      <c r="I143" s="60">
        <f t="shared" si="29"/>
        <v>1.0421460141976913E-4</v>
      </c>
      <c r="J143" s="60">
        <f t="shared" si="30"/>
        <v>7.8931480809454812E-5</v>
      </c>
      <c r="K143" s="60">
        <f t="shared" si="31"/>
        <v>1.0844882634202403E-4</v>
      </c>
      <c r="M143" s="60">
        <f t="shared" si="32"/>
        <v>1.9892338439210435E-5</v>
      </c>
      <c r="N143" s="60">
        <f t="shared" si="33"/>
        <v>2.1915051543469121E-5</v>
      </c>
      <c r="O143" s="60">
        <f t="shared" si="34"/>
        <v>-8.808649104015915E-6</v>
      </c>
      <c r="P143" s="60">
        <f t="shared" si="35"/>
        <v>2.8584084881543207E-5</v>
      </c>
      <c r="Q143" s="60">
        <f t="shared" si="36"/>
        <v>-1.345259089988873E-5</v>
      </c>
      <c r="R143" s="60">
        <f t="shared" si="37"/>
        <v>-1.2769996755310831E-6</v>
      </c>
    </row>
    <row r="144" spans="1:18" x14ac:dyDescent="0.3">
      <c r="A144">
        <f>'Parm VaR Eq Weights'!B143</f>
        <v>5.701433945571167E-3</v>
      </c>
      <c r="B144">
        <f>'Parm VaR Eq Weights'!C143</f>
        <v>-8.8817838145219524E-3</v>
      </c>
      <c r="C144">
        <f>'Parm VaR Eq Weights'!D143</f>
        <v>2.0428831706521353E-3</v>
      </c>
      <c r="D144">
        <f>'Parm VaR Eq Weights'!E143</f>
        <v>7.1273130620083044E-3</v>
      </c>
      <c r="H144" s="60">
        <f t="shared" si="28"/>
        <v>2.4734570887410981E-5</v>
      </c>
      <c r="I144" s="60">
        <f t="shared" si="29"/>
        <v>9.827535544589581E-5</v>
      </c>
      <c r="J144" s="60">
        <f t="shared" si="30"/>
        <v>7.4392185468493755E-5</v>
      </c>
      <c r="K144" s="60">
        <f t="shared" si="31"/>
        <v>1.092687874450579E-4</v>
      </c>
      <c r="M144" s="60">
        <f t="shared" si="32"/>
        <v>1.8735737231369894E-5</v>
      </c>
      <c r="N144" s="60">
        <f t="shared" si="33"/>
        <v>2.062939414960036E-5</v>
      </c>
      <c r="O144" s="60">
        <f t="shared" si="34"/>
        <v>-8.1015894416932268E-6</v>
      </c>
      <c r="P144" s="60">
        <f t="shared" si="35"/>
        <v>2.7117349360906539E-5</v>
      </c>
      <c r="Q144" s="60">
        <f t="shared" si="36"/>
        <v>-1.1129541801651071E-5</v>
      </c>
      <c r="R144" s="60">
        <f t="shared" si="37"/>
        <v>-2.0506631906224534E-10</v>
      </c>
    </row>
    <row r="145" spans="1:18" x14ac:dyDescent="0.3">
      <c r="A145">
        <f>'Parm VaR Eq Weights'!B144</f>
        <v>-4.4303289684483006E-3</v>
      </c>
      <c r="B145">
        <f>'Parm VaR Eq Weights'!C144</f>
        <v>-9.7819735570800134E-3</v>
      </c>
      <c r="C145">
        <f>'Parm VaR Eq Weights'!D144</f>
        <v>-1.9347577175899129E-3</v>
      </c>
      <c r="D145">
        <f>'Parm VaR Eq Weights'!E144</f>
        <v>1.4068392033915992E-2</v>
      </c>
      <c r="H145" s="60">
        <f t="shared" si="28"/>
        <v>2.5200877576308995E-5</v>
      </c>
      <c r="I145" s="60">
        <f t="shared" si="29"/>
        <v>9.7111999142816306E-5</v>
      </c>
      <c r="J145" s="60">
        <f t="shared" si="30"/>
        <v>7.017905663932014E-5</v>
      </c>
      <c r="K145" s="60">
        <f t="shared" si="31"/>
        <v>1.0576057568738687E-4</v>
      </c>
      <c r="M145" s="60">
        <f t="shared" si="32"/>
        <v>1.4573258773247296E-5</v>
      </c>
      <c r="N145" s="60">
        <f t="shared" si="33"/>
        <v>2.0090472307983867E-5</v>
      </c>
      <c r="O145" s="60">
        <f t="shared" si="34"/>
        <v>-5.1773397972448152E-6</v>
      </c>
      <c r="P145" s="60">
        <f t="shared" si="35"/>
        <v>2.4401641598448699E-5</v>
      </c>
      <c r="Q145" s="60">
        <f t="shared" si="36"/>
        <v>-1.4259964521262586E-5</v>
      </c>
      <c r="R145" s="60">
        <f t="shared" si="37"/>
        <v>8.7342331204083656E-7</v>
      </c>
    </row>
    <row r="146" spans="1:18" x14ac:dyDescent="0.3">
      <c r="A146">
        <f>'Parm VaR Eq Weights'!B145</f>
        <v>1.344776055308613E-4</v>
      </c>
      <c r="B146">
        <f>'Parm VaR Eq Weights'!C145</f>
        <v>-6.3112536532344667E-3</v>
      </c>
      <c r="C146">
        <f>'Parm VaR Eq Weights'!D145</f>
        <v>-4.8014724874312111E-3</v>
      </c>
      <c r="D146">
        <f>'Parm VaR Eq Weights'!E145</f>
        <v>6.6949708725592397E-4</v>
      </c>
      <c r="H146" s="60">
        <f t="shared" si="28"/>
        <v>2.4866493807850786E-5</v>
      </c>
      <c r="I146" s="60">
        <f t="shared" si="29"/>
        <v>9.7026499594532088E-5</v>
      </c>
      <c r="J146" s="60">
        <f t="shared" si="30"/>
        <v>6.6192910486507348E-5</v>
      </c>
      <c r="K146" s="60">
        <f t="shared" si="31"/>
        <v>1.1129012041134072E-4</v>
      </c>
      <c r="M146" s="60">
        <f t="shared" si="32"/>
        <v>1.6299104895964071E-5</v>
      </c>
      <c r="N146" s="60">
        <f t="shared" si="33"/>
        <v>1.9399340759294888E-5</v>
      </c>
      <c r="O146" s="60">
        <f t="shared" si="34"/>
        <v>-8.6063556954508479E-6</v>
      </c>
      <c r="P146" s="60">
        <f t="shared" si="35"/>
        <v>2.4073088032511034E-5</v>
      </c>
      <c r="Q146" s="60">
        <f t="shared" si="36"/>
        <v>-2.1661364981970917E-5</v>
      </c>
      <c r="R146" s="60">
        <f t="shared" si="37"/>
        <v>-8.1211789038358016E-7</v>
      </c>
    </row>
    <row r="147" spans="1:18" x14ac:dyDescent="0.3">
      <c r="A147">
        <f>'Parm VaR Eq Weights'!B146</f>
        <v>-1.6543222059174159E-3</v>
      </c>
      <c r="B147">
        <f>'Parm VaR Eq Weights'!C146</f>
        <v>9.4109305685455211E-3</v>
      </c>
      <c r="C147">
        <f>'Parm VaR Eq Weights'!D146</f>
        <v>-6.6372723337610297E-3</v>
      </c>
      <c r="D147">
        <f>'Parm VaR Eq Weights'!E146</f>
        <v>5.0628734283900958E-3</v>
      </c>
      <c r="H147" s="60">
        <f t="shared" si="28"/>
        <v>2.3375589232963097E-5</v>
      </c>
      <c r="I147" s="60">
        <f t="shared" si="29"/>
        <v>9.3594824979388092E-5</v>
      </c>
      <c r="J147" s="60">
        <f t="shared" si="30"/>
        <v>6.3604584140170435E-5</v>
      </c>
      <c r="K147" s="60">
        <f t="shared" si="31"/>
        <v>1.0463960676765091E-4</v>
      </c>
      <c r="M147" s="60">
        <f t="shared" si="32"/>
        <v>1.5270235265455132E-5</v>
      </c>
      <c r="N147" s="60">
        <f t="shared" si="33"/>
        <v>1.819663888234927E-5</v>
      </c>
      <c r="O147" s="60">
        <f t="shared" si="34"/>
        <v>-8.0845724118115529E-6</v>
      </c>
      <c r="P147" s="60">
        <f t="shared" si="35"/>
        <v>2.4446901397192672E-5</v>
      </c>
      <c r="Q147" s="60">
        <f t="shared" si="36"/>
        <v>-2.0615205039319089E-5</v>
      </c>
      <c r="R147" s="60">
        <f t="shared" si="37"/>
        <v>-9.562651276530447E-7</v>
      </c>
    </row>
    <row r="148" spans="1:18" x14ac:dyDescent="0.3">
      <c r="A148">
        <f>'Parm VaR Eq Weights'!B147</f>
        <v>-2.8031266678487294E-3</v>
      </c>
      <c r="B148">
        <f>'Parm VaR Eq Weights'!C147</f>
        <v>-2.6078052855618001E-2</v>
      </c>
      <c r="C148">
        <f>'Parm VaR Eq Weights'!D147</f>
        <v>-6.6100717407229295E-3</v>
      </c>
      <c r="D148">
        <f>'Parm VaR Eq Weights'!E147</f>
        <v>-5.5459520310473442E-3</v>
      </c>
      <c r="H148" s="60">
        <f t="shared" si="28"/>
        <v>2.2137260796644797E-5</v>
      </c>
      <c r="I148" s="60">
        <f t="shared" si="29"/>
        <v>9.3293072330583881E-5</v>
      </c>
      <c r="J148" s="60">
        <f t="shared" si="30"/>
        <v>6.2431512133710791E-5</v>
      </c>
      <c r="K148" s="60">
        <f t="shared" si="31"/>
        <v>9.9899191602705761E-5</v>
      </c>
      <c r="M148" s="60">
        <f t="shared" si="32"/>
        <v>1.3419898464454311E-5</v>
      </c>
      <c r="N148" s="60">
        <f t="shared" si="33"/>
        <v>1.7763651769916046E-5</v>
      </c>
      <c r="O148" s="60">
        <f t="shared" si="34"/>
        <v>-8.1020355034029584E-6</v>
      </c>
      <c r="P148" s="60">
        <f t="shared" si="35"/>
        <v>1.9232312767507919E-5</v>
      </c>
      <c r="Q148" s="60">
        <f t="shared" si="36"/>
        <v>-1.6519511718245149E-5</v>
      </c>
      <c r="R148" s="60">
        <f t="shared" si="37"/>
        <v>-2.9151094041291099E-6</v>
      </c>
    </row>
    <row r="149" spans="1:18" x14ac:dyDescent="0.3">
      <c r="A149">
        <f>'Parm VaR Eq Weights'!B148</f>
        <v>-3.6523051450785987E-3</v>
      </c>
      <c r="B149">
        <f>'Parm VaR Eq Weights'!C148</f>
        <v>-9.8748634962046011E-3</v>
      </c>
      <c r="C149">
        <f>'Parm VaR Eq Weights'!D148</f>
        <v>-1.5421580728053514E-2</v>
      </c>
      <c r="D149">
        <f>'Parm VaR Eq Weights'!E148</f>
        <v>3.1493686362156379E-3</v>
      </c>
      <c r="H149" s="60">
        <f t="shared" si="28"/>
        <v>2.128047629580639E-5</v>
      </c>
      <c r="I149" s="60">
        <f t="shared" si="29"/>
        <v>1.2849937843517324E-4</v>
      </c>
      <c r="J149" s="60">
        <f t="shared" si="30"/>
        <v>6.1307204310738373E-5</v>
      </c>
      <c r="K149" s="60">
        <f t="shared" si="31"/>
        <v>9.5750695142384108E-5</v>
      </c>
      <c r="M149" s="60">
        <f t="shared" si="32"/>
        <v>1.7000709680896148E-5</v>
      </c>
      <c r="N149" s="60">
        <f t="shared" si="33"/>
        <v>1.7809564766089904E-5</v>
      </c>
      <c r="O149" s="60">
        <f t="shared" si="34"/>
        <v>-6.6831530109884614E-6</v>
      </c>
      <c r="P149" s="60">
        <f t="shared" si="35"/>
        <v>2.8421042015497419E-5</v>
      </c>
      <c r="Q149" s="60">
        <f t="shared" si="36"/>
        <v>-6.8506832031279524E-6</v>
      </c>
      <c r="R149" s="60">
        <f t="shared" si="37"/>
        <v>-5.4065439213150219E-7</v>
      </c>
    </row>
    <row r="150" spans="1:18" x14ac:dyDescent="0.3">
      <c r="A150">
        <f>'Parm VaR Eq Weights'!B149</f>
        <v>-2.2133447617470312E-3</v>
      </c>
      <c r="B150">
        <f>'Parm VaR Eq Weights'!C149</f>
        <v>-5.0032214648344487E-5</v>
      </c>
      <c r="C150">
        <f>'Parm VaR Eq Weights'!D149</f>
        <v>-6.3960101392556024E-3</v>
      </c>
      <c r="D150">
        <f>'Parm VaR Eq Weights'!E149</f>
        <v>-3.8409926489699204E-3</v>
      </c>
      <c r="H150" s="60">
        <f t="shared" si="28"/>
        <v>2.0804007690424062E-5</v>
      </c>
      <c r="I150" s="60">
        <f t="shared" si="29"/>
        <v>1.266401914731833E-4</v>
      </c>
      <c r="J150" s="60">
        <f t="shared" si="30"/>
        <v>7.1898281181206379E-5</v>
      </c>
      <c r="K150" s="60">
        <f t="shared" si="31"/>
        <v>9.0600764802247784E-5</v>
      </c>
      <c r="M150" s="60">
        <f t="shared" si="32"/>
        <v>1.8144627985290594E-5</v>
      </c>
      <c r="N150" s="60">
        <f t="shared" si="33"/>
        <v>2.0120449998423402E-5</v>
      </c>
      <c r="O150" s="60">
        <f t="shared" si="34"/>
        <v>-6.9723111467571269E-6</v>
      </c>
      <c r="P150" s="60">
        <f t="shared" si="35"/>
        <v>3.5852939769681258E-5</v>
      </c>
      <c r="Q150" s="60">
        <f t="shared" si="36"/>
        <v>-8.3056173338517245E-6</v>
      </c>
      <c r="R150" s="60">
        <f t="shared" si="37"/>
        <v>-3.4223096885515703E-6</v>
      </c>
    </row>
    <row r="151" spans="1:18" x14ac:dyDescent="0.3">
      <c r="A151">
        <f>'Parm VaR Eq Weights'!B150</f>
        <v>1.8978267526508089E-3</v>
      </c>
      <c r="B151">
        <f>'Parm VaR Eq Weights'!C150</f>
        <v>-1.3348329733479658E-2</v>
      </c>
      <c r="C151">
        <f>'Parm VaR Eq Weights'!D150</f>
        <v>9.0219721487758923E-3</v>
      </c>
      <c r="D151">
        <f>'Parm VaR Eq Weights'!E150</f>
        <v>-7.4899768365838566E-3</v>
      </c>
      <c r="H151" s="60">
        <f t="shared" si="28"/>
        <v>1.9849700931059799E-5</v>
      </c>
      <c r="I151" s="60">
        <f t="shared" si="29"/>
        <v>1.1904193017814247E-4</v>
      </c>
      <c r="J151" s="60">
        <f t="shared" si="30"/>
        <v>7.0038921052421611E-5</v>
      </c>
      <c r="K151" s="60">
        <f t="shared" si="31"/>
        <v>8.6049912385879375E-5</v>
      </c>
      <c r="M151" s="60">
        <f t="shared" si="32"/>
        <v>1.7062594618585788E-5</v>
      </c>
      <c r="N151" s="60">
        <f t="shared" si="33"/>
        <v>1.9762617530786135E-5</v>
      </c>
      <c r="O151" s="60">
        <f t="shared" si="34"/>
        <v>-6.0438860203813126E-6</v>
      </c>
      <c r="P151" s="60">
        <f t="shared" si="35"/>
        <v>3.3720963776631197E-5</v>
      </c>
      <c r="Q151" s="60">
        <f t="shared" si="36"/>
        <v>-7.7957498917000621E-6</v>
      </c>
      <c r="R151" s="60">
        <f t="shared" si="37"/>
        <v>-1.7429494315814038E-6</v>
      </c>
    </row>
    <row r="152" spans="1:18" x14ac:dyDescent="0.3">
      <c r="A152">
        <f>'Parm VaR Eq Weights'!B151</f>
        <v>3.7398415912945995E-3</v>
      </c>
      <c r="B152">
        <f>'Parm VaR Eq Weights'!C151</f>
        <v>-7.1719133264123618E-3</v>
      </c>
      <c r="C152">
        <f>'Parm VaR Eq Weights'!D151</f>
        <v>1.9040134830931881E-4</v>
      </c>
      <c r="D152">
        <f>'Parm VaR Eq Weights'!E151</f>
        <v>-8.0074484557507691E-4</v>
      </c>
      <c r="H152" s="60">
        <f t="shared" si="28"/>
        <v>1.8874823658180837E-5</v>
      </c>
      <c r="I152" s="60">
        <f t="shared" si="29"/>
        <v>1.2259008876787576E-4</v>
      </c>
      <c r="J152" s="60">
        <f t="shared" si="30"/>
        <v>7.0720344676473588E-5</v>
      </c>
      <c r="K152" s="60">
        <f t="shared" si="31"/>
        <v>8.4252902823480383E-5</v>
      </c>
      <c r="M152" s="60">
        <f t="shared" si="32"/>
        <v>1.4518869905186522E-5</v>
      </c>
      <c r="N152" s="60">
        <f t="shared" si="33"/>
        <v>1.9604188885276012E-5</v>
      </c>
      <c r="O152" s="60">
        <f t="shared" si="34"/>
        <v>-6.5341335641906578E-6</v>
      </c>
      <c r="P152" s="60">
        <f t="shared" si="35"/>
        <v>2.4472010404745484E-5</v>
      </c>
      <c r="Q152" s="60">
        <f t="shared" si="36"/>
        <v>-1.3292840675472807E-6</v>
      </c>
      <c r="R152" s="60">
        <f t="shared" si="37"/>
        <v>-5.6928342105646899E-6</v>
      </c>
    </row>
    <row r="153" spans="1:18" x14ac:dyDescent="0.3">
      <c r="A153">
        <f>'Parm VaR Eq Weights'!B152</f>
        <v>3.5667183935811266E-4</v>
      </c>
      <c r="B153">
        <f>'Parm VaR Eq Weights'!C152</f>
        <v>-2.9335441018713965E-3</v>
      </c>
      <c r="C153">
        <f>'Parm VaR Eq Weights'!D152</f>
        <v>-7.4577299783707134E-4</v>
      </c>
      <c r="D153">
        <f>'Parm VaR Eq Weights'!E152</f>
        <v>-5.6201024842818534E-3</v>
      </c>
      <c r="H153" s="60">
        <f t="shared" si="28"/>
        <v>1.8581519146368601E-5</v>
      </c>
      <c r="I153" s="60">
        <f t="shared" si="29"/>
        <v>1.1832086388749749E-4</v>
      </c>
      <c r="J153" s="60">
        <f t="shared" si="30"/>
        <v>6.6479299156291453E-5</v>
      </c>
      <c r="K153" s="60">
        <f t="shared" si="31"/>
        <v>7.923620019253445E-5</v>
      </c>
      <c r="M153" s="60">
        <f t="shared" si="32"/>
        <v>1.203842852603871E-5</v>
      </c>
      <c r="N153" s="60">
        <f t="shared" si="33"/>
        <v>1.8470661805046197E-5</v>
      </c>
      <c r="O153" s="60">
        <f t="shared" si="34"/>
        <v>-6.3217650829890054E-6</v>
      </c>
      <c r="P153" s="60">
        <f t="shared" si="35"/>
        <v>2.2921757262422364E-5</v>
      </c>
      <c r="Q153" s="60">
        <f t="shared" si="36"/>
        <v>-9.0495466575228934E-7</v>
      </c>
      <c r="R153" s="60">
        <f t="shared" si="37"/>
        <v>-5.360411931825762E-6</v>
      </c>
    </row>
    <row r="154" spans="1:18" x14ac:dyDescent="0.3">
      <c r="A154">
        <f>'Parm VaR Eq Weights'!B153</f>
        <v>5.2822544106502813E-3</v>
      </c>
      <c r="B154">
        <f>'Parm VaR Eq Weights'!C153</f>
        <v>2.5410900678458383E-2</v>
      </c>
      <c r="C154">
        <f>'Parm VaR Eq Weights'!D153</f>
        <v>6.1224893757712041E-3</v>
      </c>
      <c r="D154">
        <f>'Parm VaR Eq Weights'!E153</f>
        <v>8.4567410927399705E-3</v>
      </c>
      <c r="H154" s="60">
        <f t="shared" si="28"/>
        <v>1.7474260885645951E-5</v>
      </c>
      <c r="I154" s="60">
        <f t="shared" si="29"/>
        <v>1.1173795291410509E-4</v>
      </c>
      <c r="J154" s="60">
        <f t="shared" si="30"/>
        <v>6.2523911848772146E-5</v>
      </c>
      <c r="K154" s="60">
        <f t="shared" si="31"/>
        <v>7.637716129701225E-5</v>
      </c>
      <c r="M154" s="60">
        <f t="shared" si="32"/>
        <v>1.1253344060237231E-5</v>
      </c>
      <c r="N154" s="60">
        <f t="shared" si="33"/>
        <v>1.7346462323130496E-5</v>
      </c>
      <c r="O154" s="60">
        <f t="shared" si="34"/>
        <v>-6.0627311154366598E-6</v>
      </c>
      <c r="P154" s="60">
        <f t="shared" si="35"/>
        <v>2.1677717305425414E-5</v>
      </c>
      <c r="Q154" s="60">
        <f t="shared" si="36"/>
        <v>1.3855172387351769E-7</v>
      </c>
      <c r="R154" s="60">
        <f t="shared" si="37"/>
        <v>-4.7873079752449489E-6</v>
      </c>
    </row>
    <row r="155" spans="1:18" x14ac:dyDescent="0.3">
      <c r="A155">
        <f>'Parm VaR Eq Weights'!B154</f>
        <v>2.7548155373730498E-4</v>
      </c>
      <c r="B155">
        <f>'Parm VaR Eq Weights'!C154</f>
        <v>1.0065706205988957E-2</v>
      </c>
      <c r="C155">
        <f>'Parm VaR Eq Weights'!D154</f>
        <v>1.4214564902180395E-3</v>
      </c>
      <c r="D155">
        <f>'Parm VaR Eq Weights'!E154</f>
        <v>-2.0158874709252882E-2</v>
      </c>
      <c r="H155" s="60">
        <f t="shared" si="28"/>
        <v>1.8099937932037254E-5</v>
      </c>
      <c r="I155" s="60">
        <f t="shared" si="29"/>
        <v>1.437765081366874E-4</v>
      </c>
      <c r="J155" s="60">
        <f t="shared" si="30"/>
        <v>6.1021569707231691E-5</v>
      </c>
      <c r="K155" s="60">
        <f t="shared" si="31"/>
        <v>7.608551981376972E-5</v>
      </c>
      <c r="M155" s="60">
        <f t="shared" si="32"/>
        <v>1.8631753947865984E-5</v>
      </c>
      <c r="N155" s="60">
        <f t="shared" si="33"/>
        <v>1.8246107374302284E-5</v>
      </c>
      <c r="O155" s="60">
        <f t="shared" si="34"/>
        <v>-3.018727772299266E-6</v>
      </c>
      <c r="P155" s="60">
        <f t="shared" si="35"/>
        <v>2.9711732433058222E-5</v>
      </c>
      <c r="Q155" s="60">
        <f t="shared" si="36"/>
        <v>1.3023843098704299E-5</v>
      </c>
      <c r="R155" s="60">
        <f t="shared" si="37"/>
        <v>-1.3934910470933546E-6</v>
      </c>
    </row>
    <row r="156" spans="1:18" x14ac:dyDescent="0.3">
      <c r="A156">
        <f>'Parm VaR Eq Weights'!B155</f>
        <v>-5.5697220329897499E-3</v>
      </c>
      <c r="B156">
        <f>'Parm VaR Eq Weights'!C155</f>
        <v>-1.2957385928696675E-2</v>
      </c>
      <c r="C156">
        <f>'Parm VaR Eq Weights'!D155</f>
        <v>-3.8712380304426761E-3</v>
      </c>
      <c r="D156">
        <f>'Parm VaR Eq Weights'!E155</f>
        <v>1.6007631915980517E-3</v>
      </c>
      <c r="H156" s="60">
        <f t="shared" si="28"/>
        <v>1.701849506130199E-5</v>
      </c>
      <c r="I156" s="60">
        <f t="shared" si="29"/>
        <v>1.4122902413400324E-4</v>
      </c>
      <c r="J156" s="60">
        <f t="shared" si="30"/>
        <v>5.7481507838012766E-5</v>
      </c>
      <c r="K156" s="60">
        <f t="shared" si="31"/>
        <v>9.5903202397544898E-5</v>
      </c>
      <c r="M156" s="60">
        <f t="shared" si="32"/>
        <v>1.768022369409937E-5</v>
      </c>
      <c r="N156" s="60">
        <f t="shared" si="33"/>
        <v>1.717483603439386E-5</v>
      </c>
      <c r="O156" s="60">
        <f t="shared" si="34"/>
        <v>-3.1708079935513493E-6</v>
      </c>
      <c r="P156" s="60">
        <f t="shared" si="35"/>
        <v>2.8787506291982585E-5</v>
      </c>
      <c r="Q156" s="60">
        <f t="shared" si="36"/>
        <v>6.7613896781194353E-8</v>
      </c>
      <c r="R156" s="60">
        <f t="shared" si="37"/>
        <v>-3.0291793817253433E-6</v>
      </c>
    </row>
    <row r="157" spans="1:18" x14ac:dyDescent="0.3">
      <c r="A157">
        <f>'Parm VaR Eq Weights'!B156</f>
        <v>5.3690147247709239E-3</v>
      </c>
      <c r="B157">
        <f>'Parm VaR Eq Weights'!C156</f>
        <v>5.6366314446456367E-3</v>
      </c>
      <c r="C157">
        <f>'Parm VaR Eq Weights'!D156</f>
        <v>-5.3858140152609861E-3</v>
      </c>
      <c r="D157">
        <f>'Parm VaR Eq Weights'!E156</f>
        <v>1.5097052339805381E-2</v>
      </c>
      <c r="H157" s="60">
        <f t="shared" si="28"/>
        <v>1.7858693569110158E-5</v>
      </c>
      <c r="I157" s="60">
        <f t="shared" si="29"/>
        <v>1.4282891369227425E-4</v>
      </c>
      <c r="J157" s="60">
        <f t="shared" si="30"/>
        <v>5.4931806401032741E-5</v>
      </c>
      <c r="K157" s="60">
        <f t="shared" si="31"/>
        <v>9.0302756821426713E-5</v>
      </c>
      <c r="M157" s="60">
        <f t="shared" si="32"/>
        <v>2.0949552546274203E-5</v>
      </c>
      <c r="N157" s="60">
        <f t="shared" si="33"/>
        <v>1.7438049057516494E-5</v>
      </c>
      <c r="O157" s="60">
        <f t="shared" si="34"/>
        <v>-3.5155078750088281E-6</v>
      </c>
      <c r="P157" s="60">
        <f t="shared" si="35"/>
        <v>3.0069923425401235E-5</v>
      </c>
      <c r="Q157" s="60">
        <f t="shared" si="36"/>
        <v>-1.1809453242649687E-6</v>
      </c>
      <c r="R157" s="60">
        <f t="shared" si="37"/>
        <v>-3.2192447395246533E-6</v>
      </c>
    </row>
    <row r="158" spans="1:18" x14ac:dyDescent="0.3">
      <c r="A158">
        <f>'Parm VaR Eq Weights'!B157</f>
        <v>1.2532725246468409E-3</v>
      </c>
      <c r="B158">
        <f>'Parm VaR Eq Weights'!C157</f>
        <v>1.1914824965175236E-2</v>
      </c>
      <c r="C158">
        <f>'Parm VaR Eq Weights'!D157</f>
        <v>1.6027318643589746E-3</v>
      </c>
      <c r="D158">
        <f>'Parm VaR Eq Weights'!E157</f>
        <v>-1.0711567225088606E-2</v>
      </c>
      <c r="H158" s="60">
        <f t="shared" si="28"/>
        <v>1.8516751101851969E-5</v>
      </c>
      <c r="I158" s="60">
        <f t="shared" si="29"/>
        <v>1.3616547571330387E-4</v>
      </c>
      <c r="J158" s="60">
        <f t="shared" si="30"/>
        <v>5.3376317573389676E-5</v>
      </c>
      <c r="K158" s="60">
        <f t="shared" si="31"/>
        <v>9.8559850773190507E-5</v>
      </c>
      <c r="M158" s="60">
        <f t="shared" si="32"/>
        <v>2.1508368826962303E-5</v>
      </c>
      <c r="N158" s="60">
        <f t="shared" si="33"/>
        <v>1.4656775228896671E-5</v>
      </c>
      <c r="O158" s="60">
        <f t="shared" si="34"/>
        <v>1.5588003762748519E-6</v>
      </c>
      <c r="P158" s="60">
        <f t="shared" si="35"/>
        <v>2.6444257101871161E-5</v>
      </c>
      <c r="Q158" s="60">
        <f t="shared" si="36"/>
        <v>3.995702591591414E-6</v>
      </c>
      <c r="R158" s="60">
        <f t="shared" si="37"/>
        <v>-7.9046850200043277E-6</v>
      </c>
    </row>
    <row r="159" spans="1:18" x14ac:dyDescent="0.3">
      <c r="A159">
        <f>'Parm VaR Eq Weights'!B158</f>
        <v>7.8405919579734688E-3</v>
      </c>
      <c r="B159">
        <f>'Parm VaR Eq Weights'!C158</f>
        <v>2.5650320772611663E-3</v>
      </c>
      <c r="C159">
        <f>'Parm VaR Eq Weights'!D158</f>
        <v>2.2673956246578725E-3</v>
      </c>
      <c r="D159">
        <f>'Parm VaR Eq Weights'!E158</f>
        <v>1.0948800701014814E-2</v>
      </c>
      <c r="H159" s="60">
        <f t="shared" si="28"/>
        <v>1.749998755700293E-5</v>
      </c>
      <c r="I159" s="60">
        <f t="shared" si="29"/>
        <v>1.3651333040755142E-4</v>
      </c>
      <c r="J159" s="60">
        <f t="shared" si="30"/>
        <v>5.0327863484728186E-5</v>
      </c>
      <c r="K159" s="60">
        <f t="shared" si="31"/>
        <v>9.9530520071854632E-5</v>
      </c>
      <c r="M159" s="60">
        <f t="shared" si="32"/>
        <v>2.1113818063234388E-5</v>
      </c>
      <c r="N159" s="60">
        <f t="shared" si="33"/>
        <v>1.3897888303761497E-5</v>
      </c>
      <c r="O159" s="60">
        <f t="shared" si="34"/>
        <v>6.5980157975169074E-7</v>
      </c>
      <c r="P159" s="60">
        <f t="shared" si="35"/>
        <v>2.6003377853555663E-5</v>
      </c>
      <c r="Q159" s="60">
        <f t="shared" si="36"/>
        <v>-3.9016264792823898E-6</v>
      </c>
      <c r="R159" s="60">
        <f t="shared" si="37"/>
        <v>-8.4604701253364335E-6</v>
      </c>
    </row>
    <row r="160" spans="1:18" x14ac:dyDescent="0.3">
      <c r="A160">
        <f>'Parm VaR Eq Weights'!B159</f>
        <v>-3.6853296937642503E-4</v>
      </c>
      <c r="B160">
        <f>'Parm VaR Eq Weights'!C159</f>
        <v>1.7319887652444677E-2</v>
      </c>
      <c r="C160">
        <f>'Parm VaR Eq Weights'!D159</f>
        <v>6.5221095469170072E-3</v>
      </c>
      <c r="D160">
        <f>'Parm VaR Eq Weights'!E159</f>
        <v>1.2575358140847131E-2</v>
      </c>
      <c r="H160" s="60">
        <f t="shared" si="28"/>
        <v>2.0138481238669048E-5</v>
      </c>
      <c r="I160" s="60">
        <f t="shared" si="29"/>
        <v>1.2871729395654103E-4</v>
      </c>
      <c r="J160" s="60">
        <f t="shared" si="30"/>
        <v>4.7616656650767554E-5</v>
      </c>
      <c r="K160" s="60">
        <f t="shared" si="31"/>
        <v>1.007512630749759E-4</v>
      </c>
      <c r="M160" s="60">
        <f t="shared" si="32"/>
        <v>2.1053671172055396E-5</v>
      </c>
      <c r="N160" s="60">
        <f t="shared" si="33"/>
        <v>1.4130678439550011E-5</v>
      </c>
      <c r="O160" s="60">
        <f t="shared" si="34"/>
        <v>5.7709182085164555E-6</v>
      </c>
      <c r="P160" s="60">
        <f t="shared" si="35"/>
        <v>2.4792131732887666E-5</v>
      </c>
      <c r="Q160" s="60">
        <f t="shared" si="36"/>
        <v>-1.9824873901868922E-6</v>
      </c>
      <c r="R160" s="60">
        <f t="shared" si="37"/>
        <v>-6.4633261495323233E-6</v>
      </c>
    </row>
    <row r="161" spans="1:18" x14ac:dyDescent="0.3">
      <c r="A161">
        <f>'Parm VaR Eq Weights'!B160</f>
        <v>-3.5156878673105706E-3</v>
      </c>
      <c r="B161">
        <f>'Parm VaR Eq Weights'!C160</f>
        <v>-1.6247988691704518E-2</v>
      </c>
      <c r="C161">
        <f>'Parm VaR Eq Weights'!D160</f>
        <v>8.1192386818306015E-3</v>
      </c>
      <c r="D161">
        <f>'Parm VaR Eq Weights'!E160</f>
        <v>2.5728824658788267E-3</v>
      </c>
      <c r="H161" s="60">
        <f t="shared" si="28"/>
        <v>1.893832135731995E-5</v>
      </c>
      <c r="I161" s="60">
        <f t="shared" si="29"/>
        <v>1.3899296681674691E-4</v>
      </c>
      <c r="J161" s="60">
        <f t="shared" si="30"/>
        <v>4.7311932028240659E-5</v>
      </c>
      <c r="K161" s="60">
        <f t="shared" si="31"/>
        <v>1.0419456523271156E-4</v>
      </c>
      <c r="M161" s="60">
        <f t="shared" si="32"/>
        <v>1.9407473924182781E-5</v>
      </c>
      <c r="N161" s="60">
        <f t="shared" si="33"/>
        <v>1.313862098930159E-5</v>
      </c>
      <c r="O161" s="60">
        <f t="shared" si="34"/>
        <v>5.146597071408364E-6</v>
      </c>
      <c r="P161" s="60">
        <f t="shared" si="35"/>
        <v>3.0082336105486773E-5</v>
      </c>
      <c r="Q161" s="60">
        <f t="shared" si="36"/>
        <v>1.1204689264548005E-5</v>
      </c>
      <c r="R161" s="60">
        <f t="shared" si="37"/>
        <v>-1.1544547773812041E-6</v>
      </c>
    </row>
    <row r="162" spans="1:18" x14ac:dyDescent="0.3">
      <c r="A162">
        <f>'Parm VaR Eq Weights'!B161</f>
        <v>-1.3050959101805544E-3</v>
      </c>
      <c r="B162">
        <f>'Parm VaR Eq Weights'!C161</f>
        <v>1.1544929134225137E-2</v>
      </c>
      <c r="C162">
        <f>'Parm VaR Eq Weights'!D161</f>
        <v>-5.4047012171121196E-3</v>
      </c>
      <c r="D162">
        <f>'Parm VaR Eq Weights'!E161</f>
        <v>4.895939511966714E-3</v>
      </c>
      <c r="H162" s="60">
        <f t="shared" si="28"/>
        <v>1.8543625746702038E-5</v>
      </c>
      <c r="I162" s="60">
        <f t="shared" si="29"/>
        <v>1.4649321699928761E-4</v>
      </c>
      <c r="J162" s="60">
        <f t="shared" si="30"/>
        <v>4.8428538312898283E-5</v>
      </c>
      <c r="K162" s="60">
        <f t="shared" si="31"/>
        <v>9.8340074769742464E-5</v>
      </c>
      <c r="M162" s="60">
        <f t="shared" si="32"/>
        <v>2.1670396891429313E-5</v>
      </c>
      <c r="N162" s="60">
        <f t="shared" si="33"/>
        <v>1.0637621194412863E-5</v>
      </c>
      <c r="O162" s="60">
        <f t="shared" si="34"/>
        <v>4.2950741469654844E-6</v>
      </c>
      <c r="P162" s="60">
        <f t="shared" si="35"/>
        <v>2.0362118041899551E-5</v>
      </c>
      <c r="Q162" s="60">
        <f t="shared" si="36"/>
        <v>8.0241579960340802E-6</v>
      </c>
      <c r="R162" s="60">
        <f t="shared" si="37"/>
        <v>1.6820331970769349E-7</v>
      </c>
    </row>
    <row r="163" spans="1:18" x14ac:dyDescent="0.3">
      <c r="A163">
        <f>'Parm VaR Eq Weights'!B162</f>
        <v>-3.2892781510010126E-3</v>
      </c>
      <c r="B163">
        <f>'Parm VaR Eq Weights'!C162</f>
        <v>-3.6380520930315136E-3</v>
      </c>
      <c r="C163">
        <f>'Parm VaR Eq Weights'!D162</f>
        <v>-1.1127787901940558E-3</v>
      </c>
      <c r="D163">
        <f>'Parm VaR Eq Weights'!E162</f>
        <v>1.3987942878312083E-2</v>
      </c>
      <c r="H163" s="60">
        <f t="shared" si="28"/>
        <v>1.7533204721986118E-5</v>
      </c>
      <c r="I163" s="60">
        <f t="shared" si="29"/>
        <v>1.4570074730218716E-4</v>
      </c>
      <c r="J163" s="60">
        <f t="shared" si="30"/>
        <v>4.7275473728899577E-5</v>
      </c>
      <c r="K163" s="60">
        <f t="shared" si="31"/>
        <v>9.3877883705848118E-5</v>
      </c>
      <c r="M163" s="60">
        <f t="shared" si="32"/>
        <v>1.9466138690159458E-5</v>
      </c>
      <c r="N163" s="60">
        <f t="shared" si="33"/>
        <v>1.0422583130000144E-5</v>
      </c>
      <c r="O163" s="60">
        <f t="shared" si="34"/>
        <v>3.6539894601340069E-6</v>
      </c>
      <c r="P163" s="60">
        <f t="shared" si="35"/>
        <v>1.5396577406792385E-5</v>
      </c>
      <c r="Q163" s="60">
        <f t="shared" si="36"/>
        <v>1.0934104998938549E-5</v>
      </c>
      <c r="R163" s="60">
        <f t="shared" si="37"/>
        <v>-1.4295542938287984E-6</v>
      </c>
    </row>
    <row r="164" spans="1:18" x14ac:dyDescent="0.3">
      <c r="A164">
        <f>'Parm VaR Eq Weights'!B163</f>
        <v>2.7632869851152405E-3</v>
      </c>
      <c r="B164">
        <f>'Parm VaR Eq Weights'!C163</f>
        <v>2.6284628589178008E-3</v>
      </c>
      <c r="C164">
        <f>'Parm VaR Eq Weights'!D163</f>
        <v>1.5172899529449838E-3</v>
      </c>
      <c r="D164">
        <f>'Parm VaR Eq Weights'!E163</f>
        <v>-2.8322666398437825E-3</v>
      </c>
      <c r="H164" s="60">
        <f t="shared" si="28"/>
        <v>1.7130373483946109E-5</v>
      </c>
      <c r="I164" s="60">
        <f t="shared" si="29"/>
        <v>1.3775282784595259E-4</v>
      </c>
      <c r="J164" s="60">
        <f t="shared" si="30"/>
        <v>4.4513241903319945E-5</v>
      </c>
      <c r="K164" s="60">
        <f t="shared" si="31"/>
        <v>9.9984963441512533E-5</v>
      </c>
      <c r="M164" s="60">
        <f t="shared" si="32"/>
        <v>1.9016164284458615E-5</v>
      </c>
      <c r="N164" s="60">
        <f t="shared" si="33"/>
        <v>1.0016842479889095E-5</v>
      </c>
      <c r="O164" s="60">
        <f t="shared" si="34"/>
        <v>6.7413599930103495E-7</v>
      </c>
      <c r="P164" s="60">
        <f t="shared" si="35"/>
        <v>1.4715683594789636E-5</v>
      </c>
      <c r="Q164" s="60">
        <f t="shared" si="36"/>
        <v>7.2247268070633208E-6</v>
      </c>
      <c r="R164" s="60">
        <f t="shared" si="37"/>
        <v>-2.2777102054049718E-6</v>
      </c>
    </row>
    <row r="165" spans="1:18" x14ac:dyDescent="0.3">
      <c r="A165">
        <f>'Parm VaR Eq Weights'!B164</f>
        <v>-6.8702814001136976E-6</v>
      </c>
      <c r="B165">
        <f>'Parm VaR Eq Weights'!C164</f>
        <v>-2.3827777916032616E-2</v>
      </c>
      <c r="C165">
        <f>'Parm VaR Eq Weights'!D164</f>
        <v>6.458049545271312E-3</v>
      </c>
      <c r="D165">
        <f>'Parm VaR Eq Weights'!E164</f>
        <v>3.9447601575066625E-3</v>
      </c>
      <c r="H165" s="60">
        <f t="shared" si="28"/>
        <v>1.6560696372635778E-5</v>
      </c>
      <c r="I165" s="60">
        <f t="shared" si="29"/>
        <v>1.2990218719523806E-4</v>
      </c>
      <c r="J165" s="60">
        <f t="shared" si="30"/>
        <v>4.1980577517199218E-5</v>
      </c>
      <c r="K165" s="60">
        <f t="shared" si="31"/>
        <v>9.44671696941721E-5</v>
      </c>
      <c r="M165" s="60">
        <f t="shared" si="32"/>
        <v>1.8310986259925477E-5</v>
      </c>
      <c r="N165" s="60">
        <f t="shared" si="33"/>
        <v>9.667394385872888E-6</v>
      </c>
      <c r="O165" s="60">
        <f t="shared" si="34"/>
        <v>1.6410590668758855E-7</v>
      </c>
      <c r="P165" s="60">
        <f t="shared" si="35"/>
        <v>1.4072030996353759E-5</v>
      </c>
      <c r="Q165" s="60">
        <f t="shared" si="36"/>
        <v>6.3445727384766426E-6</v>
      </c>
      <c r="R165" s="60">
        <f t="shared" si="37"/>
        <v>-2.3988897760824466E-6</v>
      </c>
    </row>
    <row r="166" spans="1:18" x14ac:dyDescent="0.3">
      <c r="A166">
        <f>'Parm VaR Eq Weights'!B165</f>
        <v>3.6411053174084792E-3</v>
      </c>
      <c r="B166">
        <f>'Parm VaR Eq Weights'!C165</f>
        <v>-1.2947209280352594E-3</v>
      </c>
      <c r="C166">
        <f>'Parm VaR Eq Weights'!D165</f>
        <v>-9.2904337172911231E-3</v>
      </c>
      <c r="D166">
        <f>'Parm VaR Eq Weights'!E165</f>
        <v>6.0074065749212034E-3</v>
      </c>
      <c r="H166" s="60">
        <f t="shared" si="28"/>
        <v>1.5567057422323622E-5</v>
      </c>
      <c r="I166" s="60">
        <f t="shared" si="29"/>
        <v>1.5617383598847011E-4</v>
      </c>
      <c r="J166" s="60">
        <f t="shared" si="30"/>
        <v>4.1964127101918007E-5</v>
      </c>
      <c r="K166" s="60">
        <f t="shared" si="31"/>
        <v>8.9732807474536902E-5</v>
      </c>
      <c r="M166" s="60">
        <f t="shared" si="32"/>
        <v>1.7222149296695302E-5</v>
      </c>
      <c r="N166" s="60">
        <f t="shared" si="33"/>
        <v>9.0846886056602009E-6</v>
      </c>
      <c r="O166" s="60">
        <f t="shared" si="34"/>
        <v>1.5263345554605159E-7</v>
      </c>
      <c r="P166" s="60">
        <f t="shared" si="35"/>
        <v>3.9948509164449099E-6</v>
      </c>
      <c r="Q166" s="60">
        <f t="shared" si="36"/>
        <v>3.242062362630829E-7</v>
      </c>
      <c r="R166" s="60">
        <f t="shared" si="37"/>
        <v>-7.2642899703408078E-7</v>
      </c>
    </row>
    <row r="167" spans="1:18" x14ac:dyDescent="0.3">
      <c r="A167">
        <f>'Parm VaR Eq Weights'!B166</f>
        <v>-3.9669012240730651E-4</v>
      </c>
      <c r="B167">
        <f>'Parm VaR Eq Weights'!C166</f>
        <v>-1.7252450754858616E-2</v>
      </c>
      <c r="C167">
        <f>'Parm VaR Eq Weights'!D166</f>
        <v>4.5817815102186764E-3</v>
      </c>
      <c r="D167">
        <f>'Parm VaR Eq Weights'!E166</f>
        <v>1.0109508553010401E-2</v>
      </c>
      <c r="H167" s="60">
        <f t="shared" si="28"/>
        <v>1.5428492852931821E-5</v>
      </c>
      <c r="I167" s="60">
        <f t="shared" si="29"/>
        <v>1.4690398396605145E-4</v>
      </c>
      <c r="J167" s="60">
        <f t="shared" si="30"/>
        <v>4.462500899512571E-5</v>
      </c>
      <c r="K167" s="60">
        <f t="shared" si="31"/>
        <v>8.6514175051449077E-5</v>
      </c>
      <c r="M167" s="60">
        <f t="shared" si="32"/>
        <v>1.590596742355583E-5</v>
      </c>
      <c r="N167" s="60">
        <f t="shared" si="33"/>
        <v>6.5099604327770019E-6</v>
      </c>
      <c r="O167" s="60">
        <f t="shared" si="34"/>
        <v>1.4558914496401048E-6</v>
      </c>
      <c r="P167" s="60">
        <f t="shared" si="35"/>
        <v>4.4768709993162895E-6</v>
      </c>
      <c r="Q167" s="60">
        <f t="shared" si="36"/>
        <v>-1.6192103885872848E-7</v>
      </c>
      <c r="R167" s="60">
        <f t="shared" si="37"/>
        <v>-4.031528013039499E-6</v>
      </c>
    </row>
    <row r="168" spans="1:18" x14ac:dyDescent="0.3">
      <c r="A168">
        <f>'Parm VaR Eq Weights'!B167</f>
        <v>7.1151970404056107E-4</v>
      </c>
      <c r="B168">
        <f>'Parm VaR Eq Weights'!C167</f>
        <v>-1.9267983826213397E-3</v>
      </c>
      <c r="C168">
        <f>'Parm VaR Eq Weights'!D167</f>
        <v>-2.1020647948635468E-3</v>
      </c>
      <c r="D168">
        <f>'Parm VaR Eq Weights'!E167</f>
        <v>3.7370134576744812E-3</v>
      </c>
      <c r="H168" s="60">
        <f t="shared" si="28"/>
        <v>1.4512225064948843E-5</v>
      </c>
      <c r="I168" s="60">
        <f t="shared" si="29"/>
        <v>1.5594856835101766E-4</v>
      </c>
      <c r="J168" s="60">
        <f t="shared" si="30"/>
        <v>4.320707176386107E-5</v>
      </c>
      <c r="K168" s="60">
        <f t="shared" si="31"/>
        <v>8.745545433936555E-5</v>
      </c>
      <c r="M168" s="60">
        <f t="shared" si="32"/>
        <v>1.5362241986248733E-5</v>
      </c>
      <c r="N168" s="60">
        <f t="shared" si="33"/>
        <v>6.0103099587224503E-6</v>
      </c>
      <c r="O168" s="60">
        <f t="shared" si="34"/>
        <v>1.1279174315394137E-6</v>
      </c>
      <c r="P168" s="60">
        <f t="shared" si="35"/>
        <v>-5.3455885311685969E-7</v>
      </c>
      <c r="Q168" s="60">
        <f t="shared" si="36"/>
        <v>-1.0617033684525248E-5</v>
      </c>
      <c r="R168" s="60">
        <f t="shared" si="37"/>
        <v>-1.010462770322289E-6</v>
      </c>
    </row>
    <row r="169" spans="1:18" x14ac:dyDescent="0.3">
      <c r="A169">
        <f>'Parm VaR Eq Weights'!B168</f>
        <v>-8.1694825580172926E-3</v>
      </c>
      <c r="B169">
        <f>'Parm VaR Eq Weights'!C168</f>
        <v>-1.392413287994897E-2</v>
      </c>
      <c r="C169">
        <f>'Parm VaR Eq Weights'!D168</f>
        <v>-3.9654530773465873E-3</v>
      </c>
      <c r="D169">
        <f>'Parm VaR Eq Weights'!E168</f>
        <v>-1.5026617591781852E-2</v>
      </c>
      <c r="H169" s="60">
        <f t="shared" si="28"/>
        <v>1.3671867178406191E-5</v>
      </c>
      <c r="I169" s="60">
        <f t="shared" si="29"/>
        <v>1.4681440737039292E-4</v>
      </c>
      <c r="J169" s="60">
        <f t="shared" si="30"/>
        <v>4.0879768042137687E-5</v>
      </c>
      <c r="K169" s="60">
        <f t="shared" si="31"/>
        <v>8.3046043253974015E-5</v>
      </c>
      <c r="M169" s="60">
        <f t="shared" si="32"/>
        <v>1.4358250166176894E-5</v>
      </c>
      <c r="N169" s="60">
        <f t="shared" si="33"/>
        <v>5.5599517299561798E-6</v>
      </c>
      <c r="O169" s="60">
        <f t="shared" si="34"/>
        <v>1.2197799082110574E-6</v>
      </c>
      <c r="P169" s="60">
        <f t="shared" si="35"/>
        <v>-2.5947001911534746E-7</v>
      </c>
      <c r="Q169" s="60">
        <f t="shared" si="36"/>
        <v>-1.0412039952618616E-5</v>
      </c>
      <c r="R169" s="60">
        <f t="shared" si="37"/>
        <v>-1.4211616697414812E-6</v>
      </c>
    </row>
    <row r="170" spans="1:18" x14ac:dyDescent="0.3">
      <c r="A170">
        <f>'Parm VaR Eq Weights'!B169</f>
        <v>-5.5279787457674368E-3</v>
      </c>
      <c r="B170">
        <f>'Parm VaR Eq Weights'!C169</f>
        <v>-1.1319560121657891E-3</v>
      </c>
      <c r="C170">
        <f>'Parm VaR Eq Weights'!D169</f>
        <v>-1.6866297750467205E-2</v>
      </c>
      <c r="D170">
        <f>'Parm VaR Eq Weights'!E169</f>
        <v>1.4951748803248118E-2</v>
      </c>
      <c r="H170" s="60">
        <f t="shared" si="28"/>
        <v>1.6855981863646747E-5</v>
      </c>
      <c r="I170" s="60">
        <f t="shared" si="29"/>
        <v>1.4963843151567791E-4</v>
      </c>
      <c r="J170" s="60">
        <f t="shared" si="30"/>
        <v>3.9370471046127679E-5</v>
      </c>
      <c r="K170" s="60">
        <f t="shared" si="31"/>
        <v>9.1611234833714446E-5</v>
      </c>
      <c r="M170" s="60">
        <f t="shared" si="32"/>
        <v>2.0321932798101779E-5</v>
      </c>
      <c r="N170" s="60">
        <f t="shared" si="33"/>
        <v>7.1700966111599468E-6</v>
      </c>
      <c r="O170" s="60">
        <f t="shared" si="34"/>
        <v>8.5121745330418606E-6</v>
      </c>
      <c r="P170" s="60">
        <f t="shared" si="35"/>
        <v>3.0690279167221627E-6</v>
      </c>
      <c r="Q170" s="60">
        <f t="shared" si="36"/>
        <v>2.7666396495874699E-6</v>
      </c>
      <c r="R170" s="60">
        <f t="shared" si="37"/>
        <v>2.2393488487295131E-6</v>
      </c>
    </row>
    <row r="171" spans="1:18" x14ac:dyDescent="0.3">
      <c r="A171">
        <f>'Parm VaR Eq Weights'!B170</f>
        <v>-3.9511638017170617E-4</v>
      </c>
      <c r="B171">
        <f>'Parm VaR Eq Weights'!C170</f>
        <v>7.7026807029996719E-4</v>
      </c>
      <c r="C171">
        <f>'Parm VaR Eq Weights'!D170</f>
        <v>-1.7287547229111886E-2</v>
      </c>
      <c r="D171">
        <f>'Parm VaR Eq Weights'!E170</f>
        <v>7.9288532189281512E-3</v>
      </c>
      <c r="H171" s="60">
        <f t="shared" si="28"/>
        <v>1.7678135892647337E-5</v>
      </c>
      <c r="I171" s="60">
        <f t="shared" si="29"/>
        <v>1.4073700508954594E-4</v>
      </c>
      <c r="J171" s="60">
        <f t="shared" si="30"/>
        <v>5.4076562771804935E-5</v>
      </c>
      <c r="K171" s="60">
        <f t="shared" si="31"/>
        <v>9.9527848280217483E-5</v>
      </c>
      <c r="M171" s="60">
        <f t="shared" si="32"/>
        <v>1.9478062556799441E-5</v>
      </c>
      <c r="N171" s="60">
        <f t="shared" si="33"/>
        <v>1.2334082943552425E-5</v>
      </c>
      <c r="O171" s="60">
        <f t="shared" si="34"/>
        <v>3.0422670852747855E-6</v>
      </c>
      <c r="P171" s="60">
        <f t="shared" si="35"/>
        <v>4.0304006702160151E-6</v>
      </c>
      <c r="Q171" s="60">
        <f t="shared" si="36"/>
        <v>1.5851579535984596E-6</v>
      </c>
      <c r="R171" s="60">
        <f t="shared" si="37"/>
        <v>-1.3025850914540738E-5</v>
      </c>
    </row>
    <row r="172" spans="1:18" x14ac:dyDescent="0.3">
      <c r="A172">
        <f>'Parm VaR Eq Weights'!B171</f>
        <v>-1.4179037440386971E-3</v>
      </c>
      <c r="B172">
        <f>'Parm VaR Eq Weights'!C171</f>
        <v>-3.5379631365325834E-2</v>
      </c>
      <c r="C172">
        <f>'Parm VaR Eq Weights'!D171</f>
        <v>6.6261490935043028E-3</v>
      </c>
      <c r="D172">
        <f>'Parm VaR Eq Weights'!E171</f>
        <v>4.3388536121687169E-4</v>
      </c>
      <c r="H172" s="60">
        <f t="shared" si="28"/>
        <v>1.6626814756321295E-5</v>
      </c>
      <c r="I172" s="60">
        <f t="shared" si="29"/>
        <v>1.3232838355818058E-4</v>
      </c>
      <c r="J172" s="60">
        <f t="shared" si="30"/>
        <v>6.8763526357423093E-5</v>
      </c>
      <c r="K172" s="60">
        <f t="shared" si="31"/>
        <v>9.7328180185442874E-5</v>
      </c>
      <c r="M172" s="60">
        <f t="shared" si="32"/>
        <v>1.8291118071489548E-5</v>
      </c>
      <c r="N172" s="60">
        <f t="shared" si="33"/>
        <v>1.2003873551932125E-5</v>
      </c>
      <c r="O172" s="60">
        <f t="shared" si="34"/>
        <v>2.6717618731917577E-6</v>
      </c>
      <c r="P172" s="60">
        <f t="shared" si="35"/>
        <v>2.9896138913397998E-6</v>
      </c>
      <c r="Q172" s="60">
        <f t="shared" si="36"/>
        <v>1.8564890245006805E-6</v>
      </c>
      <c r="R172" s="60">
        <f t="shared" si="37"/>
        <v>-2.0468525329363273E-5</v>
      </c>
    </row>
    <row r="173" spans="1:18" x14ac:dyDescent="0.3">
      <c r="A173">
        <f>'Parm VaR Eq Weights'!B172</f>
        <v>-3.2864228913235163E-2</v>
      </c>
      <c r="B173">
        <f>'Parm VaR Eq Weights'!C172</f>
        <v>2.1179184472994012E-2</v>
      </c>
      <c r="C173">
        <f>'Parm VaR Eq Weights'!D172</f>
        <v>-2.5754928842055155E-2</v>
      </c>
      <c r="D173">
        <f>'Parm VaR Eq Weights'!E172</f>
        <v>-1.4150189068318718E-2</v>
      </c>
      <c r="H173" s="60">
        <f t="shared" si="28"/>
        <v>1.5749832932583553E-5</v>
      </c>
      <c r="I173" s="60">
        <f t="shared" si="29"/>
        <v>1.9949177947747065E-4</v>
      </c>
      <c r="J173" s="60">
        <f t="shared" si="30"/>
        <v>6.7272065884538577E-5</v>
      </c>
      <c r="K173" s="60">
        <f t="shared" si="31"/>
        <v>9.1499784764716995E-5</v>
      </c>
      <c r="M173" s="60">
        <f t="shared" si="32"/>
        <v>2.020354569373644E-5</v>
      </c>
      <c r="N173" s="60">
        <f t="shared" si="33"/>
        <v>1.0719926642321894E-5</v>
      </c>
      <c r="O173" s="60">
        <f t="shared" si="34"/>
        <v>2.474543700111073E-6</v>
      </c>
      <c r="P173" s="60">
        <f t="shared" si="35"/>
        <v>-1.1255605680132811E-5</v>
      </c>
      <c r="Q173" s="60">
        <f t="shared" si="36"/>
        <v>8.2405743495078892E-7</v>
      </c>
      <c r="R173" s="60">
        <f t="shared" si="37"/>
        <v>-1.9067914464026759E-5</v>
      </c>
    </row>
    <row r="174" spans="1:18" x14ac:dyDescent="0.3">
      <c r="A174">
        <f>'Parm VaR Eq Weights'!B173</f>
        <v>-2.0573007811006506E-2</v>
      </c>
      <c r="B174">
        <f>'Parm VaR Eq Weights'!C173</f>
        <v>-1.3814306219038279E-2</v>
      </c>
      <c r="C174">
        <f>'Parm VaR Eq Weights'!D173</f>
        <v>-1.4697474439600658E-2</v>
      </c>
      <c r="D174">
        <f>'Parm VaR Eq Weights'!E173</f>
        <v>-6.195970194172771E-3</v>
      </c>
      <c r="H174" s="60">
        <f t="shared" si="28"/>
        <v>7.9608295480319914E-5</v>
      </c>
      <c r="I174" s="60">
        <f t="shared" si="29"/>
        <v>2.1443574400528906E-4</v>
      </c>
      <c r="J174" s="60">
        <f t="shared" si="30"/>
        <v>1.0303472351102575E-4</v>
      </c>
      <c r="K174" s="60">
        <f t="shared" si="31"/>
        <v>9.8023468718983961E-5</v>
      </c>
      <c r="M174" s="60">
        <f t="shared" si="32"/>
        <v>-2.2770921050854449E-5</v>
      </c>
      <c r="N174" s="60">
        <f t="shared" si="33"/>
        <v>6.0861683670345622E-5</v>
      </c>
      <c r="O174" s="60">
        <f t="shared" si="34"/>
        <v>3.022817424051148E-5</v>
      </c>
      <c r="P174" s="60">
        <f t="shared" si="35"/>
        <v>-4.3308372681408079E-5</v>
      </c>
      <c r="Q174" s="60">
        <f t="shared" si="36"/>
        <v>-1.7206753887486198E-5</v>
      </c>
      <c r="R174" s="60">
        <f t="shared" si="37"/>
        <v>3.9423871571853838E-6</v>
      </c>
    </row>
    <row r="175" spans="1:18" x14ac:dyDescent="0.3">
      <c r="A175">
        <f>'Parm VaR Eq Weights'!B174</f>
        <v>1.4206197963573476E-2</v>
      </c>
      <c r="B175">
        <f>'Parm VaR Eq Weights'!C174</f>
        <v>6.7593547157138699E-4</v>
      </c>
      <c r="C175">
        <f>'Parm VaR Eq Weights'!D174</f>
        <v>-8.4867791283226128E-3</v>
      </c>
      <c r="D175">
        <f>'Parm VaR Eq Weights'!E174</f>
        <v>-1.3372290351646552E-2</v>
      </c>
      <c r="H175" s="60">
        <f t="shared" si="28"/>
        <v>1.0022671677500481E-4</v>
      </c>
      <c r="I175" s="60">
        <f t="shared" si="29"/>
        <v>2.130197027437733E-4</v>
      </c>
      <c r="J175" s="60">
        <f t="shared" si="30"/>
        <v>1.098135853945271E-4</v>
      </c>
      <c r="K175" s="60">
        <f t="shared" si="31"/>
        <v>9.4445463394669568E-5</v>
      </c>
      <c r="M175" s="60">
        <f t="shared" si="32"/>
        <v>-4.3525560029285513E-6</v>
      </c>
      <c r="N175" s="60">
        <f t="shared" si="33"/>
        <v>7.535225803700327E-5</v>
      </c>
      <c r="O175" s="60">
        <f t="shared" si="34"/>
        <v>3.6062668378169591E-5</v>
      </c>
      <c r="P175" s="60">
        <f t="shared" si="35"/>
        <v>-2.8527745567215685E-5</v>
      </c>
      <c r="Q175" s="60">
        <f t="shared" si="36"/>
        <v>-1.1038766879056819E-5</v>
      </c>
      <c r="R175" s="60">
        <f t="shared" si="37"/>
        <v>9.1697507411971747E-6</v>
      </c>
    </row>
    <row r="176" spans="1:18" x14ac:dyDescent="0.3">
      <c r="A176">
        <f>'Parm VaR Eq Weights'!B175</f>
        <v>-5.9049790544291863E-3</v>
      </c>
      <c r="B176">
        <f>'Parm VaR Eq Weights'!C175</f>
        <v>-3.0276122664851828E-4</v>
      </c>
      <c r="C176">
        <f>'Parm VaR Eq Weights'!D175</f>
        <v>5.6276406378894936E-3</v>
      </c>
      <c r="D176">
        <f>'Parm VaR Eq Weights'!E175</f>
        <v>-4.6191545324788218E-3</v>
      </c>
      <c r="H176" s="60">
        <f t="shared" si="28"/>
        <v>1.0632207740331888E-4</v>
      </c>
      <c r="I176" s="60">
        <f t="shared" si="29"/>
        <v>2.002659339048506E-4</v>
      </c>
      <c r="J176" s="60">
        <f t="shared" si="30"/>
        <v>1.0754629546923141E-4</v>
      </c>
      <c r="K176" s="60">
        <f t="shared" si="31"/>
        <v>9.950782454591376E-5</v>
      </c>
      <c r="M176" s="60">
        <f t="shared" si="32"/>
        <v>-3.5152542555681666E-6</v>
      </c>
      <c r="N176" s="60">
        <f t="shared" si="33"/>
        <v>6.3597230692578587E-5</v>
      </c>
      <c r="O176" s="60">
        <f t="shared" si="34"/>
        <v>2.2500744037766929E-5</v>
      </c>
      <c r="P176" s="60">
        <f t="shared" si="35"/>
        <v>-2.716027173631624E-5</v>
      </c>
      <c r="Q176" s="60">
        <f t="shared" si="36"/>
        <v>-1.0918769189403194E-5</v>
      </c>
      <c r="R176" s="60">
        <f t="shared" si="37"/>
        <v>1.5428826175978777E-5</v>
      </c>
    </row>
    <row r="177" spans="1:18" x14ac:dyDescent="0.3">
      <c r="A177">
        <f>'Parm VaR Eq Weights'!B176</f>
        <v>2.1495600231814009E-2</v>
      </c>
      <c r="B177">
        <f>'Parm VaR Eq Weights'!C176</f>
        <v>4.1976623716240957E-3</v>
      </c>
      <c r="C177">
        <f>'Parm VaR Eq Weights'!D176</f>
        <v>1.7819500385851589E-2</v>
      </c>
      <c r="D177">
        <f>'Parm VaR Eq Weights'!E176</f>
        <v>-5.3243779230411339E-3</v>
      </c>
      <c r="H177" s="60">
        <f t="shared" si="28"/>
        <v>1.0203487941711459E-4</v>
      </c>
      <c r="I177" s="60">
        <f t="shared" si="29"/>
        <v>1.8825547773218125E-4</v>
      </c>
      <c r="J177" s="60">
        <f t="shared" si="30"/>
        <v>1.0299373809003104E-4</v>
      </c>
      <c r="K177" s="60">
        <f t="shared" si="31"/>
        <v>9.4817550388854105E-5</v>
      </c>
      <c r="M177" s="60">
        <f t="shared" si="32"/>
        <v>-3.1970710781229093E-6</v>
      </c>
      <c r="N177" s="60">
        <f t="shared" si="33"/>
        <v>5.7787530845468346E-5</v>
      </c>
      <c r="O177" s="60">
        <f t="shared" si="34"/>
        <v>2.2787260041308457E-5</v>
      </c>
      <c r="P177" s="60">
        <f t="shared" si="35"/>
        <v>-2.5632885315097133E-5</v>
      </c>
      <c r="Q177" s="60">
        <f t="shared" si="36"/>
        <v>-1.017973298449906E-5</v>
      </c>
      <c r="R177" s="60">
        <f t="shared" si="37"/>
        <v>1.2943400099839893E-5</v>
      </c>
    </row>
    <row r="178" spans="1:18" x14ac:dyDescent="0.3">
      <c r="A178">
        <f>'Parm VaR Eq Weights'!B177</f>
        <v>-2.5266236039021936E-4</v>
      </c>
      <c r="B178">
        <f>'Parm VaR Eq Weights'!C177</f>
        <v>2.3150140092025193E-2</v>
      </c>
      <c r="C178">
        <f>'Parm VaR Eq Weights'!D177</f>
        <v>-6.3577976180354831E-3</v>
      </c>
      <c r="D178">
        <f>'Parm VaR Eq Weights'!E177</f>
        <v>-4.4263706150882041E-3</v>
      </c>
      <c r="H178" s="60">
        <f t="shared" si="28"/>
        <v>1.2363643641164548E-4</v>
      </c>
      <c r="I178" s="60">
        <f t="shared" si="29"/>
        <v>1.7801737123141932E-4</v>
      </c>
      <c r="J178" s="60">
        <f t="shared" si="30"/>
        <v>1.1586618944471109E-4</v>
      </c>
      <c r="K178" s="60">
        <f t="shared" si="31"/>
        <v>9.082943738156492E-5</v>
      </c>
      <c r="M178" s="60">
        <f t="shared" si="32"/>
        <v>2.4086295214780615E-6</v>
      </c>
      <c r="N178" s="60">
        <f t="shared" si="33"/>
        <v>7.730273039223553E-5</v>
      </c>
      <c r="O178" s="60">
        <f t="shared" si="34"/>
        <v>1.455298247982264E-5</v>
      </c>
      <c r="P178" s="60">
        <f t="shared" si="35"/>
        <v>-1.9606897421141483E-5</v>
      </c>
      <c r="Q178" s="60">
        <f t="shared" si="36"/>
        <v>-1.0909945457020467E-5</v>
      </c>
      <c r="R178" s="60">
        <f t="shared" si="37"/>
        <v>6.4741308266064233E-6</v>
      </c>
    </row>
    <row r="179" spans="1:18" x14ac:dyDescent="0.3">
      <c r="A179">
        <f>'Parm VaR Eq Weights'!B178</f>
        <v>-1.4391922484002614E-2</v>
      </c>
      <c r="B179">
        <f>'Parm VaR Eq Weights'!C178</f>
        <v>-3.0841393787785141E-2</v>
      </c>
      <c r="C179">
        <f>'Parm VaR Eq Weights'!D178</f>
        <v>-1.4995143846911155E-2</v>
      </c>
      <c r="D179">
        <f>'Parm VaR Eq Weights'!E178</f>
        <v>-3.6293079835583539E-2</v>
      </c>
      <c r="H179" s="60">
        <f t="shared" si="28"/>
        <v>1.1622208052304822E-4</v>
      </c>
      <c r="I179" s="60">
        <f t="shared" si="29"/>
        <v>1.994920681343577E-4</v>
      </c>
      <c r="J179" s="60">
        <f t="shared" si="30"/>
        <v>1.1133951351114229E-4</v>
      </c>
      <c r="K179" s="60">
        <f t="shared" si="31"/>
        <v>8.6555236547998E-5</v>
      </c>
      <c r="M179" s="60">
        <f t="shared" si="32"/>
        <v>1.9131616078484571E-6</v>
      </c>
      <c r="N179" s="60">
        <f t="shared" si="33"/>
        <v>7.2760949137884771E-5</v>
      </c>
      <c r="O179" s="60">
        <f t="shared" si="34"/>
        <v>1.3746906165887486E-5</v>
      </c>
      <c r="P179" s="60">
        <f t="shared" si="35"/>
        <v>-2.7261517907928934E-5</v>
      </c>
      <c r="Q179" s="60">
        <f t="shared" si="36"/>
        <v>-1.6403614719910183E-5</v>
      </c>
      <c r="R179" s="60">
        <f t="shared" si="37"/>
        <v>7.7742010901990413E-6</v>
      </c>
    </row>
    <row r="180" spans="1:18" x14ac:dyDescent="0.3">
      <c r="A180">
        <f>'Parm VaR Eq Weights'!B179</f>
        <v>-3.6116989776221765E-4</v>
      </c>
      <c r="B180">
        <f>'Parm VaR Eq Weights'!C179</f>
        <v>-3.817935025405568E-3</v>
      </c>
      <c r="C180">
        <f>'Parm VaR Eq Weights'!D179</f>
        <v>-5.6016674503941615E-3</v>
      </c>
      <c r="D180">
        <f>'Parm VaR Eq Weights'!E179</f>
        <v>2.4247015347318465E-3</v>
      </c>
      <c r="H180" s="60">
        <f t="shared" si="28"/>
        <v>1.2167640165879773E-4</v>
      </c>
      <c r="I180" s="60">
        <f t="shared" si="29"/>
        <v>2.445940382926902E-4</v>
      </c>
      <c r="J180" s="60">
        <f t="shared" si="30"/>
        <v>1.181504030398472E-4</v>
      </c>
      <c r="K180" s="60">
        <f t="shared" si="31"/>
        <v>1.6039318099224061E-4</v>
      </c>
      <c r="M180" s="60">
        <f t="shared" si="32"/>
        <v>2.8430388832921783E-5</v>
      </c>
      <c r="N180" s="60">
        <f t="shared" si="33"/>
        <v>8.1343829062484541E-5</v>
      </c>
      <c r="O180" s="60">
        <f t="shared" si="34"/>
        <v>4.4261723297900457E-5</v>
      </c>
      <c r="P180" s="60">
        <f t="shared" si="35"/>
        <v>2.1224413437710464E-6</v>
      </c>
      <c r="Q180" s="60">
        <f t="shared" si="36"/>
        <v>5.1740352182129863E-5</v>
      </c>
      <c r="R180" s="60">
        <f t="shared" si="37"/>
        <v>3.9960946191707474E-5</v>
      </c>
    </row>
    <row r="181" spans="1:18" x14ac:dyDescent="0.3">
      <c r="A181">
        <f>'Parm VaR Eq Weights'!B180</f>
        <v>-4.2995273740375518E-3</v>
      </c>
      <c r="B181">
        <f>'Parm VaR Eq Weights'!C180</f>
        <v>-1.011170656174145E-2</v>
      </c>
      <c r="C181">
        <f>'Parm VaR Eq Weights'!D180</f>
        <v>5.6465032806308629E-3</v>
      </c>
      <c r="D181">
        <f>'Parm VaR Eq Weights'!E180</f>
        <v>-1.7920224187859702E-2</v>
      </c>
      <c r="H181" s="60">
        <f t="shared" si="28"/>
        <v>1.1438364418097283E-4</v>
      </c>
      <c r="I181" s="60">
        <f t="shared" si="29"/>
        <v>2.3079299366662189E-4</v>
      </c>
      <c r="J181" s="60">
        <f t="shared" si="30"/>
        <v>1.1294409955094469E-4</v>
      </c>
      <c r="K181" s="60">
        <f t="shared" si="31"/>
        <v>1.5112234078465801E-4</v>
      </c>
      <c r="M181" s="60">
        <f t="shared" si="32"/>
        <v>2.6807300895113787E-5</v>
      </c>
      <c r="N181" s="60">
        <f t="shared" si="33"/>
        <v>7.6584588538356881E-5</v>
      </c>
      <c r="O181" s="60">
        <f t="shared" si="34"/>
        <v>4.1553476147702247E-5</v>
      </c>
      <c r="P181" s="60">
        <f t="shared" si="35"/>
        <v>3.2783030047168354E-6</v>
      </c>
      <c r="Q181" s="60">
        <f t="shared" si="36"/>
        <v>4.8080489876265624E-5</v>
      </c>
      <c r="R181" s="60">
        <f t="shared" si="37"/>
        <v>3.6748347120363338E-5</v>
      </c>
    </row>
    <row r="182" spans="1:18" x14ac:dyDescent="0.3">
      <c r="A182">
        <f>'Parm VaR Eq Weights'!B181</f>
        <v>-5.5118302120861972E-3</v>
      </c>
      <c r="B182">
        <f>'Parm VaR Eq Weights'!C181</f>
        <v>-1.1075657110056912E-2</v>
      </c>
      <c r="C182">
        <f>'Parm VaR Eq Weights'!D181</f>
        <v>-2.4013993985396664E-2</v>
      </c>
      <c r="D182">
        <f>'Parm VaR Eq Weights'!E181</f>
        <v>8.9562941630728973E-3</v>
      </c>
      <c r="H182" s="60">
        <f t="shared" si="28"/>
        <v>1.0862978166852035E-4</v>
      </c>
      <c r="I182" s="60">
        <f t="shared" si="29"/>
        <v>2.2308021062207047E-4</v>
      </c>
      <c r="J182" s="60">
        <f t="shared" si="30"/>
        <v>1.0808043353577849E-4</v>
      </c>
      <c r="K182" s="60">
        <f t="shared" si="31"/>
        <v>1.6132306643416766E-4</v>
      </c>
      <c r="M182" s="60">
        <f t="shared" si="32"/>
        <v>2.7807396391033509E-5</v>
      </c>
      <c r="N182" s="60">
        <f t="shared" si="33"/>
        <v>7.0532875500695549E-5</v>
      </c>
      <c r="O182" s="60">
        <f t="shared" si="34"/>
        <v>4.368317724551567E-5</v>
      </c>
      <c r="P182" s="60">
        <f t="shared" si="35"/>
        <v>-3.4414223198516094E-7</v>
      </c>
      <c r="Q182" s="60">
        <f t="shared" si="36"/>
        <v>5.6067903394185221E-5</v>
      </c>
      <c r="R182" s="60">
        <f t="shared" si="37"/>
        <v>2.8472250013158106E-5</v>
      </c>
    </row>
    <row r="183" spans="1:18" x14ac:dyDescent="0.3">
      <c r="A183">
        <f>'Parm VaR Eq Weights'!B182</f>
        <v>-3.0864433708665259E-2</v>
      </c>
      <c r="B183">
        <f>'Parm VaR Eq Weights'!C182</f>
        <v>3.819468157710719E-3</v>
      </c>
      <c r="C183">
        <f>'Parm VaR Eq Weights'!D182</f>
        <v>-4.714001314836353E-3</v>
      </c>
      <c r="D183">
        <f>'Parm VaR Eq Weights'!E182</f>
        <v>8.099444298459952E-3</v>
      </c>
      <c r="H183" s="60">
        <f t="shared" si="28"/>
        <v>1.039348111056211E-4</v>
      </c>
      <c r="I183" s="60">
        <f t="shared" si="29"/>
        <v>2.1705560880991948E-4</v>
      </c>
      <c r="J183" s="60">
        <f t="shared" si="30"/>
        <v>1.3619592195147185E-4</v>
      </c>
      <c r="K183" s="60">
        <f t="shared" si="31"/>
        <v>1.5645659475624723E-4</v>
      </c>
      <c r="M183" s="60">
        <f t="shared" si="32"/>
        <v>2.9801781096246637E-5</v>
      </c>
      <c r="N183" s="60">
        <f t="shared" si="33"/>
        <v>7.4242566424347759E-5</v>
      </c>
      <c r="O183" s="60">
        <f t="shared" si="34"/>
        <v>3.8100252245403335E-5</v>
      </c>
      <c r="P183" s="60">
        <f t="shared" si="35"/>
        <v>1.5634752095447312E-5</v>
      </c>
      <c r="Q183" s="60">
        <f t="shared" si="36"/>
        <v>4.6752018602914127E-5</v>
      </c>
      <c r="R183" s="60">
        <f t="shared" si="37"/>
        <v>1.385933136256006E-5</v>
      </c>
    </row>
    <row r="184" spans="1:18" x14ac:dyDescent="0.3">
      <c r="A184">
        <f>'Parm VaR Eq Weights'!B183</f>
        <v>1.8625039785680586E-2</v>
      </c>
      <c r="B184">
        <f>'Parm VaR Eq Weights'!C183</f>
        <v>-9.1290266561675614E-3</v>
      </c>
      <c r="C184">
        <f>'Parm VaR Eq Weights'!D183</f>
        <v>1.0496433669132442E-2</v>
      </c>
      <c r="D184">
        <f>'Parm VaR Eq Weights'!E183</f>
        <v>-7.5190273463767955E-3</v>
      </c>
      <c r="H184" s="60">
        <f t="shared" si="28"/>
        <v>1.5485551852867943E-4</v>
      </c>
      <c r="I184" s="60">
        <f t="shared" si="29"/>
        <v>2.0490757250179027E-4</v>
      </c>
      <c r="J184" s="60">
        <f t="shared" si="30"/>
        <v>1.2935747513816026E-4</v>
      </c>
      <c r="K184" s="60">
        <f t="shared" si="31"/>
        <v>1.5100525894750372E-4</v>
      </c>
      <c r="M184" s="60">
        <f t="shared" si="32"/>
        <v>2.0940530925110614E-5</v>
      </c>
      <c r="N184" s="60">
        <f t="shared" si="33"/>
        <v>7.851771130394655E-5</v>
      </c>
      <c r="O184" s="60">
        <f t="shared" si="34"/>
        <v>2.0815151413068481E-5</v>
      </c>
      <c r="P184" s="60">
        <f t="shared" si="35"/>
        <v>1.3616368294675037E-5</v>
      </c>
      <c r="Q184" s="60">
        <f t="shared" si="36"/>
        <v>4.5803031662326442E-5</v>
      </c>
      <c r="R184" s="60">
        <f t="shared" si="37"/>
        <v>1.0736924016463415E-5</v>
      </c>
    </row>
    <row r="185" spans="1:18" x14ac:dyDescent="0.3">
      <c r="A185">
        <f>'Parm VaR Eq Weights'!B184</f>
        <v>-1.7327264059605166E-2</v>
      </c>
      <c r="B185">
        <f>'Parm VaR Eq Weights'!C184</f>
        <v>1.6032201350576376E-2</v>
      </c>
      <c r="C185">
        <f>'Parm VaR Eq Weights'!D184</f>
        <v>-5.599568558229082E-3</v>
      </c>
      <c r="D185">
        <f>'Parm VaR Eq Weights'!E184</f>
        <v>-8.7538349976269553E-3</v>
      </c>
      <c r="H185" s="60">
        <f t="shared" si="28"/>
        <v>1.6637771383804976E-4</v>
      </c>
      <c r="I185" s="60">
        <f t="shared" si="29"/>
        <v>1.9761346581302392E-4</v>
      </c>
      <c r="J185" s="60">
        <f t="shared" si="30"/>
        <v>1.2820653381610047E-4</v>
      </c>
      <c r="K185" s="60">
        <f t="shared" si="31"/>
        <v>1.4533708974478723E-4</v>
      </c>
      <c r="M185" s="60">
        <f t="shared" si="32"/>
        <v>9.4823899890644E-6</v>
      </c>
      <c r="N185" s="60">
        <f t="shared" si="33"/>
        <v>8.5536438307430704E-5</v>
      </c>
      <c r="O185" s="60">
        <f t="shared" si="34"/>
        <v>1.1163711319731075E-5</v>
      </c>
      <c r="P185" s="60">
        <f t="shared" si="35"/>
        <v>7.0500528313822441E-6</v>
      </c>
      <c r="Q185" s="60">
        <f t="shared" si="36"/>
        <v>4.7173333826998451E-5</v>
      </c>
      <c r="R185" s="60">
        <f t="shared" si="37"/>
        <v>5.3573302676173872E-6</v>
      </c>
    </row>
    <row r="186" spans="1:18" x14ac:dyDescent="0.3">
      <c r="A186">
        <f>'Parm VaR Eq Weights'!B185</f>
        <v>-6.5595994219019346E-3</v>
      </c>
      <c r="B186">
        <f>'Parm VaR Eq Weights'!C185</f>
        <v>1.7466612137870211E-2</v>
      </c>
      <c r="C186">
        <f>'Parm VaR Eq Weights'!D185</f>
        <v>3.9130165030381034E-3</v>
      </c>
      <c r="D186">
        <f>'Parm VaR Eq Weights'!E185</f>
        <v>5.1600094846722035E-3</v>
      </c>
      <c r="H186" s="60">
        <f t="shared" si="28"/>
        <v>1.7440909579524388E-4</v>
      </c>
      <c r="I186" s="60">
        <f t="shared" si="29"/>
        <v>2.0117854667296787E-4</v>
      </c>
      <c r="J186" s="60">
        <f t="shared" si="30"/>
        <v>1.223954518694329E-4</v>
      </c>
      <c r="K186" s="60">
        <f t="shared" si="31"/>
        <v>1.4121464199004068E-4</v>
      </c>
      <c r="M186" s="60">
        <f t="shared" si="32"/>
        <v>-7.7542045857712051E-6</v>
      </c>
      <c r="N186" s="60">
        <f t="shared" si="33"/>
        <v>8.6225764190682734E-5</v>
      </c>
      <c r="O186" s="60">
        <f t="shared" si="34"/>
        <v>1.9594689272832945E-5</v>
      </c>
      <c r="P186" s="60">
        <f t="shared" si="35"/>
        <v>1.2406450253861858E-6</v>
      </c>
      <c r="Q186" s="60">
        <f t="shared" si="36"/>
        <v>3.5922339081077878E-5</v>
      </c>
      <c r="R186" s="60">
        <f t="shared" si="37"/>
        <v>7.9769524045585807E-6</v>
      </c>
    </row>
    <row r="187" spans="1:18" x14ac:dyDescent="0.3">
      <c r="A187">
        <f>'Parm VaR Eq Weights'!B186</f>
        <v>1.5666780123047824E-2</v>
      </c>
      <c r="B187">
        <f>'Parm VaR Eq Weights'!C186</f>
        <v>4.2113220372993455E-2</v>
      </c>
      <c r="C187">
        <f>'Parm VaR Eq Weights'!D186</f>
        <v>-7.2217150729020144E-3</v>
      </c>
      <c r="D187">
        <f>'Parm VaR Eq Weights'!E186</f>
        <v>-2.6870254604809782E-2</v>
      </c>
      <c r="H187" s="60">
        <f t="shared" si="28"/>
        <v>1.665262507220782E-4</v>
      </c>
      <c r="I187" s="60">
        <f t="shared" si="29"/>
        <v>2.0741278624707751E-4</v>
      </c>
      <c r="J187" s="60">
        <f t="shared" si="30"/>
        <v>1.1597042664644983E-4</v>
      </c>
      <c r="K187" s="60">
        <f t="shared" si="31"/>
        <v>1.3433930534355266E-4</v>
      </c>
      <c r="M187" s="60">
        <f t="shared" si="32"/>
        <v>-1.4163391043554464E-5</v>
      </c>
      <c r="N187" s="60">
        <f t="shared" si="33"/>
        <v>7.9512149091768479E-5</v>
      </c>
      <c r="O187" s="60">
        <f t="shared" si="34"/>
        <v>1.638815220250311E-5</v>
      </c>
      <c r="P187" s="60">
        <f t="shared" si="35"/>
        <v>5.2670348167221259E-6</v>
      </c>
      <c r="Q187" s="60">
        <f t="shared" si="36"/>
        <v>3.9174671794003267E-5</v>
      </c>
      <c r="R187" s="60">
        <f t="shared" si="37"/>
        <v>8.709807396446395E-6</v>
      </c>
    </row>
    <row r="188" spans="1:18" x14ac:dyDescent="0.3">
      <c r="A188">
        <f>'Parm VaR Eq Weights'!B187</f>
        <v>1.0851331816018531E-2</v>
      </c>
      <c r="B188">
        <f>'Parm VaR Eq Weights'!C187</f>
        <v>-2.0839375457478843E-2</v>
      </c>
      <c r="C188">
        <f>'Parm VaR Eq Weights'!D187</f>
        <v>6.2190684842322519E-3</v>
      </c>
      <c r="D188">
        <f>'Parm VaR Eq Weights'!E187</f>
        <v>3.7354262704182833E-3</v>
      </c>
      <c r="H188" s="60">
        <f t="shared" si="28"/>
        <v>1.7126155564418911E-4</v>
      </c>
      <c r="I188" s="60">
        <f t="shared" si="29"/>
        <v>3.0137941888331161E-4</v>
      </c>
      <c r="J188" s="60">
        <f t="shared" si="30"/>
        <v>1.1214139116331365E-4</v>
      </c>
      <c r="K188" s="60">
        <f t="shared" si="31"/>
        <v>1.6959958197457762E-4</v>
      </c>
      <c r="M188" s="60">
        <f t="shared" si="32"/>
        <v>2.6273126250487628E-5</v>
      </c>
      <c r="N188" s="60">
        <f t="shared" si="33"/>
        <v>6.7952958816754999E-5</v>
      </c>
      <c r="O188" s="60">
        <f t="shared" si="34"/>
        <v>-9.8533591742791879E-6</v>
      </c>
      <c r="P188" s="60">
        <f t="shared" si="35"/>
        <v>-1.3296767972446679E-5</v>
      </c>
      <c r="Q188" s="60">
        <f t="shared" si="36"/>
        <v>-3.1071385732684774E-5</v>
      </c>
      <c r="R188" s="60">
        <f t="shared" si="37"/>
        <v>1.9830178314195794E-5</v>
      </c>
    </row>
    <row r="189" spans="1:18" x14ac:dyDescent="0.3">
      <c r="A189">
        <f>'Parm VaR Eq Weights'!B188</f>
        <v>1.0557843711262267E-2</v>
      </c>
      <c r="B189">
        <f>'Parm VaR Eq Weights'!C188</f>
        <v>7.193934713860194E-3</v>
      </c>
      <c r="C189">
        <f>'Parm VaR Eq Weights'!D188</f>
        <v>4.6890561608258548E-3</v>
      </c>
      <c r="D189">
        <f>'Parm VaR Eq Weights'!E188</f>
        <v>-3.8891887645214646E-2</v>
      </c>
      <c r="H189" s="60">
        <f t="shared" si="28"/>
        <v>1.6805094643641792E-4</v>
      </c>
      <c r="I189" s="60">
        <f t="shared" si="29"/>
        <v>3.0935342791777918E-4</v>
      </c>
      <c r="J189" s="60">
        <f t="shared" si="30"/>
        <v>1.0773351646220907E-4</v>
      </c>
      <c r="K189" s="60">
        <f t="shared" si="31"/>
        <v>1.6026081162140681E-4</v>
      </c>
      <c r="M189" s="60">
        <f t="shared" si="32"/>
        <v>1.1128639999796602E-5</v>
      </c>
      <c r="N189" s="60">
        <f t="shared" si="33"/>
        <v>6.7924891830286563E-5</v>
      </c>
      <c r="O189" s="60">
        <f t="shared" si="34"/>
        <v>-6.8300966277475512E-6</v>
      </c>
      <c r="P189" s="60">
        <f t="shared" si="35"/>
        <v>-2.027505208242127E-5</v>
      </c>
      <c r="Q189" s="60">
        <f t="shared" si="36"/>
        <v>-3.3877739621302281E-5</v>
      </c>
      <c r="R189" s="60">
        <f t="shared" si="37"/>
        <v>2.0034219922955943E-5</v>
      </c>
    </row>
    <row r="190" spans="1:18" x14ac:dyDescent="0.3">
      <c r="A190">
        <f>'Parm VaR Eq Weights'!B189</f>
        <v>-6.3166861631632756E-3</v>
      </c>
      <c r="B190">
        <f>'Parm VaR Eq Weights'!C189</f>
        <v>1.0232592538782384E-3</v>
      </c>
      <c r="C190">
        <f>'Parm VaR Eq Weights'!D189</f>
        <v>1.0012166269736321E-2</v>
      </c>
      <c r="D190">
        <f>'Parm VaR Eq Weights'!E189</f>
        <v>-4.773786157316065E-3</v>
      </c>
      <c r="H190" s="60">
        <f t="shared" si="28"/>
        <v>1.6465597348011926E-4</v>
      </c>
      <c r="I190" s="60">
        <f t="shared" si="29"/>
        <v>2.9389738404274937E-4</v>
      </c>
      <c r="J190" s="60">
        <f t="shared" si="30"/>
        <v>1.0258874033523925E-4</v>
      </c>
      <c r="K190" s="60">
        <f t="shared" si="31"/>
        <v>2.4139989840060244E-4</v>
      </c>
      <c r="M190" s="60">
        <f t="shared" si="32"/>
        <v>1.501806790248642E-5</v>
      </c>
      <c r="N190" s="60">
        <f t="shared" si="33"/>
        <v>6.681977764642921E-5</v>
      </c>
      <c r="O190" s="60">
        <f t="shared" si="34"/>
        <v>-3.1057159113731608E-5</v>
      </c>
      <c r="P190" s="60">
        <f t="shared" si="35"/>
        <v>-1.7034583124039682E-5</v>
      </c>
      <c r="Q190" s="60">
        <f t="shared" si="36"/>
        <v>-4.8632217281131758E-5</v>
      </c>
      <c r="R190" s="60">
        <f t="shared" si="37"/>
        <v>7.8901920054421368E-6</v>
      </c>
    </row>
    <row r="191" spans="1:18" x14ac:dyDescent="0.3">
      <c r="A191">
        <f>'Parm VaR Eq Weights'!B190</f>
        <v>5.6003171687664935E-3</v>
      </c>
      <c r="B191">
        <f>'Parm VaR Eq Weights'!C190</f>
        <v>3.0607388902890728E-3</v>
      </c>
      <c r="C191">
        <f>'Parm VaR Eq Weights'!D190</f>
        <v>-1.0297779410569075E-3</v>
      </c>
      <c r="D191">
        <f>'Parm VaR Eq Weights'!E190</f>
        <v>1.6478030336940591E-4</v>
      </c>
      <c r="H191" s="60">
        <f t="shared" si="28"/>
        <v>1.5717064651634601E-4</v>
      </c>
      <c r="I191" s="60">
        <f t="shared" si="29"/>
        <v>2.7632636457022321E-4</v>
      </c>
      <c r="J191" s="60">
        <f t="shared" si="30"/>
        <v>1.0244802431989564E-4</v>
      </c>
      <c r="K191" s="60">
        <f t="shared" si="31"/>
        <v>2.2828324655311324E-4</v>
      </c>
      <c r="M191" s="60">
        <f t="shared" si="32"/>
        <v>1.3729167374119146E-5</v>
      </c>
      <c r="N191" s="60">
        <f t="shared" si="33"/>
        <v>5.9015968259283444E-5</v>
      </c>
      <c r="O191" s="60">
        <f t="shared" si="34"/>
        <v>-2.7384459028958582E-5</v>
      </c>
      <c r="P191" s="60">
        <f t="shared" si="35"/>
        <v>-1.5397805629384786E-5</v>
      </c>
      <c r="Q191" s="60">
        <f t="shared" si="36"/>
        <v>-4.6007373495954422E-5</v>
      </c>
      <c r="R191" s="60">
        <f t="shared" si="37"/>
        <v>4.5490240405227616E-6</v>
      </c>
    </row>
    <row r="192" spans="1:18" x14ac:dyDescent="0.3">
      <c r="A192">
        <f>'Parm VaR Eq Weights'!B191</f>
        <v>6.2592955621174036E-3</v>
      </c>
      <c r="B192">
        <f>'Parm VaR Eq Weights'!C191</f>
        <v>-2.3860280810768898E-2</v>
      </c>
      <c r="C192">
        <f>'Parm VaR Eq Weights'!D191</f>
        <v>4.4465369083393907E-3</v>
      </c>
      <c r="D192">
        <f>'Parm VaR Eq Weights'!E191</f>
        <v>1.2123220228346696E-2</v>
      </c>
      <c r="H192" s="60">
        <f t="shared" si="28"/>
        <v>1.4962222086881209E-4</v>
      </c>
      <c r="I192" s="60">
        <f t="shared" si="29"/>
        <v>2.6030887004928148E-4</v>
      </c>
      <c r="J192" s="60">
        <f t="shared" si="30"/>
        <v>9.6364769417175142E-5</v>
      </c>
      <c r="K192" s="60">
        <f t="shared" si="31"/>
        <v>2.1458788091282912E-4</v>
      </c>
      <c r="M192" s="60">
        <f t="shared" si="32"/>
        <v>1.3933883845055829E-5</v>
      </c>
      <c r="N192" s="60">
        <f t="shared" si="33"/>
        <v>5.5128985178727353E-5</v>
      </c>
      <c r="O192" s="60">
        <f t="shared" si="34"/>
        <v>-2.5686022169499012E-5</v>
      </c>
      <c r="P192" s="60">
        <f t="shared" si="35"/>
        <v>-1.4663050175174981E-5</v>
      </c>
      <c r="Q192" s="60">
        <f t="shared" si="36"/>
        <v>-4.3216670117224569E-5</v>
      </c>
      <c r="R192" s="60">
        <f t="shared" si="37"/>
        <v>4.2659013707995675E-6</v>
      </c>
    </row>
    <row r="193" spans="1:18" x14ac:dyDescent="0.3">
      <c r="A193">
        <f>'Parm VaR Eq Weights'!B192</f>
        <v>2.1208856280910172E-2</v>
      </c>
      <c r="B193">
        <f>'Parm VaR Eq Weights'!C192</f>
        <v>1.2209930386172453E-3</v>
      </c>
      <c r="C193">
        <f>'Parm VaR Eq Weights'!D192</f>
        <v>1.2228015111179489E-2</v>
      </c>
      <c r="D193">
        <f>'Parm VaR Eq Weights'!E192</f>
        <v>1.9744008270873362E-2</v>
      </c>
      <c r="H193" s="60">
        <f t="shared" si="28"/>
        <v>1.4299561447271992E-4</v>
      </c>
      <c r="I193" s="60">
        <f t="shared" si="29"/>
        <v>2.7884911786844939E-4</v>
      </c>
      <c r="J193" s="60">
        <f t="shared" si="30"/>
        <v>9.1769184680778098E-5</v>
      </c>
      <c r="K193" s="60">
        <f t="shared" si="31"/>
        <v>2.1053095618035904E-4</v>
      </c>
      <c r="M193" s="60">
        <f t="shared" si="32"/>
        <v>4.1369378269692225E-6</v>
      </c>
      <c r="N193" s="60">
        <f t="shared" si="33"/>
        <v>5.3491177392233315E-5</v>
      </c>
      <c r="O193" s="60">
        <f t="shared" si="34"/>
        <v>-1.9591891724897322E-5</v>
      </c>
      <c r="P193" s="60">
        <f t="shared" si="35"/>
        <v>-2.0149004320770046E-5</v>
      </c>
      <c r="Q193" s="60">
        <f t="shared" si="36"/>
        <v>-5.797947624893987E-5</v>
      </c>
      <c r="R193" s="60">
        <f t="shared" si="37"/>
        <v>7.2443280601478123E-6</v>
      </c>
    </row>
    <row r="194" spans="1:18" x14ac:dyDescent="0.3">
      <c r="A194">
        <f>'Parm VaR Eq Weights'!B193</f>
        <v>-2.5089165775684713E-3</v>
      </c>
      <c r="B194">
        <f>'Parm VaR Eq Weights'!C193</f>
        <v>6.229794935458448E-3</v>
      </c>
      <c r="C194">
        <f>'Parm VaR Eq Weights'!D193</f>
        <v>-1.2294169358125178E-2</v>
      </c>
      <c r="D194">
        <f>'Parm VaR Eq Weights'!E193</f>
        <v>-8.3453265391824176E-3</v>
      </c>
      <c r="H194" s="60">
        <f t="shared" si="28"/>
        <v>1.6140481268901491E-4</v>
      </c>
      <c r="I194" s="60">
        <f t="shared" si="29"/>
        <v>2.6220762023636349E-4</v>
      </c>
      <c r="J194" s="60">
        <f t="shared" si="30"/>
        <v>9.523449481348545E-5</v>
      </c>
      <c r="K194" s="60">
        <f t="shared" si="31"/>
        <v>2.2128865056555644E-4</v>
      </c>
      <c r="M194" s="60">
        <f t="shared" si="32"/>
        <v>5.4424735099125674E-6</v>
      </c>
      <c r="N194" s="60">
        <f t="shared" si="33"/>
        <v>6.5842239654327535E-5</v>
      </c>
      <c r="O194" s="60">
        <f t="shared" si="34"/>
        <v>6.7084918081598344E-6</v>
      </c>
      <c r="P194" s="60">
        <f t="shared" si="35"/>
        <v>-1.8044244781912444E-5</v>
      </c>
      <c r="Q194" s="60">
        <f t="shared" si="36"/>
        <v>-5.3054269874815208E-5</v>
      </c>
      <c r="R194" s="60">
        <f t="shared" si="37"/>
        <v>2.1295470266028496E-5</v>
      </c>
    </row>
    <row r="195" spans="1:18" x14ac:dyDescent="0.3">
      <c r="A195">
        <f>'Parm VaR Eq Weights'!B194</f>
        <v>-9.1990135784771193E-3</v>
      </c>
      <c r="B195">
        <f>'Parm VaR Eq Weights'!C194</f>
        <v>-5.3673537535975794E-3</v>
      </c>
      <c r="C195">
        <f>'Parm VaR Eq Weights'!D194</f>
        <v>2.5359103572954395E-3</v>
      </c>
      <c r="D195">
        <f>'Parm VaR Eq Weights'!E194</f>
        <v>2.6480265028168658E-2</v>
      </c>
      <c r="H195" s="60">
        <f t="shared" si="28"/>
        <v>1.5209820367126587E-4</v>
      </c>
      <c r="I195" s="60">
        <f t="shared" si="29"/>
        <v>2.4880378371845349E-4</v>
      </c>
      <c r="J195" s="60">
        <f t="shared" si="30"/>
        <v>9.8589221137052166E-5</v>
      </c>
      <c r="K195" s="60">
        <f t="shared" si="31"/>
        <v>2.1219000003435797E-4</v>
      </c>
      <c r="M195" s="60">
        <f t="shared" si="32"/>
        <v>4.1781229520123837E-6</v>
      </c>
      <c r="N195" s="60">
        <f t="shared" si="33"/>
        <v>6.374240799366995E-5</v>
      </c>
      <c r="O195" s="60">
        <f t="shared" si="34"/>
        <v>7.5622459856328586E-6</v>
      </c>
      <c r="P195" s="60">
        <f t="shared" si="35"/>
        <v>-2.15569993351727E-5</v>
      </c>
      <c r="Q195" s="60">
        <f t="shared" si="36"/>
        <v>-5.2990394062839033E-5</v>
      </c>
      <c r="R195" s="60">
        <f t="shared" si="37"/>
        <v>2.6173673519360707E-5</v>
      </c>
    </row>
    <row r="196" spans="1:18" x14ac:dyDescent="0.3">
      <c r="A196">
        <f>'Parm VaR Eq Weights'!B195</f>
        <v>-1.9701489316106411E-2</v>
      </c>
      <c r="B196">
        <f>'Parm VaR Eq Weights'!C195</f>
        <v>1.7498348685177707E-2</v>
      </c>
      <c r="C196">
        <f>'Parm VaR Eq Weights'!D195</f>
        <v>-1.6376392919626385E-2</v>
      </c>
      <c r="D196">
        <f>'Parm VaR Eq Weights'!E195</f>
        <v>-1.0615372627810772E-2</v>
      </c>
      <c r="H196" s="60">
        <f t="shared" si="28"/>
        <v>1.4804962250001031E-4</v>
      </c>
      <c r="I196" s="60">
        <f t="shared" si="29"/>
        <v>2.3560406587432175E-4</v>
      </c>
      <c r="J196" s="60">
        <f t="shared" si="30"/>
        <v>9.3059718349243335E-5</v>
      </c>
      <c r="K196" s="60">
        <f t="shared" si="31"/>
        <v>2.4153086619001964E-4</v>
      </c>
      <c r="M196" s="60">
        <f t="shared" si="32"/>
        <v>6.8898971784816988E-6</v>
      </c>
      <c r="N196" s="60">
        <f t="shared" si="33"/>
        <v>5.8518191085416056E-5</v>
      </c>
      <c r="O196" s="60">
        <f t="shared" si="34"/>
        <v>-7.5070278268529031E-6</v>
      </c>
      <c r="P196" s="60">
        <f t="shared" si="35"/>
        <v>-2.1080247053563335E-5</v>
      </c>
      <c r="Q196" s="60">
        <f t="shared" si="36"/>
        <v>-5.833870741278068E-5</v>
      </c>
      <c r="R196" s="60">
        <f t="shared" si="37"/>
        <v>2.8632347809130732E-5</v>
      </c>
    </row>
    <row r="197" spans="1:18" x14ac:dyDescent="0.3">
      <c r="A197">
        <f>'Parm VaR Eq Weights'!B196</f>
        <v>-1.4819196700837237E-3</v>
      </c>
      <c r="B197">
        <f>'Parm VaR Eq Weights'!C196</f>
        <v>3.0719997318057525E-3</v>
      </c>
      <c r="C197">
        <f>'Parm VaR Eq Weights'!D196</f>
        <v>6.3882439021168275E-3</v>
      </c>
      <c r="D197">
        <f>'Parm VaR Eq Weights'!E196</f>
        <v>8.028468095956599E-3</v>
      </c>
      <c r="H197" s="60">
        <f t="shared" si="28"/>
        <v>1.6245556602636902E-4</v>
      </c>
      <c r="I197" s="60">
        <f t="shared" si="29"/>
        <v>2.3983935432434606E-4</v>
      </c>
      <c r="J197" s="60">
        <f t="shared" si="30"/>
        <v>1.0356730995176809E-4</v>
      </c>
      <c r="K197" s="60">
        <f t="shared" si="31"/>
        <v>2.3380018238025491E-4</v>
      </c>
      <c r="M197" s="60">
        <f t="shared" si="32"/>
        <v>-1.4208108432459218E-5</v>
      </c>
      <c r="N197" s="60">
        <f t="shared" si="33"/>
        <v>7.4365459428833909E-5</v>
      </c>
      <c r="O197" s="60">
        <f t="shared" si="34"/>
        <v>5.4917128675564249E-6</v>
      </c>
      <c r="P197" s="60">
        <f t="shared" si="35"/>
        <v>-3.7009022241135417E-5</v>
      </c>
      <c r="Q197" s="60">
        <f t="shared" si="36"/>
        <v>-6.5983474467885291E-5</v>
      </c>
      <c r="R197" s="60">
        <f t="shared" si="37"/>
        <v>3.7344897729059459E-5</v>
      </c>
    </row>
    <row r="198" spans="1:18" x14ac:dyDescent="0.3">
      <c r="A198">
        <f>'Parm VaR Eq Weights'!B197</f>
        <v>-7.5674108672402225E-3</v>
      </c>
      <c r="B198">
        <f>'Parm VaR Eq Weights'!C197</f>
        <v>7.1980633650328054E-3</v>
      </c>
      <c r="C198">
        <f>'Parm VaR Eq Weights'!D197</f>
        <v>-5.4663155725249496E-3</v>
      </c>
      <c r="D198">
        <f>'Parm VaR Eq Weights'!E197</f>
        <v>-3.6994604330954669E-3</v>
      </c>
      <c r="H198" s="60">
        <f t="shared" ref="H198:H261" si="38">H197*$F$3+A197^2*(1-$F$3)</f>
        <v>1.5283999721930173E-4</v>
      </c>
      <c r="I198" s="60">
        <f t="shared" ref="I198:I261" si="39">I197*$F$3+B197^2*(1-$F$3)</f>
        <v>2.2601522400601817E-4</v>
      </c>
      <c r="J198" s="60">
        <f t="shared" ref="J198:J261" si="40">J197*$F$3+C197^2*(1-$F$3)</f>
        <v>9.9801850963837971E-5</v>
      </c>
      <c r="K198" s="60">
        <f t="shared" ref="K198:K261" si="41">K197*$F$3+D197^2*(1-$F$3)</f>
        <v>2.2363954943550719E-4</v>
      </c>
      <c r="M198" s="60">
        <f t="shared" ref="M198:M261" si="42">M197*$F$3+A197*B197*(1-$F$3)</f>
        <v>-1.3628769336254956E-5</v>
      </c>
      <c r="N198" s="60">
        <f t="shared" ref="N198:N261" si="43">N197*$F$3+A197*C197*(1-$F$3)</f>
        <v>6.9335520005353514E-5</v>
      </c>
      <c r="O198" s="60">
        <f t="shared" ref="O198:O261" si="44">O197*$F$3+A197*D197*(1-$F$3)</f>
        <v>4.4483574079807767E-6</v>
      </c>
      <c r="P198" s="60">
        <f t="shared" ref="P198:P261" si="45">P197*$F$3+B197*C197*(1-$F$3)</f>
        <v>-3.3610999893426532E-5</v>
      </c>
      <c r="Q198" s="60">
        <f t="shared" ref="Q198:Q261" si="46">Q197*$F$3+B197*D197*(1-$F$3)</f>
        <v>-6.0544658889556788E-5</v>
      </c>
      <c r="R198" s="60">
        <f t="shared" ref="R198:R261" si="47">R197*$F$3+C197*D197*(1-$F$3)</f>
        <v>3.8181472606755948E-5</v>
      </c>
    </row>
    <row r="199" spans="1:18" x14ac:dyDescent="0.3">
      <c r="A199">
        <f>'Parm VaR Eq Weights'!B198</f>
        <v>1.0593753349405658E-2</v>
      </c>
      <c r="B199">
        <f>'Parm VaR Eq Weights'!C198</f>
        <v>-2.0160024116487325E-2</v>
      </c>
      <c r="C199">
        <f>'Parm VaR Eq Weights'!D198</f>
        <v>-8.4944440117501671E-3</v>
      </c>
      <c r="D199">
        <f>'Parm VaR Eq Weights'!E198</f>
        <v>1.6739959393983005E-2</v>
      </c>
      <c r="H199" s="60">
        <f t="shared" si="38"/>
        <v>1.4710553982016114E-4</v>
      </c>
      <c r="I199" s="60">
        <f t="shared" si="39"/>
        <v>2.1556303753807871E-4</v>
      </c>
      <c r="J199" s="60">
        <f t="shared" si="40"/>
        <v>9.5606576262313413E-5</v>
      </c>
      <c r="K199" s="60">
        <f t="shared" si="41"/>
        <v>2.1104233691913909E-4</v>
      </c>
      <c r="M199" s="60">
        <f t="shared" si="42"/>
        <v>-1.6079285351977639E-5</v>
      </c>
      <c r="N199" s="60">
        <f t="shared" si="43"/>
        <v>6.7657340157069686E-5</v>
      </c>
      <c r="O199" s="60">
        <f t="shared" si="44"/>
        <v>5.8611761885618432E-6</v>
      </c>
      <c r="P199" s="60">
        <f t="shared" si="45"/>
        <v>-3.3955153051678952E-5</v>
      </c>
      <c r="Q199" s="60">
        <f t="shared" si="46"/>
        <v>-5.850971639301455E-5</v>
      </c>
      <c r="R199" s="60">
        <f t="shared" si="47"/>
        <v>3.7103929340872772E-5</v>
      </c>
    </row>
    <row r="200" spans="1:18" x14ac:dyDescent="0.3">
      <c r="A200">
        <f>'Parm VaR Eq Weights'!B199</f>
        <v>2.2233056585385146E-3</v>
      </c>
      <c r="B200">
        <f>'Parm VaR Eq Weights'!C199</f>
        <v>5.0746569043460246E-3</v>
      </c>
      <c r="C200">
        <f>'Parm VaR Eq Weights'!D199</f>
        <v>5.8729833270459173E-3</v>
      </c>
      <c r="D200">
        <f>'Parm VaR Eq Weights'!E199</f>
        <v>-1.0768574814289757E-2</v>
      </c>
      <c r="H200" s="60">
        <f t="shared" si="38"/>
        <v>1.4501286403263407E-4</v>
      </c>
      <c r="I200" s="60">
        <f t="shared" si="39"/>
        <v>2.2701484962843504E-4</v>
      </c>
      <c r="J200" s="60">
        <f t="shared" si="40"/>
        <v>9.4199516430700108E-5</v>
      </c>
      <c r="K200" s="60">
        <f t="shared" si="41"/>
        <v>2.1519337113472272E-4</v>
      </c>
      <c r="M200" s="60">
        <f t="shared" si="42"/>
        <v>-2.7928747611347179E-5</v>
      </c>
      <c r="N200" s="60">
        <f t="shared" si="43"/>
        <v>5.8198617065596463E-5</v>
      </c>
      <c r="O200" s="60">
        <f t="shared" si="44"/>
        <v>1.6149845671183472E-5</v>
      </c>
      <c r="P200" s="60">
        <f t="shared" si="45"/>
        <v>-2.1642952100596118E-5</v>
      </c>
      <c r="Q200" s="60">
        <f t="shared" si="46"/>
        <v>-7.5247812514936646E-5</v>
      </c>
      <c r="R200" s="60">
        <f t="shared" si="47"/>
        <v>2.6345894710550804E-5</v>
      </c>
    </row>
    <row r="201" spans="1:18" x14ac:dyDescent="0.3">
      <c r="A201">
        <f>'Parm VaR Eq Weights'!B200</f>
        <v>-1.6643108928262811E-2</v>
      </c>
      <c r="B201">
        <f>'Parm VaR Eq Weights'!C200</f>
        <v>1.8458505314627482E-3</v>
      </c>
      <c r="C201">
        <f>'Parm VaR Eq Weights'!D200</f>
        <v>-7.3717843987037507E-3</v>
      </c>
      <c r="D201">
        <f>'Parm VaR Eq Weights'!E200</f>
        <v>-3.7813626117739734E-3</v>
      </c>
      <c r="H201" s="60">
        <f t="shared" si="38"/>
        <v>1.366086774737534E-4</v>
      </c>
      <c r="I201" s="60">
        <f t="shared" si="39"/>
        <v>2.1493908721253855E-4</v>
      </c>
      <c r="J201" s="60">
        <f t="shared" si="40"/>
        <v>9.0617061434443649E-5</v>
      </c>
      <c r="K201" s="60">
        <f t="shared" si="41"/>
        <v>2.0923950107849668E-4</v>
      </c>
      <c r="M201" s="60">
        <f t="shared" si="42"/>
        <v>-2.5576071950031904E-5</v>
      </c>
      <c r="N201" s="60">
        <f t="shared" si="43"/>
        <v>5.5490146265472091E-5</v>
      </c>
      <c r="O201" s="60">
        <f t="shared" si="44"/>
        <v>1.3744344931772117E-5</v>
      </c>
      <c r="P201" s="60">
        <f t="shared" si="45"/>
        <v>-1.8556172451178192E-5</v>
      </c>
      <c r="Q201" s="60">
        <f t="shared" si="46"/>
        <v>-7.401175311591858E-5</v>
      </c>
      <c r="R201" s="60">
        <f t="shared" si="47"/>
        <v>2.0970521407495533E-5</v>
      </c>
    </row>
    <row r="202" spans="1:18" x14ac:dyDescent="0.3">
      <c r="A202">
        <f>'Parm VaR Eq Weights'!B201</f>
        <v>-1.8151240504630656E-2</v>
      </c>
      <c r="B202">
        <f>'Parm VaR Eq Weights'!C201</f>
        <v>-3.5254630081937811E-3</v>
      </c>
      <c r="C202">
        <f>'Parm VaR Eq Weights'!D201</f>
        <v>-2.2066476810035034E-2</v>
      </c>
      <c r="D202">
        <f>'Parm VaR Eq Weights'!E201</f>
        <v>-2.5327885062914515E-2</v>
      </c>
      <c r="H202" s="60">
        <f t="shared" si="38"/>
        <v>1.450317413132095E-4</v>
      </c>
      <c r="I202" s="60">
        <f t="shared" si="39"/>
        <v>2.0224717183085631E-4</v>
      </c>
      <c r="J202" s="60">
        <f t="shared" si="40"/>
        <v>8.8440630061635352E-5</v>
      </c>
      <c r="K202" s="60">
        <f t="shared" si="41"/>
        <v>1.9754305320589019E-4</v>
      </c>
      <c r="M202" s="60">
        <f t="shared" si="42"/>
        <v>-2.5884749120655568E-5</v>
      </c>
      <c r="N202" s="60">
        <f t="shared" si="43"/>
        <v>5.952210213414146E-5</v>
      </c>
      <c r="O202" s="60">
        <f t="shared" si="44"/>
        <v>1.6695702026566669E-5</v>
      </c>
      <c r="P202" s="60">
        <f t="shared" si="45"/>
        <v>-1.8259234833118065E-5</v>
      </c>
      <c r="Q202" s="60">
        <f t="shared" si="46"/>
        <v>-6.9989837740159249E-5</v>
      </c>
      <c r="R202" s="60">
        <f t="shared" si="47"/>
        <v>2.1384813517484823E-5</v>
      </c>
    </row>
    <row r="203" spans="1:18" x14ac:dyDescent="0.3">
      <c r="A203">
        <f>'Parm VaR Eq Weights'!B202</f>
        <v>3.0432907220331227E-3</v>
      </c>
      <c r="B203">
        <f>'Parm VaR Eq Weights'!C202</f>
        <v>1.7298115581379035E-2</v>
      </c>
      <c r="C203">
        <f>'Parm VaR Eq Weights'!D202</f>
        <v>1.8668061192672558E-2</v>
      </c>
      <c r="D203">
        <f>'Parm VaR Eq Weights'!E202</f>
        <v>-3.2167332723986425E-3</v>
      </c>
      <c r="H203" s="60">
        <f t="shared" si="38"/>
        <v>1.5609788874583361E-4</v>
      </c>
      <c r="I203" s="60">
        <f t="shared" si="39"/>
        <v>1.9085807488633348E-4</v>
      </c>
      <c r="J203" s="60">
        <f t="shared" si="40"/>
        <v>1.1234995618640609E-4</v>
      </c>
      <c r="K203" s="60">
        <f t="shared" si="41"/>
        <v>2.2418057571914929E-4</v>
      </c>
      <c r="M203" s="60">
        <f t="shared" si="42"/>
        <v>-2.049217255630199E-5</v>
      </c>
      <c r="N203" s="60">
        <f t="shared" si="43"/>
        <v>7.9982811666221045E-5</v>
      </c>
      <c r="O203" s="60">
        <f t="shared" si="44"/>
        <v>4.3277911900008913E-5</v>
      </c>
      <c r="P203" s="60">
        <f t="shared" si="45"/>
        <v>-1.2496007880234312E-5</v>
      </c>
      <c r="Q203" s="60">
        <f t="shared" si="46"/>
        <v>-6.0432896163844352E-5</v>
      </c>
      <c r="R203" s="60">
        <f t="shared" si="47"/>
        <v>5.3635556009717919E-5</v>
      </c>
    </row>
    <row r="204" spans="1:18" x14ac:dyDescent="0.3">
      <c r="A204">
        <f>'Parm VaR Eq Weights'!B203</f>
        <v>-6.5548423715831661E-3</v>
      </c>
      <c r="B204">
        <f>'Parm VaR Eq Weights'!C203</f>
        <v>-1.6764653002465653E-3</v>
      </c>
      <c r="C204">
        <f>'Parm VaR Eq Weights'!D203</f>
        <v>-9.2239114457297756E-3</v>
      </c>
      <c r="D204">
        <f>'Parm VaR Eq Weights'!E203</f>
        <v>-3.0918481917378868E-3</v>
      </c>
      <c r="H204" s="60">
        <f t="shared" si="38"/>
        <v>1.4728771252621236E-4</v>
      </c>
      <c r="I204" s="60">
        <f t="shared" si="39"/>
        <v>1.9736007855315836E-4</v>
      </c>
      <c r="J204" s="60">
        <f t="shared" si="40"/>
        <v>1.2651874933682376E-4</v>
      </c>
      <c r="K204" s="60">
        <f t="shared" si="41"/>
        <v>2.1135058355274572E-4</v>
      </c>
      <c r="M204" s="60">
        <f t="shared" si="42"/>
        <v>-1.6104050523475821E-5</v>
      </c>
      <c r="N204" s="60">
        <f t="shared" si="43"/>
        <v>7.8592583211808202E-5</v>
      </c>
      <c r="O204" s="60">
        <f t="shared" si="44"/>
        <v>4.0093869914619611E-5</v>
      </c>
      <c r="P204" s="60">
        <f t="shared" si="45"/>
        <v>7.6290894040461485E-6</v>
      </c>
      <c r="Q204" s="60">
        <f t="shared" si="46"/>
        <v>-6.0145527830438849E-5</v>
      </c>
      <c r="R204" s="60">
        <f t="shared" si="47"/>
        <v>4.6814412234956216E-5</v>
      </c>
    </row>
    <row r="205" spans="1:18" x14ac:dyDescent="0.3">
      <c r="A205">
        <f>'Parm VaR Eq Weights'!B204</f>
        <v>1.5532368144919935E-2</v>
      </c>
      <c r="B205">
        <f>'Parm VaR Eq Weights'!C204</f>
        <v>1.3314603110095306E-2</v>
      </c>
      <c r="C205">
        <f>'Parm VaR Eq Weights'!D204</f>
        <v>5.3090116544242949E-3</v>
      </c>
      <c r="D205">
        <f>'Parm VaR Eq Weights'!E204</f>
        <v>-3.3974948081211074E-3</v>
      </c>
      <c r="H205" s="60">
        <f t="shared" si="38"/>
        <v>1.4102840728561771E-4</v>
      </c>
      <c r="I205" s="60">
        <f t="shared" si="39"/>
        <v>1.8568710599414469E-4</v>
      </c>
      <c r="J205" s="60">
        <f t="shared" si="40"/>
        <v>1.2403245691813421E-4</v>
      </c>
      <c r="K205" s="60">
        <f t="shared" si="41"/>
        <v>1.9924312005402612E-4</v>
      </c>
      <c r="M205" s="60">
        <f t="shared" si="42"/>
        <v>-1.4478469544994567E-5</v>
      </c>
      <c r="N205" s="60">
        <f t="shared" si="43"/>
        <v>7.7504705353671733E-5</v>
      </c>
      <c r="O205" s="60">
        <f t="shared" si="44"/>
        <v>3.8904232371764814E-5</v>
      </c>
      <c r="P205" s="60">
        <f t="shared" si="45"/>
        <v>8.0991580880821655E-6</v>
      </c>
      <c r="Q205" s="60">
        <f t="shared" si="46"/>
        <v>-5.6225793588187797E-5</v>
      </c>
      <c r="R205" s="60">
        <f t="shared" si="47"/>
        <v>4.5716683536312642E-5</v>
      </c>
    </row>
    <row r="206" spans="1:18" x14ac:dyDescent="0.3">
      <c r="A206">
        <f>'Parm VaR Eq Weights'!B205</f>
        <v>3.2616922552592743E-3</v>
      </c>
      <c r="B206">
        <f>'Parm VaR Eq Weights'!C205</f>
        <v>-8.6772500559745766E-3</v>
      </c>
      <c r="C206">
        <f>'Parm VaR Eq Weights'!D205</f>
        <v>1.7426708008702003E-2</v>
      </c>
      <c r="D206">
        <f>'Parm VaR Eq Weights'!E205</f>
        <v>4.29753431038134E-3</v>
      </c>
      <c r="H206" s="60">
        <f t="shared" si="38"/>
        <v>1.4704197045984008E-4</v>
      </c>
      <c r="I206" s="60">
        <f t="shared" si="39"/>
        <v>1.851825989932576E-4</v>
      </c>
      <c r="J206" s="60">
        <f t="shared" si="40"/>
        <v>1.1828164578785493E-4</v>
      </c>
      <c r="K206" s="60">
        <f t="shared" si="41"/>
        <v>1.8798111110905714E-4</v>
      </c>
      <c r="M206" s="60">
        <f t="shared" si="42"/>
        <v>-1.2013223397251081E-6</v>
      </c>
      <c r="N206" s="60">
        <f t="shared" si="43"/>
        <v>7.7802114442582741E-5</v>
      </c>
      <c r="O206" s="60">
        <f t="shared" si="44"/>
        <v>3.3403710021647452E-5</v>
      </c>
      <c r="P206" s="60">
        <f t="shared" si="45"/>
        <v>1.1854451587929035E-5</v>
      </c>
      <c r="Q206" s="60">
        <f t="shared" si="46"/>
        <v>-5.5566423669221047E-5</v>
      </c>
      <c r="R206" s="60">
        <f t="shared" si="47"/>
        <v>4.1891442152204223E-5</v>
      </c>
    </row>
    <row r="207" spans="1:18" x14ac:dyDescent="0.3">
      <c r="A207">
        <f>'Parm VaR Eq Weights'!B206</f>
        <v>2.2973979573244926E-2</v>
      </c>
      <c r="B207">
        <f>'Parm VaR Eq Weights'!C206</f>
        <v>2.1065608591011296E-3</v>
      </c>
      <c r="C207">
        <f>'Parm VaR Eq Weights'!D206</f>
        <v>-1.2161210081584307E-3</v>
      </c>
      <c r="D207">
        <f>'Parm VaR Eq Weights'!E206</f>
        <v>-1.0988708807138097E-2</v>
      </c>
      <c r="H207" s="60">
        <f t="shared" si="38"/>
        <v>1.3885777041433076E-4</v>
      </c>
      <c r="I207" s="60">
        <f t="shared" si="39"/>
        <v>1.7858932316569678E-4</v>
      </c>
      <c r="J207" s="60">
        <f t="shared" si="40"/>
        <v>1.2940615616181713E-4</v>
      </c>
      <c r="K207" s="60">
        <f t="shared" si="41"/>
        <v>1.7781037251144799E-4</v>
      </c>
      <c r="M207" s="60">
        <f t="shared" si="42"/>
        <v>-2.8273941576128259E-6</v>
      </c>
      <c r="N207" s="60">
        <f t="shared" si="43"/>
        <v>7.6544421088826654E-5</v>
      </c>
      <c r="O207" s="60">
        <f t="shared" si="44"/>
        <v>3.2240521482961518E-5</v>
      </c>
      <c r="P207" s="60">
        <f t="shared" si="45"/>
        <v>2.070230310015561E-6</v>
      </c>
      <c r="Q207" s="60">
        <f t="shared" si="46"/>
        <v>-5.4469885039186337E-5</v>
      </c>
      <c r="R207" s="60">
        <f t="shared" si="47"/>
        <v>4.3871468158135618E-5</v>
      </c>
    </row>
    <row r="208" spans="1:18" x14ac:dyDescent="0.3">
      <c r="A208">
        <f>'Parm VaR Eq Weights'!B207</f>
        <v>-2.1831080056632693E-3</v>
      </c>
      <c r="B208">
        <f>'Parm VaR Eq Weights'!C207</f>
        <v>2.5476116951342588E-2</v>
      </c>
      <c r="C208">
        <f>'Parm VaR Eq Weights'!D207</f>
        <v>-6.1574893020738906E-3</v>
      </c>
      <c r="D208">
        <f>'Parm VaR Eq Weights'!E207</f>
        <v>-6.9549066976694798E-3</v>
      </c>
      <c r="H208" s="60">
        <f t="shared" si="38"/>
        <v>1.6219452843538342E-4</v>
      </c>
      <c r="I208" s="60">
        <f t="shared" si="39"/>
        <v>1.6814021969494079E-4</v>
      </c>
      <c r="J208" s="60">
        <f t="shared" si="40"/>
        <v>1.2173052381049716E-4</v>
      </c>
      <c r="K208" s="60">
        <f t="shared" si="41"/>
        <v>1.7438685343564559E-4</v>
      </c>
      <c r="M208" s="60">
        <f t="shared" si="42"/>
        <v>2.4601466065114438E-7</v>
      </c>
      <c r="N208" s="60">
        <f t="shared" si="43"/>
        <v>7.027540747149551E-5</v>
      </c>
      <c r="O208" s="60">
        <f t="shared" si="44"/>
        <v>1.5158827893692177E-5</v>
      </c>
      <c r="P208" s="60">
        <f t="shared" si="45"/>
        <v>1.7923065164715978E-6</v>
      </c>
      <c r="Q208" s="60">
        <f t="shared" si="46"/>
        <v>-5.2590594968745776E-5</v>
      </c>
      <c r="R208" s="60">
        <f t="shared" si="47"/>
        <v>4.2040996046621251E-5</v>
      </c>
    </row>
    <row r="209" spans="1:18" x14ac:dyDescent="0.3">
      <c r="A209">
        <f>'Parm VaR Eq Weights'!B208</f>
        <v>8.1707475343828877E-3</v>
      </c>
      <c r="B209">
        <f>'Parm VaR Eq Weights'!C208</f>
        <v>2.8842718465046215E-3</v>
      </c>
      <c r="C209">
        <f>'Parm VaR Eq Weights'!D208</f>
        <v>-2.347689636613325E-3</v>
      </c>
      <c r="D209">
        <f>'Parm VaR Eq Weights'!E208</f>
        <v>9.3101880674000617E-3</v>
      </c>
      <c r="H209" s="60">
        <f t="shared" si="38"/>
        <v>1.5274881436312389E-4</v>
      </c>
      <c r="I209" s="60">
        <f t="shared" si="39"/>
        <v>1.9699375860835348E-4</v>
      </c>
      <c r="J209" s="60">
        <f t="shared" si="40"/>
        <v>1.1670157285217659E-4</v>
      </c>
      <c r="K209" s="60">
        <f t="shared" si="41"/>
        <v>1.668258858599041E-4</v>
      </c>
      <c r="M209" s="60">
        <f t="shared" si="42"/>
        <v>-3.1057731111693108E-6</v>
      </c>
      <c r="N209" s="60">
        <f t="shared" si="43"/>
        <v>6.6865430874614394E-5</v>
      </c>
      <c r="O209" s="60">
        <f t="shared" si="44"/>
        <v>1.5160296969490047E-5</v>
      </c>
      <c r="P209" s="60">
        <f t="shared" si="45"/>
        <v>-7.7273669296932225E-6</v>
      </c>
      <c r="Q209" s="60">
        <f t="shared" si="46"/>
        <v>-6.0066200255551247E-5</v>
      </c>
      <c r="R209" s="60">
        <f t="shared" si="47"/>
        <v>4.2088022099093288E-5</v>
      </c>
    </row>
    <row r="210" spans="1:18" x14ac:dyDescent="0.3">
      <c r="A210">
        <f>'Parm VaR Eq Weights'!B209</f>
        <v>1.0941426018481153E-2</v>
      </c>
      <c r="B210">
        <f>'Parm VaR Eq Weights'!C209</f>
        <v>-1.6168476145071584E-2</v>
      </c>
      <c r="C210">
        <f>'Parm VaR Eq Weights'!D209</f>
        <v>-1.0913865329075472E-4</v>
      </c>
      <c r="D210">
        <f>'Parm VaR Eq Weights'!E209</f>
        <v>9.1224766217885382E-3</v>
      </c>
      <c r="H210" s="60">
        <f t="shared" si="38"/>
        <v>1.475895524175739E-4</v>
      </c>
      <c r="I210" s="60">
        <f t="shared" si="39"/>
        <v>1.856732745369246E-4</v>
      </c>
      <c r="J210" s="60">
        <f t="shared" si="40"/>
        <v>1.1003017727883768E-4</v>
      </c>
      <c r="K210" s="60">
        <f t="shared" si="41"/>
        <v>1.6201710881933137E-4</v>
      </c>
      <c r="M210" s="60">
        <f t="shared" si="42"/>
        <v>-1.5054272998000942E-6</v>
      </c>
      <c r="N210" s="60">
        <f t="shared" si="43"/>
        <v>6.1702562263546255E-5</v>
      </c>
      <c r="O210" s="60">
        <f t="shared" si="44"/>
        <v>1.8814950923101648E-5</v>
      </c>
      <c r="P210" s="60">
        <f t="shared" si="45"/>
        <v>-7.6700074213044981E-6</v>
      </c>
      <c r="Q210" s="60">
        <f t="shared" si="46"/>
        <v>-5.4851041440510251E-5</v>
      </c>
      <c r="R210" s="60">
        <f t="shared" si="47"/>
        <v>3.8251294850702315E-5</v>
      </c>
    </row>
    <row r="211" spans="1:18" x14ac:dyDescent="0.3">
      <c r="A211">
        <f>'Parm VaR Eq Weights'!B210</f>
        <v>-3.2364902938788187E-2</v>
      </c>
      <c r="B211">
        <f>'Parm VaR Eq Weights'!C210</f>
        <v>-2.4731795335228398E-2</v>
      </c>
      <c r="C211">
        <f>'Parm VaR Eq Weights'!D210</f>
        <v>1.8496516257254424E-2</v>
      </c>
      <c r="D211">
        <f>'Parm VaR Eq Weights'!E210</f>
        <v>8.806423552443118E-3</v>
      </c>
      <c r="H211" s="60">
        <f t="shared" si="38"/>
        <v>1.4591706747159325E-4</v>
      </c>
      <c r="I211" s="60">
        <f t="shared" si="39"/>
        <v>1.9021805531593404E-4</v>
      </c>
      <c r="J211" s="60">
        <f t="shared" si="40"/>
        <v>1.0342908131684593E-4</v>
      </c>
      <c r="K211" s="60">
        <f t="shared" si="41"/>
        <v>1.572892570730762E-4</v>
      </c>
      <c r="M211" s="60">
        <f t="shared" si="42"/>
        <v>-1.2029472796184783E-5</v>
      </c>
      <c r="N211" s="60">
        <f t="shared" si="43"/>
        <v>5.7928760577689234E-5</v>
      </c>
      <c r="O211" s="60">
        <f t="shared" si="44"/>
        <v>2.3674828051472944E-5</v>
      </c>
      <c r="P211" s="60">
        <f t="shared" si="45"/>
        <v>-7.10393063329202E-6</v>
      </c>
      <c r="Q211" s="60">
        <f t="shared" si="46"/>
        <v>-6.0409771692681311E-5</v>
      </c>
      <c r="R211" s="60">
        <f t="shared" si="47"/>
        <v>3.5896480270869471E-5</v>
      </c>
    </row>
    <row r="212" spans="1:18" x14ac:dyDescent="0.3">
      <c r="A212">
        <f>'Parm VaR Eq Weights'!B211</f>
        <v>-1.522228361661734E-3</v>
      </c>
      <c r="B212">
        <f>'Parm VaR Eq Weights'!C211</f>
        <v>-3.5410515506442458E-3</v>
      </c>
      <c r="C212">
        <f>'Parm VaR Eq Weights'!D211</f>
        <v>-1.6569565772808572E-2</v>
      </c>
      <c r="D212">
        <f>'Parm VaR Eq Weights'!E211</f>
        <v>2.4264810158193682E-3</v>
      </c>
      <c r="H212" s="60">
        <f t="shared" si="38"/>
        <v>2.0001125995752853E-4</v>
      </c>
      <c r="I212" s="60">
        <f t="shared" si="39"/>
        <v>2.1550467402719554E-4</v>
      </c>
      <c r="J212" s="60">
        <f t="shared" si="40"/>
        <v>1.1775060325712782E-4</v>
      </c>
      <c r="K212" s="60">
        <f t="shared" si="41"/>
        <v>1.5250508739579312E-4</v>
      </c>
      <c r="M212" s="60">
        <f t="shared" si="42"/>
        <v>3.6718824903184839E-5</v>
      </c>
      <c r="N212" s="60">
        <f t="shared" si="43"/>
        <v>1.8534757740722418E-5</v>
      </c>
      <c r="O212" s="60">
        <f t="shared" si="44"/>
        <v>5.1531957576237642E-6</v>
      </c>
      <c r="P212" s="60">
        <f t="shared" si="45"/>
        <v>-3.4124818064642991E-5</v>
      </c>
      <c r="Q212" s="60">
        <f t="shared" si="46"/>
        <v>-6.9853105287181937E-5</v>
      </c>
      <c r="R212" s="60">
        <f t="shared" si="47"/>
        <v>4.3515980838979256E-5</v>
      </c>
    </row>
    <row r="213" spans="1:18" x14ac:dyDescent="0.3">
      <c r="A213">
        <f>'Parm VaR Eq Weights'!B212</f>
        <v>-2.3320118749489388E-2</v>
      </c>
      <c r="B213">
        <f>'Parm VaR Eq Weights'!C212</f>
        <v>-1.1946814649749317E-2</v>
      </c>
      <c r="C213">
        <f>'Parm VaR Eq Weights'!D212</f>
        <v>-8.2461683662598817E-3</v>
      </c>
      <c r="D213">
        <f>'Parm VaR Eq Weights'!E212</f>
        <v>5.8152477301035852E-3</v>
      </c>
      <c r="H213" s="60">
        <f t="shared" si="38"/>
        <v>1.8814961511117963E-4</v>
      </c>
      <c r="I213" s="60">
        <f t="shared" si="39"/>
        <v>2.0332673635062298E-4</v>
      </c>
      <c r="J213" s="60">
        <f t="shared" si="40"/>
        <v>1.2715859765566591E-4</v>
      </c>
      <c r="K213" s="60">
        <f t="shared" si="41"/>
        <v>1.4370805075925342E-4</v>
      </c>
      <c r="M213" s="60">
        <f t="shared" si="42"/>
        <v>3.4839112755023562E-5</v>
      </c>
      <c r="N213" s="60">
        <f t="shared" si="43"/>
        <v>1.8936032053866397E-5</v>
      </c>
      <c r="O213" s="60">
        <f t="shared" si="44"/>
        <v>4.6223845188874965E-6</v>
      </c>
      <c r="P213" s="60">
        <f t="shared" si="45"/>
        <v>-2.8556907786366069E-5</v>
      </c>
      <c r="Q213" s="60">
        <f t="shared" si="46"/>
        <v>-6.617745663177158E-5</v>
      </c>
      <c r="R213" s="60">
        <f t="shared" si="47"/>
        <v>3.8492677781355072E-5</v>
      </c>
    </row>
    <row r="214" spans="1:18" x14ac:dyDescent="0.3">
      <c r="A214">
        <f>'Parm VaR Eq Weights'!B213</f>
        <v>1.7621541550397273E-3</v>
      </c>
      <c r="B214">
        <f>'Parm VaR Eq Weights'!C213</f>
        <v>7.4902057039346855E-4</v>
      </c>
      <c r="C214">
        <f>'Parm VaR Eq Weights'!D213</f>
        <v>-3.432929750984718E-2</v>
      </c>
      <c r="D214">
        <f>'Parm VaR Eq Weights'!E213</f>
        <v>1.3707949439039354E-2</v>
      </c>
      <c r="H214" s="60">
        <f t="shared" si="38"/>
        <v>2.0949031451392605E-4</v>
      </c>
      <c r="I214" s="60">
        <f t="shared" si="39"/>
        <v>1.9969071498611351E-4</v>
      </c>
      <c r="J214" s="60">
        <f t="shared" si="40"/>
        <v>1.2360903935980827E-4</v>
      </c>
      <c r="K214" s="60">
        <f t="shared" si="41"/>
        <v>1.3711459408344672E-4</v>
      </c>
      <c r="M214" s="60">
        <f t="shared" si="42"/>
        <v>4.9464834168339769E-5</v>
      </c>
      <c r="N214" s="60">
        <f t="shared" si="43"/>
        <v>2.9337967662402224E-5</v>
      </c>
      <c r="O214" s="60">
        <f t="shared" si="44"/>
        <v>-3.7916946096686138E-6</v>
      </c>
      <c r="P214" s="60">
        <f t="shared" si="45"/>
        <v>-2.0932566616644123E-5</v>
      </c>
      <c r="Q214" s="60">
        <f t="shared" si="46"/>
        <v>-6.6375230440300658E-5</v>
      </c>
      <c r="R214" s="60">
        <f t="shared" si="47"/>
        <v>3.3305906402037079E-5</v>
      </c>
    </row>
    <row r="215" spans="1:18" x14ac:dyDescent="0.3">
      <c r="A215">
        <f>'Parm VaR Eq Weights'!B214</f>
        <v>-3.5634639398193102E-4</v>
      </c>
      <c r="B215">
        <f>'Parm VaR Eq Weights'!C214</f>
        <v>1.6104544923016374E-2</v>
      </c>
      <c r="C215">
        <f>'Parm VaR Eq Weights'!D214</f>
        <v>1.6794495571769135E-4</v>
      </c>
      <c r="D215">
        <f>'Parm VaR Eq Weights'!E214</f>
        <v>3.8093805565939096E-3</v>
      </c>
      <c r="H215" s="60">
        <f t="shared" si="38"/>
        <v>1.9710720687905791E-4</v>
      </c>
      <c r="I215" s="60">
        <f t="shared" si="39"/>
        <v>1.8774293399583905E-4</v>
      </c>
      <c r="J215" s="60">
        <f t="shared" si="40"/>
        <v>1.8690253704939581E-4</v>
      </c>
      <c r="K215" s="60">
        <f t="shared" si="41"/>
        <v>1.4016219110783547E-4</v>
      </c>
      <c r="M215" s="60">
        <f t="shared" si="42"/>
        <v>4.6576137500859124E-5</v>
      </c>
      <c r="N215" s="60">
        <f t="shared" si="43"/>
        <v>2.3948078747863755E-5</v>
      </c>
      <c r="O215" s="60">
        <f t="shared" si="44"/>
        <v>-2.114861729423834E-6</v>
      </c>
      <c r="P215" s="60">
        <f t="shared" si="45"/>
        <v>-2.1219413619767446E-5</v>
      </c>
      <c r="Q215" s="60">
        <f t="shared" si="46"/>
        <v>-6.1776664447417361E-5</v>
      </c>
      <c r="R215" s="60">
        <f t="shared" si="47"/>
        <v>3.0724955453513459E-6</v>
      </c>
    </row>
    <row r="216" spans="1:18" x14ac:dyDescent="0.3">
      <c r="A216">
        <f>'Parm VaR Eq Weights'!B215</f>
        <v>5.4195036532567646E-3</v>
      </c>
      <c r="B216">
        <f>'Parm VaR Eq Weights'!C215</f>
        <v>1.2893511972519117E-2</v>
      </c>
      <c r="C216">
        <f>'Parm VaR Eq Weights'!D215</f>
        <v>-7.6015607181789142E-3</v>
      </c>
      <c r="D216">
        <f>'Parm VaR Eq Weights'!E215</f>
        <v>5.9789309898654721E-3</v>
      </c>
      <c r="H216" s="60">
        <f t="shared" si="38"/>
        <v>1.8528839343146466E-4</v>
      </c>
      <c r="I216" s="60">
        <f t="shared" si="39"/>
        <v>1.9203973998673586E-4</v>
      </c>
      <c r="J216" s="60">
        <f t="shared" si="40"/>
        <v>1.7569007715692112E-4</v>
      </c>
      <c r="K216" s="60">
        <f t="shared" si="41"/>
        <v>1.3262314245486269E-4</v>
      </c>
      <c r="M216" s="60">
        <f t="shared" si="42"/>
        <v>4.3437241460205364E-5</v>
      </c>
      <c r="N216" s="60">
        <f t="shared" si="43"/>
        <v>2.2507603228230482E-5</v>
      </c>
      <c r="O216" s="60">
        <f t="shared" si="44"/>
        <v>-2.0694175671372311E-6</v>
      </c>
      <c r="P216" s="60">
        <f t="shared" si="45"/>
        <v>-1.9783968177544423E-5</v>
      </c>
      <c r="Q216" s="60">
        <f t="shared" si="46"/>
        <v>-5.4389164162420403E-5</v>
      </c>
      <c r="R216" s="60">
        <f t="shared" si="47"/>
        <v>2.9265317875636048E-6</v>
      </c>
    </row>
    <row r="217" spans="1:18" x14ac:dyDescent="0.3">
      <c r="A217">
        <f>'Parm VaR Eq Weights'!B216</f>
        <v>-1.999302117276265E-4</v>
      </c>
      <c r="B217">
        <f>'Parm VaR Eq Weights'!C216</f>
        <v>-1.6194951142336173E-2</v>
      </c>
      <c r="C217">
        <f>'Parm VaR Eq Weights'!D216</f>
        <v>6.2438341788050586E-3</v>
      </c>
      <c r="D217">
        <f>'Parm VaR Eq Weights'!E216</f>
        <v>-2.6874143057841401E-2</v>
      </c>
      <c r="H217" s="60">
        <f t="shared" si="38"/>
        <v>1.7593335101643656E-4</v>
      </c>
      <c r="I217" s="60">
        <f t="shared" si="39"/>
        <v>1.9049191464666132E-4</v>
      </c>
      <c r="J217" s="60">
        <f t="shared" si="40"/>
        <v>1.686156960486355E-4</v>
      </c>
      <c r="K217" s="60">
        <f t="shared" si="41"/>
        <v>1.2681061085446536E-4</v>
      </c>
      <c r="M217" s="60">
        <f t="shared" si="42"/>
        <v>4.5023593086895675E-5</v>
      </c>
      <c r="N217" s="60">
        <f t="shared" si="43"/>
        <v>1.8685345869579228E-5</v>
      </c>
      <c r="O217" s="60">
        <f t="shared" si="44"/>
        <v>-1.0822125802350761E-9</v>
      </c>
      <c r="P217" s="60">
        <f t="shared" si="45"/>
        <v>-2.4477578934672015E-5</v>
      </c>
      <c r="Q217" s="60">
        <f t="shared" si="46"/>
        <v>-4.6500449214633406E-5</v>
      </c>
      <c r="R217" s="60">
        <f t="shared" si="47"/>
        <v>2.3987463353949287E-8</v>
      </c>
    </row>
    <row r="218" spans="1:18" x14ac:dyDescent="0.3">
      <c r="A218">
        <f>'Parm VaR Eq Weights'!B217</f>
        <v>-1.908670959714558E-2</v>
      </c>
      <c r="B218">
        <f>'Parm VaR Eq Weights'!C217</f>
        <v>-2.6091776344939051E-4</v>
      </c>
      <c r="C218">
        <f>'Parm VaR Eq Weights'!D217</f>
        <v>1.7736755785162921E-2</v>
      </c>
      <c r="D218">
        <f>'Parm VaR Eq Weights'!E217</f>
        <v>-6.1841423589556735E-3</v>
      </c>
      <c r="H218" s="60">
        <f t="shared" si="38"/>
        <v>1.6537974828082405E-4</v>
      </c>
      <c r="I218" s="60">
        <f t="shared" si="39"/>
        <v>1.9479898631802098E-4</v>
      </c>
      <c r="J218" s="60">
        <f t="shared" si="40"/>
        <v>1.6083788220086221E-4</v>
      </c>
      <c r="K218" s="60">
        <f t="shared" si="41"/>
        <v>1.6253514810879698E-4</v>
      </c>
      <c r="M218" s="60">
        <f t="shared" si="42"/>
        <v>4.251644910233028E-5</v>
      </c>
      <c r="N218" s="60">
        <f t="shared" si="43"/>
        <v>1.7489325252042833E-5</v>
      </c>
      <c r="O218" s="60">
        <f t="shared" si="44"/>
        <v>3.2135990686774459E-7</v>
      </c>
      <c r="P218" s="60">
        <f t="shared" si="45"/>
        <v>-2.9076039566587498E-5</v>
      </c>
      <c r="Q218" s="60">
        <f t="shared" si="46"/>
        <v>-1.7596896232921717E-5</v>
      </c>
      <c r="R218" s="60">
        <f t="shared" si="47"/>
        <v>-1.0045313361486107E-5</v>
      </c>
    </row>
    <row r="219" spans="1:18" x14ac:dyDescent="0.3">
      <c r="A219">
        <f>'Parm VaR Eq Weights'!B218</f>
        <v>-2.0773480650743484E-2</v>
      </c>
      <c r="B219">
        <f>'Parm VaR Eq Weights'!C218</f>
        <v>-1.0492589463767424E-2</v>
      </c>
      <c r="C219">
        <f>'Parm VaR Eq Weights'!D218</f>
        <v>-1.9213541366024001E-3</v>
      </c>
      <c r="D219">
        <f>'Parm VaR Eq Weights'!E218</f>
        <v>-9.1733813870356617E-3</v>
      </c>
      <c r="H219" s="60">
        <f t="shared" si="38"/>
        <v>1.7731511237872077E-4</v>
      </c>
      <c r="I219" s="60">
        <f t="shared" si="39"/>
        <v>1.8311513182369673E-4</v>
      </c>
      <c r="J219" s="60">
        <f t="shared" si="40"/>
        <v>1.7006315961576112E-4</v>
      </c>
      <c r="K219" s="60">
        <f t="shared" si="41"/>
        <v>1.5507765622521896E-4</v>
      </c>
      <c r="M219" s="60">
        <f t="shared" si="42"/>
        <v>4.0264265850972177E-5</v>
      </c>
      <c r="N219" s="60">
        <f t="shared" si="43"/>
        <v>-3.8722126750935458E-6</v>
      </c>
      <c r="O219" s="60">
        <f t="shared" si="44"/>
        <v>7.3841740712233118E-6</v>
      </c>
      <c r="P219" s="60">
        <f t="shared" si="45"/>
        <v>-2.7609147271611013E-5</v>
      </c>
      <c r="Q219" s="60">
        <f t="shared" si="46"/>
        <v>-1.6444269303357331E-5</v>
      </c>
      <c r="R219" s="60">
        <f t="shared" si="47"/>
        <v>-1.6023791925485633E-5</v>
      </c>
    </row>
    <row r="220" spans="1:18" x14ac:dyDescent="0.3">
      <c r="A220">
        <f>'Parm VaR Eq Weights'!B219</f>
        <v>8.6400702725762698E-5</v>
      </c>
      <c r="B220">
        <f>'Parm VaR Eq Weights'!C219</f>
        <v>1.9811005549260838E-3</v>
      </c>
      <c r="C220">
        <f>'Parm VaR Eq Weights'!D219</f>
        <v>-9.1465004966521744E-3</v>
      </c>
      <c r="D220">
        <f>'Parm VaR Eq Weights'!E219</f>
        <v>1.022077137278082E-2</v>
      </c>
      <c r="H220" s="60">
        <f t="shared" si="38"/>
        <v>1.9256845553680636E-4</v>
      </c>
      <c r="I220" s="60">
        <f t="shared" si="39"/>
        <v>1.7873388993358471E-4</v>
      </c>
      <c r="J220" s="60">
        <f t="shared" si="40"/>
        <v>1.6008086614190979E-4</v>
      </c>
      <c r="K220" s="60">
        <f t="shared" si="41"/>
        <v>1.5082205241602657E-4</v>
      </c>
      <c r="M220" s="60">
        <f t="shared" si="42"/>
        <v>5.0926466152019905E-5</v>
      </c>
      <c r="N220" s="60">
        <f t="shared" si="43"/>
        <v>-1.2450871357917761E-6</v>
      </c>
      <c r="O220" s="60">
        <f t="shared" si="44"/>
        <v>1.8374907271678467E-5</v>
      </c>
      <c r="P220" s="60">
        <f t="shared" si="45"/>
        <v>-2.474299962512153E-5</v>
      </c>
      <c r="Q220" s="60">
        <f t="shared" si="46"/>
        <v>-9.6824616518320506E-6</v>
      </c>
      <c r="R220" s="60">
        <f t="shared" si="47"/>
        <v>-1.4004845553479747E-5</v>
      </c>
    </row>
    <row r="221" spans="1:18" x14ac:dyDescent="0.3">
      <c r="A221">
        <f>'Parm VaR Eq Weights'!B220</f>
        <v>-1.5395714469955905E-2</v>
      </c>
      <c r="B221">
        <f>'Parm VaR Eq Weights'!C220</f>
        <v>-9.3507703597652311E-3</v>
      </c>
      <c r="C221">
        <f>'Parm VaR Eq Weights'!D220</f>
        <v>-7.5361630751712486E-4</v>
      </c>
      <c r="D221">
        <f>'Parm VaR Eq Weights'!E220</f>
        <v>-2.6136804868442096E-2</v>
      </c>
      <c r="H221" s="60">
        <f t="shared" si="38"/>
        <v>1.8101479610948388E-4</v>
      </c>
      <c r="I221" s="60">
        <f t="shared" si="39"/>
        <v>1.6824534210209334E-4</v>
      </c>
      <c r="J221" s="60">
        <f t="shared" si="40"/>
        <v>1.5549552245351073E-4</v>
      </c>
      <c r="K221" s="60">
        <f t="shared" si="41"/>
        <v>1.4804057931834433E-4</v>
      </c>
      <c r="M221" s="60">
        <f t="shared" si="42"/>
        <v>4.7881148291705668E-5</v>
      </c>
      <c r="N221" s="60">
        <f t="shared" si="43"/>
        <v>-1.2177977518678066E-6</v>
      </c>
      <c r="O221" s="60">
        <f t="shared" si="44"/>
        <v>1.7325397745118214E-5</v>
      </c>
      <c r="P221" s="60">
        <f t="shared" si="45"/>
        <v>-2.4345627880187199E-5</v>
      </c>
      <c r="Q221" s="60">
        <f t="shared" si="46"/>
        <v>-7.8866114024188024E-6</v>
      </c>
      <c r="R221" s="60">
        <f t="shared" si="47"/>
        <v>-1.8773612246509453E-5</v>
      </c>
    </row>
    <row r="222" spans="1:18" x14ac:dyDescent="0.3">
      <c r="A222">
        <f>'Parm VaR Eq Weights'!B221</f>
        <v>-1.5772106302099805E-2</v>
      </c>
      <c r="B222">
        <f>'Parm VaR Eq Weights'!C221</f>
        <v>5.0691933766987734E-3</v>
      </c>
      <c r="C222">
        <f>'Parm VaR Eq Weights'!D221</f>
        <v>-3.2550882353713523E-3</v>
      </c>
      <c r="D222">
        <f>'Parm VaR Eq Weights'!E221</f>
        <v>-1.5749461568352265E-3</v>
      </c>
      <c r="H222" s="60">
        <f t="shared" si="38"/>
        <v>1.8437558978533943E-4</v>
      </c>
      <c r="I222" s="60">
        <f t="shared" si="39"/>
        <v>1.6339683595523156E-4</v>
      </c>
      <c r="J222" s="60">
        <f t="shared" si="40"/>
        <v>1.461998673586374E-4</v>
      </c>
      <c r="K222" s="60">
        <f t="shared" si="41"/>
        <v>1.801460986831048E-4</v>
      </c>
      <c r="M222" s="60">
        <f t="shared" si="42"/>
        <v>5.3645986826187672E-5</v>
      </c>
      <c r="N222" s="60">
        <f t="shared" si="43"/>
        <v>-4.4858219732956934E-7</v>
      </c>
      <c r="O222" s="60">
        <f t="shared" si="44"/>
        <v>4.042956097510042E-5</v>
      </c>
      <c r="P222" s="60">
        <f t="shared" si="45"/>
        <v>-2.2462076625517955E-5</v>
      </c>
      <c r="Q222" s="60">
        <f t="shared" si="46"/>
        <v>7.2505408974940937E-6</v>
      </c>
      <c r="R222" s="60">
        <f t="shared" si="47"/>
        <v>-1.6465368169203826E-5</v>
      </c>
    </row>
    <row r="223" spans="1:18" x14ac:dyDescent="0.3">
      <c r="A223">
        <f>'Parm VaR Eq Weights'!B222</f>
        <v>-2.0588228435321883E-2</v>
      </c>
      <c r="B223">
        <f>'Parm VaR Eq Weights'!C222</f>
        <v>-3.9621558344114143E-3</v>
      </c>
      <c r="C223">
        <f>'Parm VaR Eq Weights'!D222</f>
        <v>2.7078197432847807E-3</v>
      </c>
      <c r="D223">
        <f>'Parm VaR Eq Weights'!E222</f>
        <v>2.166942999350854E-2</v>
      </c>
      <c r="H223" s="60">
        <f t="shared" si="38"/>
        <v>1.8823861463050325E-4</v>
      </c>
      <c r="I223" s="60">
        <f t="shared" si="39"/>
        <v>1.5513482908733966E-4</v>
      </c>
      <c r="J223" s="60">
        <f t="shared" si="40"/>
        <v>1.3806361128232235E-4</v>
      </c>
      <c r="K223" s="60">
        <f t="shared" si="41"/>
        <v>1.6948616008593431E-4</v>
      </c>
      <c r="M223" s="60">
        <f t="shared" si="42"/>
        <v>4.5630116208424809E-5</v>
      </c>
      <c r="N223" s="60">
        <f t="shared" si="43"/>
        <v>2.6587085947696939E-6</v>
      </c>
      <c r="O223" s="60">
        <f t="shared" si="44"/>
        <v>3.9494200408935722E-5</v>
      </c>
      <c r="P223" s="60">
        <f t="shared" si="45"/>
        <v>-2.2104392331385753E-5</v>
      </c>
      <c r="Q223" s="60">
        <f t="shared" si="46"/>
        <v>6.336486046031268E-6</v>
      </c>
      <c r="R223" s="60">
        <f t="shared" si="47"/>
        <v>-1.5169850756664134E-5</v>
      </c>
    </row>
    <row r="224" spans="1:18" x14ac:dyDescent="0.3">
      <c r="A224">
        <f>'Parm VaR Eq Weights'!B223</f>
        <v>-2.7112254234371271E-2</v>
      </c>
      <c r="B224">
        <f>'Parm VaR Eq Weights'!C223</f>
        <v>-6.7247841723685033E-3</v>
      </c>
      <c r="C224">
        <f>'Parm VaR Eq Weights'!D223</f>
        <v>-1.62155726269371E-2</v>
      </c>
      <c r="D224">
        <f>'Parm VaR Eq Weights'!E223</f>
        <v>1.3113008549262386E-2</v>
      </c>
      <c r="H224" s="60">
        <f t="shared" si="38"/>
        <v>2.0237680675897287E-4</v>
      </c>
      <c r="I224" s="60">
        <f t="shared" si="39"/>
        <v>1.4676866007346889E-4</v>
      </c>
      <c r="J224" s="60">
        <f t="shared" si="40"/>
        <v>1.3021973187111037E-4</v>
      </c>
      <c r="K224" s="60">
        <f t="shared" si="41"/>
        <v>1.8749084225539231E-4</v>
      </c>
      <c r="M224" s="60">
        <f t="shared" si="42"/>
        <v>4.7786735400831654E-5</v>
      </c>
      <c r="N224" s="60">
        <f t="shared" si="43"/>
        <v>-8.4576660710179399E-7</v>
      </c>
      <c r="O224" s="60">
        <f t="shared" si="44"/>
        <v>1.0356437898225388E-5</v>
      </c>
      <c r="P224" s="60">
        <f t="shared" si="45"/>
        <v>-2.1421857019166019E-5</v>
      </c>
      <c r="Q224" s="60">
        <f t="shared" si="46"/>
        <v>8.0483737464041424E-7</v>
      </c>
      <c r="R224" s="60">
        <f t="shared" si="47"/>
        <v>-1.0739045089535292E-5</v>
      </c>
    </row>
    <row r="225" spans="1:18" x14ac:dyDescent="0.3">
      <c r="A225">
        <f>'Parm VaR Eq Weights'!B224</f>
        <v>4.9593742562976224E-2</v>
      </c>
      <c r="B225">
        <f>'Parm VaR Eq Weights'!C224</f>
        <v>9.936998465556342E-4</v>
      </c>
      <c r="C225">
        <f>'Parm VaR Eq Weights'!D224</f>
        <v>-5.1397425000476232E-3</v>
      </c>
      <c r="D225">
        <f>'Parm VaR Eq Weights'!E224</f>
        <v>-2.1676261374696894E-2</v>
      </c>
      <c r="H225" s="60">
        <f t="shared" si="38"/>
        <v>2.343386581335855E-4</v>
      </c>
      <c r="I225" s="60">
        <f t="shared" si="39"/>
        <v>1.4067590379895703E-4</v>
      </c>
      <c r="J225" s="60">
        <f t="shared" si="40"/>
        <v>1.3818323569601208E-4</v>
      </c>
      <c r="K225" s="60">
        <f t="shared" si="41"/>
        <v>1.8655845131285048E-4</v>
      </c>
      <c r="M225" s="60">
        <f t="shared" si="42"/>
        <v>5.5858974765933612E-5</v>
      </c>
      <c r="N225" s="60">
        <f t="shared" si="43"/>
        <v>2.5583423046370151E-5</v>
      </c>
      <c r="O225" s="60">
        <f t="shared" si="44"/>
        <v>-1.1596341669573305E-5</v>
      </c>
      <c r="P225" s="60">
        <f t="shared" si="45"/>
        <v>-1.3593772029164939E-5</v>
      </c>
      <c r="Q225" s="60">
        <f t="shared" si="46"/>
        <v>-4.5343820084907693E-6</v>
      </c>
      <c r="R225" s="60">
        <f t="shared" si="47"/>
        <v>-2.2852798933455865E-5</v>
      </c>
    </row>
    <row r="226" spans="1:18" x14ac:dyDescent="0.3">
      <c r="A226">
        <f>'Parm VaR Eq Weights'!B225</f>
        <v>8.562680803813779E-3</v>
      </c>
      <c r="B226">
        <f>'Parm VaR Eq Weights'!C225</f>
        <v>1.3389951869007977E-2</v>
      </c>
      <c r="C226">
        <f>'Parm VaR Eq Weights'!D225</f>
        <v>-1.8992586198194949E-2</v>
      </c>
      <c r="D226">
        <f>'Parm VaR Eq Weights'!E225</f>
        <v>1.2902319445083981E-2</v>
      </c>
      <c r="H226" s="60">
        <f t="shared" si="38"/>
        <v>3.6785069672973605E-4</v>
      </c>
      <c r="I226" s="60">
        <f t="shared" si="39"/>
        <v>1.3229459593412226E-4</v>
      </c>
      <c r="J226" s="60">
        <f t="shared" si="40"/>
        <v>1.314772587322591E-4</v>
      </c>
      <c r="K226" s="60">
        <f t="shared" si="41"/>
        <v>2.0355656266513007E-4</v>
      </c>
      <c r="M226" s="60">
        <f t="shared" si="42"/>
        <v>5.5464313942474539E-5</v>
      </c>
      <c r="N226" s="60">
        <f t="shared" si="43"/>
        <v>8.7544736803469481E-6</v>
      </c>
      <c r="O226" s="60">
        <f t="shared" si="44"/>
        <v>-7.5400976750069135E-5</v>
      </c>
      <c r="P226" s="60">
        <f t="shared" si="45"/>
        <v>-1.308458738743301E-5</v>
      </c>
      <c r="Q226" s="60">
        <f t="shared" si="46"/>
        <v>-5.5547009440974914E-6</v>
      </c>
      <c r="R226" s="60">
        <f t="shared" si="47"/>
        <v>-1.4797006887668286E-5</v>
      </c>
    </row>
    <row r="227" spans="1:18" x14ac:dyDescent="0.3">
      <c r="A227">
        <f>'Parm VaR Eq Weights'!B226</f>
        <v>-1.2415825521054006E-3</v>
      </c>
      <c r="B227">
        <f>'Parm VaR Eq Weights'!C226</f>
        <v>-2.767770389721633E-2</v>
      </c>
      <c r="C227">
        <f>'Parm VaR Eq Weights'!D226</f>
        <v>1.7092908353384274E-2</v>
      </c>
      <c r="D227">
        <f>'Parm VaR Eq Weights'!E226</f>
        <v>-1.9413894633240419E-2</v>
      </c>
      <c r="H227" s="60">
        <f t="shared" si="38"/>
        <v>3.501788250788319E-4</v>
      </c>
      <c r="I227" s="60">
        <f t="shared" si="39"/>
        <v>1.3511436884133593E-4</v>
      </c>
      <c r="J227" s="60">
        <f t="shared" si="40"/>
        <v>1.4523172303807546E-4</v>
      </c>
      <c r="K227" s="60">
        <f t="shared" si="41"/>
        <v>2.0133135972900181E-4</v>
      </c>
      <c r="M227" s="60">
        <f t="shared" si="42"/>
        <v>5.9015688135890775E-5</v>
      </c>
      <c r="N227" s="60">
        <f t="shared" si="43"/>
        <v>-1.5284419357176231E-6</v>
      </c>
      <c r="O227" s="60">
        <f t="shared" si="44"/>
        <v>-6.4248211562839349E-5</v>
      </c>
      <c r="P227" s="60">
        <f t="shared" si="45"/>
        <v>-2.7558101047895978E-5</v>
      </c>
      <c r="Q227" s="60">
        <f t="shared" si="46"/>
        <v>5.1442672946427813E-6</v>
      </c>
      <c r="R227" s="60">
        <f t="shared" si="47"/>
        <v>-2.8612091327452463E-5</v>
      </c>
    </row>
    <row r="228" spans="1:18" x14ac:dyDescent="0.3">
      <c r="A228">
        <f>'Parm VaR Eq Weights'!B227</f>
        <v>8.4924843647866226E-3</v>
      </c>
      <c r="B228">
        <f>'Parm VaR Eq Weights'!C227</f>
        <v>-2.6259178653196208E-3</v>
      </c>
      <c r="C228">
        <f>'Parm VaR Eq Weights'!D227</f>
        <v>9.0447809674775795E-3</v>
      </c>
      <c r="D228">
        <f>'Parm VaR Eq Weights'!E227</f>
        <v>-3.5561023212100917E-4</v>
      </c>
      <c r="H228" s="60">
        <f t="shared" si="38"/>
        <v>3.2926058720812354E-4</v>
      </c>
      <c r="I228" s="60">
        <f t="shared" si="39"/>
        <v>1.7297082429217485E-4</v>
      </c>
      <c r="J228" s="60">
        <f t="shared" si="40"/>
        <v>1.5404787061442258E-4</v>
      </c>
      <c r="K228" s="60">
        <f t="shared" si="41"/>
        <v>2.1186543643509538E-4</v>
      </c>
      <c r="M228" s="60">
        <f t="shared" si="42"/>
        <v>5.7536596102204733E-5</v>
      </c>
      <c r="N228" s="60">
        <f t="shared" si="43"/>
        <v>-2.7100708261524807E-6</v>
      </c>
      <c r="O228" s="60">
        <f t="shared" si="44"/>
        <v>-5.8947081698366344E-5</v>
      </c>
      <c r="P228" s="60">
        <f t="shared" si="45"/>
        <v>-5.4290162353855773E-5</v>
      </c>
      <c r="Q228" s="60">
        <f t="shared" si="46"/>
        <v>3.7075532885999372E-5</v>
      </c>
      <c r="R228" s="60">
        <f t="shared" si="47"/>
        <v>-4.6805761152699568E-5</v>
      </c>
    </row>
    <row r="229" spans="1:18" x14ac:dyDescent="0.3">
      <c r="A229">
        <f>'Parm VaR Eq Weights'!B228</f>
        <v>1.2684966694008221E-3</v>
      </c>
      <c r="B229">
        <f>'Parm VaR Eq Weights'!C228</f>
        <v>2.2409107434049468E-2</v>
      </c>
      <c r="C229">
        <f>'Parm VaR Eq Weights'!D228</f>
        <v>-1.8630556475300569E-2</v>
      </c>
      <c r="D229">
        <f>'Parm VaR Eq Weights'!E228</f>
        <v>-2.5052985293139835E-2</v>
      </c>
      <c r="H229" s="60">
        <f t="shared" si="38"/>
        <v>3.1383228941680487E-4</v>
      </c>
      <c r="I229" s="60">
        <f t="shared" si="39"/>
        <v>1.6300630151276863E-4</v>
      </c>
      <c r="J229" s="60">
        <f t="shared" si="40"/>
        <v>1.4971348214253591E-4</v>
      </c>
      <c r="K229" s="60">
        <f t="shared" si="41"/>
        <v>1.9916109776722102E-4</v>
      </c>
      <c r="M229" s="60">
        <f t="shared" si="42"/>
        <v>5.2746366351205997E-5</v>
      </c>
      <c r="N229" s="60">
        <f t="shared" si="43"/>
        <v>2.0612930803700496E-6</v>
      </c>
      <c r="O229" s="60">
        <f t="shared" si="44"/>
        <v>-5.5591457656639111E-5</v>
      </c>
      <c r="P229" s="60">
        <f t="shared" si="45"/>
        <v>-5.2457803728448564E-5</v>
      </c>
      <c r="Q229" s="60">
        <f t="shared" si="46"/>
        <v>3.4907029108536426E-5</v>
      </c>
      <c r="R229" s="60">
        <f t="shared" si="47"/>
        <v>-4.4190400483097289E-5</v>
      </c>
    </row>
    <row r="230" spans="1:18" x14ac:dyDescent="0.3">
      <c r="A230">
        <f>'Parm VaR Eq Weights'!B229</f>
        <v>-2.4756730111614129E-2</v>
      </c>
      <c r="B230">
        <f>'Parm VaR Eq Weights'!C229</f>
        <v>8.1819122100411663E-3</v>
      </c>
      <c r="C230">
        <f>'Parm VaR Eq Weights'!D229</f>
        <v>4.2825913262611044E-2</v>
      </c>
      <c r="D230">
        <f>'Parm VaR Eq Weights'!E229</f>
        <v>-3.3104476663588216E-3</v>
      </c>
      <c r="H230" s="60">
        <f t="shared" si="38"/>
        <v>2.9509889707981341E-4</v>
      </c>
      <c r="I230" s="60">
        <f t="shared" si="39"/>
        <v>1.8335600918144878E-4</v>
      </c>
      <c r="J230" s="60">
        <f t="shared" si="40"/>
        <v>1.6155653128874559E-4</v>
      </c>
      <c r="K230" s="60">
        <f t="shared" si="41"/>
        <v>2.2487055622708464E-4</v>
      </c>
      <c r="M230" s="60">
        <f t="shared" si="42"/>
        <v>5.1287137058793851E-5</v>
      </c>
      <c r="N230" s="60">
        <f t="shared" si="43"/>
        <v>5.1964756526768373E-7</v>
      </c>
      <c r="O230" s="60">
        <f t="shared" si="44"/>
        <v>-5.4162747901414506E-5</v>
      </c>
      <c r="P230" s="60">
        <f t="shared" si="45"/>
        <v>-7.4359984001409852E-5</v>
      </c>
      <c r="Q230" s="60">
        <f t="shared" si="46"/>
        <v>-8.7229497663370313E-7</v>
      </c>
      <c r="R230" s="60">
        <f t="shared" si="47"/>
        <v>-1.3533913011388448E-5</v>
      </c>
    </row>
    <row r="231" spans="1:18" x14ac:dyDescent="0.3">
      <c r="A231">
        <f>'Parm VaR Eq Weights'!B230</f>
        <v>3.433571429840454E-2</v>
      </c>
      <c r="B231">
        <f>'Parm VaR Eq Weights'!C230</f>
        <v>1.5385687711818895E-3</v>
      </c>
      <c r="C231">
        <f>'Parm VaR Eq Weights'!D230</f>
        <v>-5.5656339953871273E-3</v>
      </c>
      <c r="D231">
        <f>'Parm VaR Eq Weights'!E230</f>
        <v>-2.0867674509200886E-2</v>
      </c>
      <c r="H231" s="60">
        <f t="shared" si="38"/>
        <v>3.1416670440418272E-4</v>
      </c>
      <c r="I231" s="60">
        <f t="shared" si="39"/>
        <v>1.763712698753311E-4</v>
      </c>
      <c r="J231" s="60">
        <f t="shared" si="40"/>
        <v>2.6190667021802204E-4</v>
      </c>
      <c r="K231" s="60">
        <f t="shared" si="41"/>
        <v>2.1203586667856158E-4</v>
      </c>
      <c r="M231" s="60">
        <f t="shared" si="42"/>
        <v>3.6056465292411644E-5</v>
      </c>
      <c r="N231" s="60">
        <f t="shared" si="43"/>
        <v>-6.31253058741999E-5</v>
      </c>
      <c r="O231" s="60">
        <f t="shared" si="44"/>
        <v>-4.5995631461849534E-5</v>
      </c>
      <c r="P231" s="60">
        <f t="shared" si="45"/>
        <v>-4.887451320355396E-5</v>
      </c>
      <c r="Q231" s="60">
        <f t="shared" si="46"/>
        <v>-2.4451048089606939E-6</v>
      </c>
      <c r="R231" s="60">
        <f t="shared" si="47"/>
        <v>-2.1228254907898907E-5</v>
      </c>
    </row>
    <row r="232" spans="1:18" x14ac:dyDescent="0.3">
      <c r="A232">
        <f>'Parm VaR Eq Weights'!B231</f>
        <v>7.0104348498051519E-3</v>
      </c>
      <c r="B232">
        <f>'Parm VaR Eq Weights'!C231</f>
        <v>2.2680614702877105E-2</v>
      </c>
      <c r="C232">
        <f>'Parm VaR Eq Weights'!D231</f>
        <v>2.1660822228337148E-3</v>
      </c>
      <c r="D232">
        <f>'Parm VaR Eq Weights'!E231</f>
        <v>-2.2900424105612202E-2</v>
      </c>
      <c r="H232" s="60">
        <f t="shared" si="38"/>
        <v>3.6605317872283154E-4</v>
      </c>
      <c r="I232" s="60">
        <f t="shared" si="39"/>
        <v>1.6593102531463059E-4</v>
      </c>
      <c r="J232" s="60">
        <f t="shared" si="40"/>
        <v>2.4805084691117724E-4</v>
      </c>
      <c r="K232" s="60">
        <f t="shared" si="41"/>
        <v>2.2544130504316504E-4</v>
      </c>
      <c r="M232" s="60">
        <f t="shared" si="42"/>
        <v>3.706274884021187E-5</v>
      </c>
      <c r="N232" s="60">
        <f t="shared" si="43"/>
        <v>-7.0803788647053932E-5</v>
      </c>
      <c r="O232" s="60">
        <f t="shared" si="44"/>
        <v>-8.6226284175339846E-5</v>
      </c>
      <c r="P232" s="60">
        <f t="shared" si="45"/>
        <v>-4.6455829050768576E-5</v>
      </c>
      <c r="Q232" s="60">
        <f t="shared" si="46"/>
        <v>-4.224779660045745E-6</v>
      </c>
      <c r="R232" s="60">
        <f t="shared" si="47"/>
        <v>-1.2986049294240057E-5</v>
      </c>
    </row>
    <row r="233" spans="1:18" x14ac:dyDescent="0.3">
      <c r="A233">
        <f>'Parm VaR Eq Weights'!B232</f>
        <v>9.6952851413394606E-3</v>
      </c>
      <c r="B233">
        <f>'Parm VaR Eq Weights'!C232</f>
        <v>2.2337185213104392E-3</v>
      </c>
      <c r="C233">
        <f>'Parm VaR Eq Weights'!D232</f>
        <v>8.4450925805099435E-3</v>
      </c>
      <c r="D233">
        <f>'Parm VaR Eq Weights'!E232</f>
        <v>3.7746946013945118E-3</v>
      </c>
      <c r="H233" s="60">
        <f t="shared" si="38"/>
        <v>3.4703875980646333E-4</v>
      </c>
      <c r="I233" s="60">
        <f t="shared" si="39"/>
        <v>1.8683978079377469E-4</v>
      </c>
      <c r="J233" s="60">
        <f t="shared" si="40"/>
        <v>2.3344931082827116E-4</v>
      </c>
      <c r="K233" s="60">
        <f t="shared" si="41"/>
        <v>2.433805921935894E-4</v>
      </c>
      <c r="M233" s="60">
        <f t="shared" si="42"/>
        <v>4.4379042213482333E-5</v>
      </c>
      <c r="N233" s="60">
        <f t="shared" si="43"/>
        <v>-6.5644450630080882E-5</v>
      </c>
      <c r="O233" s="60">
        <f t="shared" si="44"/>
        <v>-9.0685222998337572E-5</v>
      </c>
      <c r="P233" s="60">
        <f t="shared" si="45"/>
        <v>-4.0720794729071875E-5</v>
      </c>
      <c r="Q233" s="60">
        <f t="shared" si="46"/>
        <v>-3.5135034620755191E-5</v>
      </c>
      <c r="R233" s="60">
        <f t="shared" si="47"/>
        <v>-1.5183138429616813E-5</v>
      </c>
    </row>
    <row r="234" spans="1:18" x14ac:dyDescent="0.3">
      <c r="A234">
        <f>'Parm VaR Eq Weights'!B233</f>
        <v>4.0980455174692261E-3</v>
      </c>
      <c r="B234">
        <f>'Parm VaR Eq Weights'!C233</f>
        <v>5.4989434851617702E-3</v>
      </c>
      <c r="C234">
        <f>'Parm VaR Eq Weights'!D233</f>
        <v>-2.3898644325733515E-3</v>
      </c>
      <c r="D234">
        <f>'Parm VaR Eq Weights'!E233</f>
        <v>4.3391272723654416E-2</v>
      </c>
      <c r="H234" s="60">
        <f t="shared" si="38"/>
        <v>3.3185634745638815E-4</v>
      </c>
      <c r="I234" s="60">
        <f t="shared" si="39"/>
        <v>1.7592876385209491E-4</v>
      </c>
      <c r="J234" s="60">
        <f t="shared" si="40"/>
        <v>2.2372152750017792E-4</v>
      </c>
      <c r="K234" s="60">
        <f t="shared" si="41"/>
        <v>2.2963265582200186E-4</v>
      </c>
      <c r="M234" s="60">
        <f t="shared" si="42"/>
        <v>4.3015691960049142E-5</v>
      </c>
      <c r="N234" s="60">
        <f t="shared" si="43"/>
        <v>-5.6793128755492762E-5</v>
      </c>
      <c r="O234" s="60">
        <f t="shared" si="44"/>
        <v>-8.3048305189517641E-5</v>
      </c>
      <c r="P234" s="60">
        <f t="shared" si="45"/>
        <v>-3.7145709462651575E-5</v>
      </c>
      <c r="Q234" s="60">
        <f t="shared" si="46"/>
        <v>-3.2521036228904353E-5</v>
      </c>
      <c r="R234" s="60">
        <f t="shared" si="47"/>
        <v>-1.2359491401524139E-5</v>
      </c>
    </row>
    <row r="235" spans="1:18" x14ac:dyDescent="0.3">
      <c r="A235">
        <f>'Parm VaR Eq Weights'!B234</f>
        <v>4.5184189218472805E-3</v>
      </c>
      <c r="B235">
        <f>'Parm VaR Eq Weights'!C234</f>
        <v>-1.3834916715830994E-2</v>
      </c>
      <c r="C235">
        <f>'Parm VaR Eq Weights'!D234</f>
        <v>-3.824124310551672E-3</v>
      </c>
      <c r="D235">
        <f>'Parm VaR Eq Weights'!E234</f>
        <v>-6.8165462380526667E-3</v>
      </c>
      <c r="H235" s="60">
        <f t="shared" si="38"/>
        <v>3.1295260523279983E-4</v>
      </c>
      <c r="I235" s="60">
        <f t="shared" si="39"/>
        <v>1.6718734078814939E-4</v>
      </c>
      <c r="J235" s="60">
        <f t="shared" si="40"/>
        <v>2.1064092297053198E-4</v>
      </c>
      <c r="K235" s="60">
        <f t="shared" si="41"/>
        <v>3.2882284938739515E-4</v>
      </c>
      <c r="M235" s="60">
        <f t="shared" si="42"/>
        <v>4.1786845684457225E-5</v>
      </c>
      <c r="N235" s="60">
        <f t="shared" si="43"/>
        <v>-5.3973167423679175E-5</v>
      </c>
      <c r="O235" s="60">
        <f t="shared" si="44"/>
        <v>-6.7396242237199161E-5</v>
      </c>
      <c r="P235" s="60">
        <f t="shared" si="45"/>
        <v>-3.5705470662007623E-5</v>
      </c>
      <c r="Q235" s="60">
        <f t="shared" si="46"/>
        <v>-1.6253404667773054E-5</v>
      </c>
      <c r="R235" s="60">
        <f t="shared" si="47"/>
        <v>-1.783987747941381E-5</v>
      </c>
    </row>
    <row r="236" spans="1:18" x14ac:dyDescent="0.3">
      <c r="A236">
        <f>'Parm VaR Eq Weights'!B235</f>
        <v>-1.462979140943451E-4</v>
      </c>
      <c r="B236">
        <f>'Parm VaR Eq Weights'!C235</f>
        <v>2.0227861747199399E-2</v>
      </c>
      <c r="C236">
        <f>'Parm VaR Eq Weights'!D235</f>
        <v>-3.6850663414899794E-3</v>
      </c>
      <c r="D236">
        <f>'Parm VaR Eq Weights'!E235</f>
        <v>-6.1332970667515091E-3</v>
      </c>
      <c r="H236" s="60">
        <f t="shared" si="38"/>
        <v>2.9540041549203029E-4</v>
      </c>
      <c r="I236" s="60">
        <f t="shared" si="39"/>
        <v>1.6864039557289921E-4</v>
      </c>
      <c r="J236" s="60">
        <f t="shared" si="40"/>
        <v>1.988799031968532E-4</v>
      </c>
      <c r="K236" s="60">
        <f t="shared" si="41"/>
        <v>3.1188139658108201E-4</v>
      </c>
      <c r="M236" s="60">
        <f t="shared" si="42"/>
        <v>3.5528917975130266E-5</v>
      </c>
      <c r="N236" s="60">
        <f t="shared" si="43"/>
        <v>-5.1771517116915995E-5</v>
      </c>
      <c r="O236" s="60">
        <f t="shared" si="44"/>
        <v>-6.5200468393187042E-5</v>
      </c>
      <c r="P236" s="60">
        <f t="shared" si="45"/>
        <v>-3.038875594143914E-5</v>
      </c>
      <c r="Q236" s="60">
        <f t="shared" si="46"/>
        <v>-9.6198194181224841E-6</v>
      </c>
      <c r="R236" s="60">
        <f t="shared" si="47"/>
        <v>-1.5205445619672775E-5</v>
      </c>
    </row>
    <row r="237" spans="1:18" x14ac:dyDescent="0.3">
      <c r="A237">
        <f>'Parm VaR Eq Weights'!B236</f>
        <v>-5.2575254201908672E-3</v>
      </c>
      <c r="B237">
        <f>'Parm VaR Eq Weights'!C236</f>
        <v>2.676473064877644E-3</v>
      </c>
      <c r="C237">
        <f>'Parm VaR Eq Weights'!D236</f>
        <v>9.2676613813863062E-4</v>
      </c>
      <c r="D237">
        <f>'Parm VaR Eq Weights'!E236</f>
        <v>-6.6579348641848737E-3</v>
      </c>
      <c r="H237" s="60">
        <f t="shared" si="38"/>
        <v>2.7767767474728858E-4</v>
      </c>
      <c r="I237" s="60">
        <f t="shared" si="39"/>
        <v>1.8307195529035402E-4</v>
      </c>
      <c r="J237" s="60">
        <f t="shared" si="40"/>
        <v>1.8776189184151293E-4</v>
      </c>
      <c r="K237" s="60">
        <f t="shared" si="41"/>
        <v>2.9542555276075843E-4</v>
      </c>
      <c r="M237" s="60">
        <f t="shared" si="42"/>
        <v>3.3219625257810203E-5</v>
      </c>
      <c r="N237" s="60">
        <f t="shared" si="43"/>
        <v>-4.8632879038757479E-5</v>
      </c>
      <c r="O237" s="60">
        <f t="shared" si="44"/>
        <v>-6.1234602975552603E-5</v>
      </c>
      <c r="P237" s="60">
        <f t="shared" si="45"/>
        <v>-3.3037891334047825E-5</v>
      </c>
      <c r="Q237" s="60">
        <f t="shared" si="46"/>
        <v>-1.648643936028033E-5</v>
      </c>
      <c r="R237" s="60">
        <f t="shared" si="47"/>
        <v>-1.2937022487509694E-5</v>
      </c>
    </row>
    <row r="238" spans="1:18" x14ac:dyDescent="0.3">
      <c r="A238">
        <f>'Parm VaR Eq Weights'!B237</f>
        <v>1.0721688854600295E-2</v>
      </c>
      <c r="B238">
        <f>'Parm VaR Eq Weights'!C237</f>
        <v>-5.4445099872799376E-3</v>
      </c>
      <c r="C238">
        <f>'Parm VaR Eq Weights'!D237</f>
        <v>4.0636304873049233E-3</v>
      </c>
      <c r="D238">
        <f>'Parm VaR Eq Weights'!E237</f>
        <v>1.9193419727604581E-2</v>
      </c>
      <c r="H238" s="60">
        <f t="shared" si="38"/>
        <v>2.6267550867508846E-4</v>
      </c>
      <c r="I238" s="60">
        <f t="shared" si="39"/>
        <v>1.7251744845695372E-4</v>
      </c>
      <c r="J238" s="60">
        <f t="shared" si="40"/>
        <v>1.7654771205951017E-4</v>
      </c>
      <c r="K238" s="60">
        <f t="shared" si="41"/>
        <v>2.8035970539445659E-4</v>
      </c>
      <c r="M238" s="60">
        <f t="shared" si="42"/>
        <v>3.0382150231838568E-5</v>
      </c>
      <c r="N238" s="60">
        <f t="shared" si="43"/>
        <v>-4.600725608822219E-5</v>
      </c>
      <c r="O238" s="60">
        <f t="shared" si="44"/>
        <v>-5.546027108935382E-5</v>
      </c>
      <c r="P238" s="60">
        <f t="shared" si="45"/>
        <v>-3.0906789977634826E-5</v>
      </c>
      <c r="Q238" s="60">
        <f t="shared" si="46"/>
        <v>-1.6566439998565547E-5</v>
      </c>
      <c r="R238" s="60">
        <f t="shared" si="47"/>
        <v>-1.2531022053182662E-5</v>
      </c>
    </row>
    <row r="239" spans="1:18" x14ac:dyDescent="0.3">
      <c r="A239">
        <f>'Parm VaR Eq Weights'!B238</f>
        <v>2.2219855538147541E-3</v>
      </c>
      <c r="B239">
        <f>'Parm VaR Eq Weights'!C238</f>
        <v>1.2527444774760499E-2</v>
      </c>
      <c r="C239">
        <f>'Parm VaR Eq Weights'!D238</f>
        <v>-1.7695526614828997E-3</v>
      </c>
      <c r="D239">
        <f>'Parm VaR Eq Weights'!E238</f>
        <v>-2.2124350005413456E-3</v>
      </c>
      <c r="H239" s="60">
        <f t="shared" si="38"/>
        <v>2.5381225486827478E-4</v>
      </c>
      <c r="I239" s="60">
        <f t="shared" si="39"/>
        <v>1.6394496288963195E-4</v>
      </c>
      <c r="J239" s="60">
        <f t="shared" si="40"/>
        <v>1.6694563490018079E-4</v>
      </c>
      <c r="K239" s="60">
        <f t="shared" si="41"/>
        <v>2.8564136472118923E-4</v>
      </c>
      <c r="M239" s="60">
        <f t="shared" si="42"/>
        <v>2.5056760694965493E-5</v>
      </c>
      <c r="N239" s="60">
        <f t="shared" si="43"/>
        <v>-4.063268182063178E-5</v>
      </c>
      <c r="O239" s="60">
        <f t="shared" si="44"/>
        <v>-3.9785502361485167E-5</v>
      </c>
      <c r="P239" s="60">
        <f t="shared" si="45"/>
        <v>-3.0379851185341549E-5</v>
      </c>
      <c r="Q239" s="60">
        <f t="shared" si="46"/>
        <v>-2.1842379522471554E-5</v>
      </c>
      <c r="R239" s="60">
        <f t="shared" si="47"/>
        <v>-7.0994627963476728E-6</v>
      </c>
    </row>
    <row r="240" spans="1:18" x14ac:dyDescent="0.3">
      <c r="A240">
        <f>'Parm VaR Eq Weights'!B239</f>
        <v>7.5914002737062442E-3</v>
      </c>
      <c r="B240">
        <f>'Parm VaR Eq Weights'!C239</f>
        <v>3.9027446527142677E-3</v>
      </c>
      <c r="C240">
        <f>'Parm VaR Eq Weights'!D239</f>
        <v>2.8084707196567364E-2</v>
      </c>
      <c r="D240">
        <f>'Parm VaR Eq Weights'!E239</f>
        <v>1.9388516733875864E-2</v>
      </c>
      <c r="H240" s="60">
        <f t="shared" si="38"/>
        <v>2.3887975276425997E-4</v>
      </c>
      <c r="I240" s="60">
        <f t="shared" si="39"/>
        <v>1.6352447747133449E-4</v>
      </c>
      <c r="J240" s="60">
        <f t="shared" si="40"/>
        <v>1.5711677580347561E-4</v>
      </c>
      <c r="K240" s="60">
        <f t="shared" si="41"/>
        <v>2.6879657495581507E-4</v>
      </c>
      <c r="M240" s="60">
        <f t="shared" si="42"/>
        <v>2.5223503132211362E-5</v>
      </c>
      <c r="N240" s="60">
        <f t="shared" si="43"/>
        <v>-3.8430636138425637E-5</v>
      </c>
      <c r="O240" s="60">
        <f t="shared" si="44"/>
        <v>-3.7693332136393475E-5</v>
      </c>
      <c r="P240" s="60">
        <f t="shared" si="45"/>
        <v>-2.9887138508786502E-5</v>
      </c>
      <c r="Q240" s="60">
        <f t="shared" si="46"/>
        <v>-2.2194806188344995E-5</v>
      </c>
      <c r="R240" s="60">
        <f t="shared" si="47"/>
        <v>-6.4385938139528604E-6</v>
      </c>
    </row>
    <row r="241" spans="1:18" x14ac:dyDescent="0.3">
      <c r="A241">
        <f>'Parm VaR Eq Weights'!B240</f>
        <v>1.3183053048657441E-2</v>
      </c>
      <c r="B241">
        <f>'Parm VaR Eq Weights'!C240</f>
        <v>-7.0262559348948416E-3</v>
      </c>
      <c r="C241">
        <f>'Parm VaR Eq Weights'!D240</f>
        <v>-1.3261080917349038E-2</v>
      </c>
      <c r="D241">
        <f>'Parm VaR Eq Weights'!E240</f>
        <v>-5.5125296190998629E-3</v>
      </c>
      <c r="H241" s="60">
        <f t="shared" si="38"/>
        <v>2.2800472908534201E-4</v>
      </c>
      <c r="I241" s="60">
        <f t="shared" si="39"/>
        <v>1.546268937725118E-4</v>
      </c>
      <c r="J241" s="60">
        <f t="shared" si="40"/>
        <v>1.9501481595428247E-4</v>
      </c>
      <c r="K241" s="60">
        <f t="shared" si="41"/>
        <v>2.7522365532685323E-4</v>
      </c>
      <c r="M241" s="60">
        <f t="shared" si="42"/>
        <v>2.548773075376792E-5</v>
      </c>
      <c r="N241" s="60">
        <f t="shared" si="43"/>
        <v>-2.3332662736181214E-5</v>
      </c>
      <c r="O241" s="60">
        <f t="shared" si="44"/>
        <v>-2.6600572733791656E-5</v>
      </c>
      <c r="P241" s="60">
        <f t="shared" si="45"/>
        <v>-2.1517463748192351E-5</v>
      </c>
      <c r="Q241" s="60">
        <f t="shared" si="46"/>
        <v>-1.6323012016612582E-5</v>
      </c>
      <c r="R241" s="60">
        <f t="shared" si="47"/>
        <v>2.6618970741683358E-5</v>
      </c>
    </row>
    <row r="242" spans="1:18" x14ac:dyDescent="0.3">
      <c r="A242">
        <f>'Parm VaR Eq Weights'!B241</f>
        <v>-1.4157306316348407E-2</v>
      </c>
      <c r="B242">
        <f>'Parm VaR Eq Weights'!C241</f>
        <v>1.0183129996097053E-4</v>
      </c>
      <c r="C242">
        <f>'Parm VaR Eq Weights'!D241</f>
        <v>5.20296686853254E-3</v>
      </c>
      <c r="D242">
        <f>'Parm VaR Eq Weights'!E241</f>
        <v>4.6825568183304633E-3</v>
      </c>
      <c r="H242" s="60">
        <f t="shared" si="38"/>
        <v>2.2475201860124445E-4</v>
      </c>
      <c r="I242" s="60">
        <f t="shared" si="39"/>
        <v>1.4831137649391979E-4</v>
      </c>
      <c r="J242" s="60">
        <f t="shared" si="40"/>
        <v>1.9386530302281424E-4</v>
      </c>
      <c r="K242" s="60">
        <f t="shared" si="41"/>
        <v>2.6053351497532922E-4</v>
      </c>
      <c r="M242" s="60">
        <f t="shared" si="42"/>
        <v>1.8400816625152062E-5</v>
      </c>
      <c r="N242" s="60">
        <f t="shared" si="43"/>
        <v>-3.2421994964967424E-5</v>
      </c>
      <c r="O242" s="60">
        <f t="shared" si="44"/>
        <v>-2.9364856593817496E-5</v>
      </c>
      <c r="P242" s="60">
        <f t="shared" si="45"/>
        <v>-1.4635871013382139E-5</v>
      </c>
      <c r="Q242" s="60">
        <f t="shared" si="46"/>
        <v>-1.3019684658466782E-5</v>
      </c>
      <c r="R242" s="60">
        <f t="shared" si="47"/>
        <v>2.9407958577472354E-5</v>
      </c>
    </row>
    <row r="243" spans="1:18" x14ac:dyDescent="0.3">
      <c r="A243">
        <f>'Parm VaR Eq Weights'!B242</f>
        <v>2.2029128397908779E-3</v>
      </c>
      <c r="B243">
        <f>'Parm VaR Eq Weights'!C242</f>
        <v>4.1758152435672005E-3</v>
      </c>
      <c r="C243">
        <f>'Parm VaR Eq Weights'!D242</f>
        <v>7.603385148326528E-5</v>
      </c>
      <c r="D243">
        <f>'Parm VaR Eq Weights'!E242</f>
        <v>1.337358558683301E-2</v>
      </c>
      <c r="H243" s="60">
        <f t="shared" si="38"/>
        <v>2.232926568132649E-4</v>
      </c>
      <c r="I243" s="60">
        <f t="shared" si="39"/>
        <v>1.3941331608110369E-4</v>
      </c>
      <c r="J243" s="60">
        <f t="shared" si="40"/>
        <v>1.8385763669554822E-4</v>
      </c>
      <c r="K243" s="60">
        <f t="shared" si="41"/>
        <v>2.4621708437822301E-4</v>
      </c>
      <c r="M243" s="60">
        <f t="shared" si="42"/>
        <v>1.7210268213274571E-5</v>
      </c>
      <c r="N243" s="60">
        <f t="shared" si="43"/>
        <v>-3.4896275009767013E-5</v>
      </c>
      <c r="O243" s="60">
        <f t="shared" si="44"/>
        <v>-3.1580508671437056E-5</v>
      </c>
      <c r="P243" s="60">
        <f t="shared" si="45"/>
        <v>-1.3725929259786619E-5</v>
      </c>
      <c r="Q243" s="60">
        <f t="shared" si="46"/>
        <v>-1.2209893728081672E-5</v>
      </c>
      <c r="R243" s="60">
        <f t="shared" si="47"/>
        <v>2.9105272341971688E-5</v>
      </c>
    </row>
    <row r="244" spans="1:18" x14ac:dyDescent="0.3">
      <c r="A244">
        <f>'Parm VaR Eq Weights'!B243</f>
        <v>1.3757255722175522E-3</v>
      </c>
      <c r="B244">
        <f>'Parm VaR Eq Weights'!C243</f>
        <v>8.2631412332662916E-3</v>
      </c>
      <c r="C244">
        <f>'Parm VaR Eq Weights'!D243</f>
        <v>5.9123137387760696E-3</v>
      </c>
      <c r="D244">
        <f>'Parm VaR Eq Weights'!E243</f>
        <v>2.9287690340580271E-4</v>
      </c>
      <c r="H244" s="60">
        <f t="shared" si="38"/>
        <v>2.1018626690325192E-4</v>
      </c>
      <c r="I244" s="60">
        <f t="shared" si="39"/>
        <v>1.3209476309314195E-4</v>
      </c>
      <c r="J244" s="60">
        <f t="shared" si="40"/>
        <v>1.7282652536260962E-4</v>
      </c>
      <c r="K244" s="60">
        <f t="shared" si="41"/>
        <v>2.4217522680243048E-4</v>
      </c>
      <c r="M244" s="60">
        <f t="shared" si="42"/>
        <v>1.6729589541477016E-5</v>
      </c>
      <c r="N244" s="60">
        <f t="shared" si="43"/>
        <v>-3.2792448752319518E-5</v>
      </c>
      <c r="O244" s="60">
        <f t="shared" si="44"/>
        <v>-2.7918027546954229E-5</v>
      </c>
      <c r="P244" s="60">
        <f t="shared" si="45"/>
        <v>-1.2883323305236365E-5</v>
      </c>
      <c r="Q244" s="60">
        <f t="shared" si="46"/>
        <v>-8.1265627511178946E-6</v>
      </c>
      <c r="R244" s="60">
        <f t="shared" si="47"/>
        <v>2.7419966714671868E-5</v>
      </c>
    </row>
    <row r="245" spans="1:18" x14ac:dyDescent="0.3">
      <c r="A245">
        <f>'Parm VaR Eq Weights'!B244</f>
        <v>8.4886941971221846E-3</v>
      </c>
      <c r="B245">
        <f>'Parm VaR Eq Weights'!C244</f>
        <v>8.1954213095193507E-3</v>
      </c>
      <c r="C245">
        <f>'Parm VaR Eq Weights'!D244</f>
        <v>1.7788458628638093E-2</v>
      </c>
      <c r="D245">
        <f>'Parm VaR Eq Weights'!E244</f>
        <v>2.4405349447031353E-2</v>
      </c>
      <c r="H245" s="60">
        <f t="shared" si="38"/>
        <v>1.9768864814006E-4</v>
      </c>
      <c r="I245" s="60">
        <f t="shared" si="39"/>
        <v>1.2826584749000777E-4</v>
      </c>
      <c r="J245" s="60">
        <f t="shared" si="40"/>
        <v>1.6455426106559625E-4</v>
      </c>
      <c r="K245" s="60">
        <f t="shared" si="41"/>
        <v>2.2764985980711753E-4</v>
      </c>
      <c r="M245" s="60">
        <f t="shared" si="42"/>
        <v>1.6407883051075378E-5</v>
      </c>
      <c r="N245" s="60">
        <f t="shared" si="43"/>
        <v>-3.03368785550959E-5</v>
      </c>
      <c r="O245" s="60">
        <f t="shared" si="44"/>
        <v>-2.6218770799405337E-5</v>
      </c>
      <c r="P245" s="60">
        <f t="shared" si="45"/>
        <v>-9.17906690058894E-6</v>
      </c>
      <c r="Q245" s="60">
        <f t="shared" si="46"/>
        <v>-7.49376399304259E-6</v>
      </c>
      <c r="R245" s="60">
        <f t="shared" si="47"/>
        <v>2.5878663520178134E-5</v>
      </c>
    </row>
    <row r="246" spans="1:18" x14ac:dyDescent="0.3">
      <c r="A246">
        <f>'Parm VaR Eq Weights'!B245</f>
        <v>-7.8468274522027516E-3</v>
      </c>
      <c r="B246">
        <f>'Parm VaR Eq Weights'!C245</f>
        <v>2.8189022434818177E-4</v>
      </c>
      <c r="C246">
        <f>'Parm VaR Eq Weights'!D245</f>
        <v>-9.5384914372449274E-3</v>
      </c>
      <c r="D246">
        <f>'Parm VaR Eq Weights'!E245</f>
        <v>1.6936111334382688E-2</v>
      </c>
      <c r="H246" s="60">
        <f t="shared" si="38"/>
        <v>1.9015080500199173E-4</v>
      </c>
      <c r="I246" s="60">
        <f t="shared" si="39"/>
        <v>1.2459979246703872E-4</v>
      </c>
      <c r="J246" s="60">
        <f t="shared" si="40"/>
        <v>1.7366676102462662E-4</v>
      </c>
      <c r="K246" s="60">
        <f t="shared" si="41"/>
        <v>2.4972813311659333E-4</v>
      </c>
      <c r="M246" s="60">
        <f t="shared" si="42"/>
        <v>1.959751558679616E-5</v>
      </c>
      <c r="N246" s="60">
        <f t="shared" si="43"/>
        <v>-1.9456618709590043E-5</v>
      </c>
      <c r="O246" s="60">
        <f t="shared" si="44"/>
        <v>-1.2215471657655754E-5</v>
      </c>
      <c r="P246" s="60">
        <f t="shared" si="45"/>
        <v>1.1871188796504481E-7</v>
      </c>
      <c r="Q246" s="60">
        <f t="shared" si="46"/>
        <v>4.956589102008E-6</v>
      </c>
      <c r="R246" s="60">
        <f t="shared" si="47"/>
        <v>5.0373956646325836E-5</v>
      </c>
    </row>
    <row r="247" spans="1:18" x14ac:dyDescent="0.3">
      <c r="A247">
        <f>'Parm VaR Eq Weights'!B246</f>
        <v>-1.4562467073728508E-3</v>
      </c>
      <c r="B247">
        <f>'Parm VaR Eq Weights'!C246</f>
        <v>-1.6419956536111711E-3</v>
      </c>
      <c r="C247">
        <f>'Parm VaR Eq Weights'!D246</f>
        <v>2.1593574806105915E-3</v>
      </c>
      <c r="D247">
        <f>'Parm VaR Eq Weights'!E246</f>
        <v>-6.5903575846912909E-3</v>
      </c>
      <c r="H247" s="60">
        <f t="shared" si="38"/>
        <v>1.824361187657508E-4</v>
      </c>
      <c r="I247" s="60">
        <f t="shared" si="39"/>
        <v>1.1712857264493137E-4</v>
      </c>
      <c r="J247" s="60">
        <f t="shared" si="40"/>
        <v>1.6870572449705272E-4</v>
      </c>
      <c r="K247" s="60">
        <f t="shared" si="41"/>
        <v>2.5195435715743409E-4</v>
      </c>
      <c r="M247" s="60">
        <f t="shared" si="42"/>
        <v>1.8288948014533017E-5</v>
      </c>
      <c r="N247" s="60">
        <f t="shared" si="43"/>
        <v>-1.379840779927217E-5</v>
      </c>
      <c r="O247" s="60">
        <f t="shared" si="44"/>
        <v>-1.945622795932819E-5</v>
      </c>
      <c r="P247" s="60">
        <f t="shared" si="45"/>
        <v>-4.9739274784149017E-8</v>
      </c>
      <c r="Q247" s="60">
        <f t="shared" si="46"/>
        <v>4.945641209305615E-6</v>
      </c>
      <c r="R247" s="60">
        <f t="shared" si="47"/>
        <v>3.7658822070952107E-5</v>
      </c>
    </row>
    <row r="248" spans="1:18" x14ac:dyDescent="0.3">
      <c r="A248">
        <f>'Parm VaR Eq Weights'!B247</f>
        <v>1.5549260984848464E-2</v>
      </c>
      <c r="B248">
        <f>'Parm VaR Eq Weights'!C247</f>
        <v>4.0378909772241069E-3</v>
      </c>
      <c r="C248">
        <f>'Parm VaR Eq Weights'!D247</f>
        <v>-5.5746141851388559E-3</v>
      </c>
      <c r="D248">
        <f>'Parm VaR Eq Weights'!E247</f>
        <v>-3.8810012586729033E-4</v>
      </c>
      <c r="H248" s="60">
        <f t="shared" si="38"/>
        <v>1.716171909081698E-4</v>
      </c>
      <c r="I248" s="60">
        <f t="shared" si="39"/>
        <v>1.1026262726982416E-4</v>
      </c>
      <c r="J248" s="60">
        <f t="shared" si="40"/>
        <v>1.5886315051097369E-4</v>
      </c>
      <c r="K248" s="60">
        <f t="shared" si="41"/>
        <v>2.3944306451363393E-4</v>
      </c>
      <c r="M248" s="60">
        <f t="shared" si="42"/>
        <v>1.7335080179506541E-5</v>
      </c>
      <c r="N248" s="60">
        <f t="shared" si="43"/>
        <v>-1.3159176764586647E-5</v>
      </c>
      <c r="O248" s="60">
        <f t="shared" si="44"/>
        <v>-1.7713023089781512E-5</v>
      </c>
      <c r="P248" s="60">
        <f t="shared" si="45"/>
        <v>-2.5949425416242183E-7</v>
      </c>
      <c r="Q248" s="60">
        <f t="shared" si="46"/>
        <v>5.2981830473356694E-6</v>
      </c>
      <c r="R248" s="60">
        <f t="shared" si="47"/>
        <v>3.4545436469670867E-5</v>
      </c>
    </row>
    <row r="249" spans="1:18" x14ac:dyDescent="0.3">
      <c r="A249">
        <f>'Parm VaR Eq Weights'!B248</f>
        <v>8.5973960122815839E-3</v>
      </c>
      <c r="B249">
        <f>'Parm VaR Eq Weights'!C248</f>
        <v>1.0839008938588189E-2</v>
      </c>
      <c r="C249">
        <f>'Parm VaR Eq Weights'!D248</f>
        <v>-2.7757685024655592E-3</v>
      </c>
      <c r="D249">
        <f>'Parm VaR Eq Weights'!E248</f>
        <v>-7.4053346894089175E-3</v>
      </c>
      <c r="H249" s="60">
        <f t="shared" si="38"/>
        <v>1.7582693048417543E-4</v>
      </c>
      <c r="I249" s="60">
        <f t="shared" si="39"/>
        <v>1.0462514344627158E-4</v>
      </c>
      <c r="J249" s="60">
        <f t="shared" si="40"/>
        <v>1.5119594087910436E-4</v>
      </c>
      <c r="K249" s="60">
        <f t="shared" si="41"/>
        <v>2.2508551794527776E-4</v>
      </c>
      <c r="M249" s="60">
        <f t="shared" si="42"/>
        <v>2.0062148606729497E-5</v>
      </c>
      <c r="N249" s="60">
        <f t="shared" si="43"/>
        <v>-1.7570494009985198E-5</v>
      </c>
      <c r="O249" s="60">
        <f t="shared" si="44"/>
        <v>-1.7012321913116402E-5</v>
      </c>
      <c r="P249" s="60">
        <f t="shared" si="45"/>
        <v>-1.59450565809334E-6</v>
      </c>
      <c r="Q249" s="60">
        <f t="shared" si="46"/>
        <v>4.8862657047055846E-6</v>
      </c>
      <c r="R249" s="60">
        <f t="shared" si="47"/>
        <v>3.2602520789505457E-5</v>
      </c>
    </row>
    <row r="250" spans="1:18" x14ac:dyDescent="0.3">
      <c r="A250">
        <f>'Parm VaR Eq Weights'!B249</f>
        <v>8.9860985612083815E-4</v>
      </c>
      <c r="B250">
        <f>'Parm VaR Eq Weights'!C249</f>
        <v>-4.1980786612185323E-4</v>
      </c>
      <c r="C250">
        <f>'Parm VaR Eq Weights'!D249</f>
        <v>-3.4453069523142578E-3</v>
      </c>
      <c r="D250">
        <f>'Parm VaR Eq Weights'!E249</f>
        <v>-1.1411869429224715E-2</v>
      </c>
      <c r="H250" s="60">
        <f t="shared" si="38"/>
        <v>1.6971222774664463E-4</v>
      </c>
      <c r="I250" s="60">
        <f t="shared" si="39"/>
        <v>1.0539668172574296E-4</v>
      </c>
      <c r="J250" s="60">
        <f t="shared" si="40"/>
        <v>1.4258647787311488E-4</v>
      </c>
      <c r="K250" s="60">
        <f t="shared" si="41"/>
        <v>2.1487072578029088E-4</v>
      </c>
      <c r="M250" s="60">
        <f t="shared" si="42"/>
        <v>2.4449654823867885E-5</v>
      </c>
      <c r="N250" s="60">
        <f t="shared" si="43"/>
        <v>-1.7948127232632939E-5</v>
      </c>
      <c r="O250" s="60">
        <f t="shared" si="44"/>
        <v>-1.9811578294029502E-5</v>
      </c>
      <c r="P250" s="60">
        <f t="shared" si="45"/>
        <v>-3.3040300951882857E-6</v>
      </c>
      <c r="Q250" s="60">
        <f t="shared" si="46"/>
        <v>-2.2289957108118159E-7</v>
      </c>
      <c r="R250" s="60">
        <f t="shared" si="47"/>
        <v>3.1879699228999745E-5</v>
      </c>
    </row>
    <row r="251" spans="1:18" x14ac:dyDescent="0.3">
      <c r="A251">
        <f>'Parm VaR Eq Weights'!B250</f>
        <v>6.7762366585587671E-3</v>
      </c>
      <c r="B251">
        <f>'Parm VaR Eq Weights'!C250</f>
        <v>2.1292204754246439E-3</v>
      </c>
      <c r="C251">
        <f>'Parm VaR Eq Weights'!D250</f>
        <v>-1.4205965762315196E-3</v>
      </c>
      <c r="D251">
        <f>'Parm VaR Eq Weights'!E250</f>
        <v>1.2630359662902116E-2</v>
      </c>
      <c r="H251" s="60">
        <f t="shared" si="38"/>
        <v>1.5957794406225699E-4</v>
      </c>
      <c r="I251" s="60">
        <f t="shared" si="39"/>
        <v>9.9083455140865832E-5</v>
      </c>
      <c r="J251" s="60">
        <f t="shared" si="40"/>
        <v>1.3474349760046788E-4</v>
      </c>
      <c r="K251" s="60">
        <f t="shared" si="41"/>
        <v>2.0979232806565384E-4</v>
      </c>
      <c r="M251" s="60">
        <f t="shared" si="42"/>
        <v>2.2960040925265364E-5</v>
      </c>
      <c r="N251" s="60">
        <f t="shared" si="43"/>
        <v>-1.7056998805757636E-5</v>
      </c>
      <c r="O251" s="60">
        <f t="shared" si="44"/>
        <v>-1.9238172697139657E-5</v>
      </c>
      <c r="P251" s="60">
        <f t="shared" si="45"/>
        <v>-3.0190062718898384E-6</v>
      </c>
      <c r="Q251" s="60">
        <f t="shared" si="46"/>
        <v>7.7921956396331878E-8</v>
      </c>
      <c r="R251" s="60">
        <f t="shared" si="47"/>
        <v>3.2325960860264387E-5</v>
      </c>
    </row>
    <row r="252" spans="1:18" x14ac:dyDescent="0.3">
      <c r="A252">
        <f>'Parm VaR Eq Weights'!B251</f>
        <v>4.7084203830329279E-3</v>
      </c>
      <c r="B252">
        <f>'Parm VaR Eq Weights'!C251</f>
        <v>-7.1830358994200887E-4</v>
      </c>
      <c r="C252">
        <f>'Parm VaR Eq Weights'!D251</f>
        <v>1.4705750716619982E-2</v>
      </c>
      <c r="D252">
        <f>'Parm VaR Eq Weights'!E251</f>
        <v>2.3052712456840107E-3</v>
      </c>
      <c r="H252" s="60">
        <f t="shared" si="38"/>
        <v>1.5275831041368929E-4</v>
      </c>
      <c r="I252" s="60">
        <f t="shared" si="39"/>
        <v>9.3410462622391935E-5</v>
      </c>
      <c r="J252" s="60">
        <f t="shared" si="40"/>
        <v>1.2677997342238384E-4</v>
      </c>
      <c r="K252" s="60">
        <f t="shared" si="41"/>
        <v>2.0677634749457049E-4</v>
      </c>
      <c r="M252" s="60">
        <f t="shared" si="42"/>
        <v>2.2448124580133027E-5</v>
      </c>
      <c r="N252" s="60">
        <f t="shared" si="43"/>
        <v>-1.6611156793225163E-5</v>
      </c>
      <c r="O252" s="60">
        <f t="shared" si="44"/>
        <v>-1.2948703965798915E-5</v>
      </c>
      <c r="P252" s="60">
        <f t="shared" si="45"/>
        <v>-3.0193516946222657E-6</v>
      </c>
      <c r="Q252" s="60">
        <f t="shared" si="46"/>
        <v>1.6868158633862749E-6</v>
      </c>
      <c r="R252" s="60">
        <f t="shared" si="47"/>
        <v>2.9309844467027034E-5</v>
      </c>
    </row>
    <row r="253" spans="1:18" x14ac:dyDescent="0.3">
      <c r="A253">
        <f>'Parm VaR Eq Weights'!B252</f>
        <v>-2.2244380717381562E-3</v>
      </c>
      <c r="B253">
        <f>'Parm VaR Eq Weights'!C252</f>
        <v>-7.1881992087169291E-4</v>
      </c>
      <c r="C253">
        <f>'Parm VaR Eq Weights'!D252</f>
        <v>-8.0281447541892467E-3</v>
      </c>
      <c r="D253">
        <f>'Parm VaR Eq Weights'!E252</f>
        <v>-4.5990876795641762E-4</v>
      </c>
      <c r="H253" s="60">
        <f t="shared" si="38"/>
        <v>1.4492296513906951E-4</v>
      </c>
      <c r="I253" s="60">
        <f t="shared" si="39"/>
        <v>8.7836792467887824E-5</v>
      </c>
      <c r="J253" s="60">
        <f t="shared" si="40"/>
        <v>1.3214872126540296E-4</v>
      </c>
      <c r="K253" s="60">
        <f t="shared" si="41"/>
        <v>1.9468862317586691E-4</v>
      </c>
      <c r="M253" s="60">
        <f t="shared" si="42"/>
        <v>2.0898312589479724E-5</v>
      </c>
      <c r="N253" s="60">
        <f t="shared" si="43"/>
        <v>-1.1460036000315573E-5</v>
      </c>
      <c r="O253" s="60">
        <f t="shared" si="44"/>
        <v>-1.1520530560555079E-5</v>
      </c>
      <c r="P253" s="60">
        <f t="shared" si="45"/>
        <v>-3.4719822048973545E-6</v>
      </c>
      <c r="Q253" s="60">
        <f t="shared" si="46"/>
        <v>1.4862538348892036E-6</v>
      </c>
      <c r="R253" s="60">
        <f t="shared" si="47"/>
        <v>2.9585298455398676E-5</v>
      </c>
    </row>
    <row r="254" spans="1:18" x14ac:dyDescent="0.3">
      <c r="A254">
        <f>'Parm VaR Eq Weights'!B253</f>
        <v>-9.3571399280226886E-3</v>
      </c>
      <c r="B254">
        <f>'Parm VaR Eq Weights'!C253</f>
        <v>-1.316524865832205E-4</v>
      </c>
      <c r="C254">
        <f>'Parm VaR Eq Weights'!D253</f>
        <v>-2.1895600527670492E-2</v>
      </c>
      <c r="D254">
        <f>'Parm VaR Eq Weights'!E253</f>
        <v>-1.1330420319227251E-2</v>
      </c>
      <c r="H254" s="60">
        <f t="shared" si="38"/>
        <v>1.3652447471482521E-4</v>
      </c>
      <c r="I254" s="60">
        <f t="shared" si="39"/>
        <v>8.259758704453307E-5</v>
      </c>
      <c r="J254" s="60">
        <f t="shared" si="40"/>
        <v>1.2808686448113177E-4</v>
      </c>
      <c r="K254" s="60">
        <f t="shared" si="41"/>
        <v>1.8301999674980547E-4</v>
      </c>
      <c r="M254" s="60">
        <f t="shared" si="42"/>
        <v>1.9740352058033585E-5</v>
      </c>
      <c r="N254" s="60">
        <f t="shared" si="43"/>
        <v>-9.7009471900980246E-6</v>
      </c>
      <c r="O254" s="60">
        <f t="shared" si="44"/>
        <v>-1.0767916412543668E-5</v>
      </c>
      <c r="P254" s="60">
        <f t="shared" si="45"/>
        <v>-2.917415849986344E-6</v>
      </c>
      <c r="Q254" s="60">
        <f t="shared" si="46"/>
        <v>1.4169140998472893E-6</v>
      </c>
      <c r="R254" s="60">
        <f t="shared" si="47"/>
        <v>2.8031713397847252E-5</v>
      </c>
    </row>
    <row r="255" spans="1:18" x14ac:dyDescent="0.3">
      <c r="A255">
        <f>'Parm VaR Eq Weights'!B254</f>
        <v>6.7620109268722505E-4</v>
      </c>
      <c r="B255">
        <f>'Parm VaR Eq Weights'!C254</f>
        <v>7.0678189038045252E-3</v>
      </c>
      <c r="C255">
        <f>'Parm VaR Eq Weights'!D254</f>
        <v>-1.6218687196959208E-2</v>
      </c>
      <c r="D255">
        <f>'Parm VaR Eq Weights'!E254</f>
        <v>9.5077543026892003E-3</v>
      </c>
      <c r="H255" s="60">
        <f t="shared" si="38"/>
        <v>1.3358637028989149E-4</v>
      </c>
      <c r="I255" s="60">
        <f t="shared" si="39"/>
        <v>7.7642771764494501E-5</v>
      </c>
      <c r="J255" s="60">
        <f t="shared" si="40"/>
        <v>1.4916669196030335E-4</v>
      </c>
      <c r="K255" s="60">
        <f t="shared" si="41"/>
        <v>1.7974150242143863E-4</v>
      </c>
      <c r="M255" s="60">
        <f t="shared" si="42"/>
        <v>1.8629844378881448E-5</v>
      </c>
      <c r="N255" s="60">
        <f t="shared" si="43"/>
        <v>3.1739215180378824E-6</v>
      </c>
      <c r="O255" s="60">
        <f t="shared" si="44"/>
        <v>-3.7606217255717879E-6</v>
      </c>
      <c r="P255" s="60">
        <f t="shared" si="45"/>
        <v>-2.5694142837051216E-6</v>
      </c>
      <c r="Q255" s="60">
        <f t="shared" si="46"/>
        <v>1.4213999344000107E-6</v>
      </c>
      <c r="R255" s="60">
        <f t="shared" si="47"/>
        <v>4.1234992021200468E-5</v>
      </c>
    </row>
    <row r="256" spans="1:18" x14ac:dyDescent="0.3">
      <c r="A256">
        <f>'Parm VaR Eq Weights'!B255</f>
        <v>7.091030928124373E-4</v>
      </c>
      <c r="B256">
        <f>'Parm VaR Eq Weights'!C255</f>
        <v>9.7677623779762702E-4</v>
      </c>
      <c r="C256">
        <f>'Parm VaR Eq Weights'!D255</f>
        <v>1.28427588215168E-2</v>
      </c>
      <c r="D256">
        <f>'Parm VaR Eq Weights'!E255</f>
        <v>-1.6940878077639503E-3</v>
      </c>
      <c r="H256" s="60">
        <f t="shared" si="38"/>
        <v>1.2559862294756309E-4</v>
      </c>
      <c r="I256" s="60">
        <f t="shared" si="39"/>
        <v>7.5981449302043422E-5</v>
      </c>
      <c r="J256" s="60">
        <f t="shared" si="40"/>
        <v>1.5599943930625368E-4</v>
      </c>
      <c r="K256" s="60">
        <f t="shared" si="41"/>
        <v>1.7438085578897061E-4</v>
      </c>
      <c r="M256" s="60">
        <f t="shared" si="42"/>
        <v>1.7798809728088645E-5</v>
      </c>
      <c r="N256" s="60">
        <f t="shared" si="43"/>
        <v>2.3254605866834412E-6</v>
      </c>
      <c r="O256" s="60">
        <f t="shared" si="44"/>
        <v>-3.1492351911286738E-6</v>
      </c>
      <c r="P256" s="60">
        <f t="shared" si="45"/>
        <v>-9.2930940646164635E-6</v>
      </c>
      <c r="Q256" s="60">
        <f t="shared" si="46"/>
        <v>5.368061073932546E-6</v>
      </c>
      <c r="R256" s="60">
        <f t="shared" si="47"/>
        <v>2.9508694921076876E-5</v>
      </c>
    </row>
    <row r="257" spans="1:18" x14ac:dyDescent="0.3">
      <c r="A257">
        <f>'Parm VaR Eq Weights'!B256</f>
        <v>1.2890224506745563E-2</v>
      </c>
      <c r="B257">
        <f>'Parm VaR Eq Weights'!C256</f>
        <v>1.1581269506858866E-2</v>
      </c>
      <c r="C257">
        <f>'Parm VaR Eq Weights'!D256</f>
        <v>1.0032651198764179E-2</v>
      </c>
      <c r="D257">
        <f>'Parm VaR Eq Weights'!E256</f>
        <v>1.1990771501058846E-2</v>
      </c>
      <c r="H257" s="60">
        <f t="shared" si="38"/>
        <v>1.1809287520248348E-4</v>
      </c>
      <c r="I257" s="60">
        <f t="shared" si="39"/>
        <v>7.1479807853044373E-5</v>
      </c>
      <c r="J257" s="60">
        <f t="shared" si="40"/>
        <v>1.5653566019673733E-4</v>
      </c>
      <c r="K257" s="60">
        <f t="shared" si="41"/>
        <v>1.6409020045165721E-4</v>
      </c>
      <c r="M257" s="60">
        <f t="shared" si="42"/>
        <v>1.6772439247475806E-5</v>
      </c>
      <c r="N257" s="60">
        <f t="shared" si="43"/>
        <v>2.7323433515173418E-6</v>
      </c>
      <c r="O257" s="60">
        <f t="shared" si="44"/>
        <v>-3.0323580538998287E-6</v>
      </c>
      <c r="P257" s="60">
        <f t="shared" si="45"/>
        <v>-7.9828383220620671E-6</v>
      </c>
      <c r="Q257" s="60">
        <f t="shared" si="46"/>
        <v>4.9466927265746023E-6</v>
      </c>
      <c r="R257" s="60">
        <f t="shared" si="47"/>
        <v>2.643276755755719E-5</v>
      </c>
    </row>
    <row r="258" spans="1:18" x14ac:dyDescent="0.3">
      <c r="A258">
        <f>'Parm VaR Eq Weights'!B257</f>
        <v>3.023994731897068E-3</v>
      </c>
      <c r="B258">
        <f>'Parm VaR Eq Weights'!C257</f>
        <v>-2.2998107334257453E-3</v>
      </c>
      <c r="C258">
        <f>'Parm VaR Eq Weights'!D257</f>
        <v>4.5859721842528524E-3</v>
      </c>
      <c r="D258">
        <f>'Parm VaR Eq Weights'!E257</f>
        <v>-1.016771515970398E-3</v>
      </c>
      <c r="H258" s="60">
        <f t="shared" si="38"/>
        <v>1.209767759603927E-4</v>
      </c>
      <c r="I258" s="60">
        <f t="shared" si="39"/>
        <v>7.5238567585291647E-5</v>
      </c>
      <c r="J258" s="60">
        <f t="shared" si="40"/>
        <v>1.5318276598949695E-4</v>
      </c>
      <c r="K258" s="60">
        <f t="shared" si="41"/>
        <v>1.6287150449599406E-4</v>
      </c>
      <c r="M258" s="60">
        <f t="shared" si="42"/>
        <v>2.4723202733619497E-5</v>
      </c>
      <c r="N258" s="60">
        <f t="shared" si="43"/>
        <v>1.0327790331422724E-5</v>
      </c>
      <c r="O258" s="60">
        <f t="shared" si="44"/>
        <v>6.4234076287982704E-6</v>
      </c>
      <c r="P258" s="60">
        <f t="shared" si="45"/>
        <v>-5.3241777866641851E-7</v>
      </c>
      <c r="Q258" s="60">
        <f t="shared" si="46"/>
        <v>1.2981992543915641E-5</v>
      </c>
      <c r="R258" s="60">
        <f t="shared" si="47"/>
        <v>3.2064755188556089E-5</v>
      </c>
    </row>
    <row r="259" spans="1:18" x14ac:dyDescent="0.3">
      <c r="A259">
        <f>'Parm VaR Eq Weights'!B258</f>
        <v>-2.6516416178183084E-3</v>
      </c>
      <c r="B259">
        <f>'Parm VaR Eq Weights'!C258</f>
        <v>-1.8683525191049166E-2</v>
      </c>
      <c r="C259">
        <f>'Parm VaR Eq Weights'!D258</f>
        <v>-4.562523798752896E-3</v>
      </c>
      <c r="D259">
        <f>'Parm VaR Eq Weights'!E258</f>
        <v>1.7309145088604143E-2</v>
      </c>
      <c r="H259" s="60">
        <f t="shared" si="38"/>
        <v>1.1426684205108162E-4</v>
      </c>
      <c r="I259" s="60">
        <f t="shared" si="39"/>
        <v>7.1041601294748963E-5</v>
      </c>
      <c r="J259" s="60">
        <f t="shared" si="40"/>
        <v>1.4525366848261158E-4</v>
      </c>
      <c r="K259" s="60">
        <f t="shared" si="41"/>
        <v>1.5316124368517574E-4</v>
      </c>
      <c r="M259" s="60">
        <f t="shared" si="42"/>
        <v>2.2822533637067938E-5</v>
      </c>
      <c r="N259" s="60">
        <f t="shared" si="43"/>
        <v>1.0540200255085788E-5</v>
      </c>
      <c r="O259" s="60">
        <f t="shared" si="44"/>
        <v>5.8535204686001255E-6</v>
      </c>
      <c r="P259" s="60">
        <f t="shared" si="45"/>
        <v>-1.1332847950986309E-6</v>
      </c>
      <c r="Q259" s="60">
        <f t="shared" si="46"/>
        <v>1.2343375914032919E-5</v>
      </c>
      <c r="R259" s="60">
        <f t="shared" si="47"/>
        <v>2.986109672384387E-5</v>
      </c>
    </row>
    <row r="260" spans="1:18" x14ac:dyDescent="0.3">
      <c r="A260">
        <f>'Parm VaR Eq Weights'!B259</f>
        <v>1.0878752906358192E-2</v>
      </c>
      <c r="B260">
        <f>'Parm VaR Eq Weights'!C259</f>
        <v>1.599127210846122E-2</v>
      </c>
      <c r="C260">
        <f>'Parm VaR Eq Weights'!D259</f>
        <v>2.0015933566358682E-2</v>
      </c>
      <c r="D260">
        <f>'Parm VaR Eq Weights'!E259</f>
        <v>-4.478003712263103E-3</v>
      </c>
      <c r="H260" s="60">
        <f t="shared" si="38"/>
        <v>1.0783270372417749E-4</v>
      </c>
      <c r="I260" s="60">
        <f t="shared" si="39"/>
        <v>8.772355203093816E-5</v>
      </c>
      <c r="J260" s="60">
        <f t="shared" si="40"/>
        <v>1.3778744577850607E-4</v>
      </c>
      <c r="K260" s="60">
        <f t="shared" si="41"/>
        <v>1.6194795928596613E-4</v>
      </c>
      <c r="M260" s="60">
        <f t="shared" si="42"/>
        <v>2.4425702396692429E-5</v>
      </c>
      <c r="N260" s="60">
        <f t="shared" si="43"/>
        <v>1.0633678919004221E-5</v>
      </c>
      <c r="O260" s="60">
        <f t="shared" si="44"/>
        <v>2.7484502713362286E-6</v>
      </c>
      <c r="P260" s="60">
        <f t="shared" si="45"/>
        <v>4.0493539923329556E-6</v>
      </c>
      <c r="Q260" s="60">
        <f t="shared" si="46"/>
        <v>-7.8009775387166991E-6</v>
      </c>
      <c r="R260" s="60">
        <f t="shared" si="47"/>
        <v>2.3331027736243841E-5</v>
      </c>
    </row>
    <row r="261" spans="1:18" x14ac:dyDescent="0.3">
      <c r="A261">
        <f>'Parm VaR Eq Weights'!B260</f>
        <v>1.4987432818573409E-3</v>
      </c>
      <c r="B261">
        <f>'Parm VaR Eq Weights'!C260</f>
        <v>-4.1937018395000573E-3</v>
      </c>
      <c r="C261">
        <f>'Parm VaR Eq Weights'!D260</f>
        <v>-1.7274263160939034E-3</v>
      </c>
      <c r="D261">
        <f>'Parm VaR Eq Weights'!E260</f>
        <v>-2.7104607425208309E-2</v>
      </c>
      <c r="H261" s="60">
        <f t="shared" si="38"/>
        <v>1.0846357738858265E-4</v>
      </c>
      <c r="I261" s="60">
        <f t="shared" si="39"/>
        <v>9.7803385927892859E-5</v>
      </c>
      <c r="J261" s="60">
        <f t="shared" si="40"/>
        <v>1.5355845482376877E-4</v>
      </c>
      <c r="K261" s="60">
        <f t="shared" si="41"/>
        <v>1.534342327636307E-4</v>
      </c>
      <c r="M261" s="60">
        <f t="shared" si="42"/>
        <v>3.339806612846812E-5</v>
      </c>
      <c r="N261" s="60">
        <f t="shared" si="43"/>
        <v>2.3060561911373801E-5</v>
      </c>
      <c r="O261" s="60">
        <f t="shared" si="44"/>
        <v>-3.3936249891184812E-7</v>
      </c>
      <c r="P261" s="60">
        <f t="shared" si="45"/>
        <v>2.3011207162664455E-5</v>
      </c>
      <c r="Q261" s="60">
        <f t="shared" si="46"/>
        <v>-1.1629457438323626E-5</v>
      </c>
      <c r="R261" s="60">
        <f t="shared" si="47"/>
        <v>1.6553280583195257E-5</v>
      </c>
    </row>
    <row r="262" spans="1:18" x14ac:dyDescent="0.3">
      <c r="A262">
        <f>'Parm VaR Eq Weights'!B261</f>
        <v>1.7771106074729415E-3</v>
      </c>
      <c r="B262">
        <f>'Parm VaR Eq Weights'!C261</f>
        <v>1.0128900260104979E-2</v>
      </c>
      <c r="C262">
        <f>'Parm VaR Eq Weights'!D261</f>
        <v>1.3276578974736905E-3</v>
      </c>
      <c r="D262">
        <f>'Parm VaR Eq Weights'!E261</f>
        <v>2.5218454917804233E-2</v>
      </c>
      <c r="H262" s="60">
        <f t="shared" ref="H262:H325" si="48">H261*$F$3+A261^2*(1-$F$3)</f>
        <v>1.0209053663076243E-4</v>
      </c>
      <c r="I262" s="60">
        <f t="shared" ref="I262:I325" si="49">I261*$F$3+B261^2*(1-$F$3)</f>
        <v>9.299041087933685E-5</v>
      </c>
      <c r="J262" s="60">
        <f t="shared" ref="J262:J325" si="50">J261*$F$3+C261^2*(1-$F$3)</f>
        <v>1.4452398763499465E-4</v>
      </c>
      <c r="K262" s="60">
        <f t="shared" ref="K262:K325" si="51">K261*$F$3+D261^2*(1-$F$3)</f>
        <v>1.8830776341829234E-4</v>
      </c>
      <c r="M262" s="60">
        <f t="shared" ref="M262:M325" si="52">M261*$F$3+A261*B261*(1-$F$3)</f>
        <v>3.1017065213276224E-5</v>
      </c>
      <c r="N262" s="60">
        <f t="shared" ref="N262:N325" si="53">N261*$F$3+A261*C261*(1-$F$3)</f>
        <v>2.1521590081522415E-5</v>
      </c>
      <c r="O262" s="60">
        <f t="shared" ref="O262:O325" si="54">O261*$F$3+A261*D261*(1-$F$3)</f>
        <v>-2.7563716461318325E-6</v>
      </c>
      <c r="P262" s="60">
        <f t="shared" ref="P262:P325" si="55">P261*$F$3+B261*C261*(1-$F$3)</f>
        <v>2.2065193388068817E-5</v>
      </c>
      <c r="Q262" s="60">
        <f t="shared" ref="Q262:Q325" si="56">Q261*$F$3+B261*D261*(1-$F$3)</f>
        <v>-4.1115714709428212E-6</v>
      </c>
      <c r="R262" s="60">
        <f t="shared" ref="R262:R325" si="57">R261*$F$3+C261*D261*(1-$F$3)</f>
        <v>1.8369356477425486E-5</v>
      </c>
    </row>
    <row r="263" spans="1:18" x14ac:dyDescent="0.3">
      <c r="A263">
        <f>'Parm VaR Eq Weights'!B262</f>
        <v>-3.5264366620445247E-3</v>
      </c>
      <c r="B263">
        <f>'Parm VaR Eq Weights'!C262</f>
        <v>4.0635805094801922E-3</v>
      </c>
      <c r="C263">
        <f>'Parm VaR Eq Weights'!D262</f>
        <v>1.0782031014681422E-2</v>
      </c>
      <c r="D263">
        <f>'Parm VaR Eq Weights'!E262</f>
        <v>2.8078312499951494E-3</v>
      </c>
      <c r="H263" s="60">
        <f t="shared" si="48"/>
        <v>9.6154591759588245E-5</v>
      </c>
      <c r="I263" s="60">
        <f t="shared" si="49"/>
        <v>9.356666345532592E-5</v>
      </c>
      <c r="J263" s="60">
        <f t="shared" si="50"/>
        <v>1.3595830890645842E-4</v>
      </c>
      <c r="K263" s="60">
        <f t="shared" si="51"/>
        <v>2.1516752571967428E-4</v>
      </c>
      <c r="M263" s="60">
        <f t="shared" si="52"/>
        <v>3.0236051866135728E-5</v>
      </c>
      <c r="N263" s="60">
        <f t="shared" si="53"/>
        <v>2.0371858372592811E-5</v>
      </c>
      <c r="O263" s="60">
        <f t="shared" si="54"/>
        <v>9.7969676946564254E-8</v>
      </c>
      <c r="P263" s="60">
        <f t="shared" si="55"/>
        <v>2.1548144650167791E-5</v>
      </c>
      <c r="Q263" s="60">
        <f t="shared" si="56"/>
        <v>1.1461235691897342E-5</v>
      </c>
      <c r="R263" s="60">
        <f t="shared" si="57"/>
        <v>1.9276083938802377E-5</v>
      </c>
    </row>
    <row r="264" spans="1:18" x14ac:dyDescent="0.3">
      <c r="A264">
        <f>'Parm VaR Eq Weights'!B263</f>
        <v>6.4111023720301256E-3</v>
      </c>
      <c r="B264">
        <f>'Parm VaR Eq Weights'!C263</f>
        <v>6.5100028050298431E-3</v>
      </c>
      <c r="C264">
        <f>'Parm VaR Eq Weights'!D263</f>
        <v>4.690692694534454E-3</v>
      </c>
      <c r="D264">
        <f>'Parm VaR Eq Weights'!E263</f>
        <v>2.7284881124024708E-3</v>
      </c>
      <c r="H264" s="60">
        <f t="shared" si="48"/>
        <v>9.1131461585897656E-5</v>
      </c>
      <c r="I264" s="60">
        <f t="shared" si="49"/>
        <v>8.8943424841427993E-5</v>
      </c>
      <c r="J264" s="60">
        <f t="shared" si="50"/>
        <v>1.3477594194016406E-4</v>
      </c>
      <c r="K264" s="60">
        <f t="shared" si="51"/>
        <v>2.0273050915620077E-4</v>
      </c>
      <c r="M264" s="60">
        <f t="shared" si="52"/>
        <v>2.7562091196899551E-5</v>
      </c>
      <c r="N264" s="60">
        <f t="shared" si="53"/>
        <v>1.6868217902548817E-5</v>
      </c>
      <c r="O264" s="60">
        <f t="shared" si="54"/>
        <v>-5.0200684731926215E-7</v>
      </c>
      <c r="P264" s="60">
        <f t="shared" si="55"/>
        <v>2.2884075036189948E-5</v>
      </c>
      <c r="Q264" s="60">
        <f t="shared" si="56"/>
        <v>1.1458152450866883E-5</v>
      </c>
      <c r="R264" s="60">
        <f t="shared" si="57"/>
        <v>1.99359663197606E-5</v>
      </c>
    </row>
    <row r="265" spans="1:18" x14ac:dyDescent="0.3">
      <c r="A265">
        <f>'Parm VaR Eq Weights'!B264</f>
        <v>1.2318623740310147E-3</v>
      </c>
      <c r="B265">
        <f>'Parm VaR Eq Weights'!C264</f>
        <v>4.9624690235842688E-3</v>
      </c>
      <c r="C265">
        <f>'Parm VaR Eq Weights'!D264</f>
        <v>9.0041962215753443E-4</v>
      </c>
      <c r="D265">
        <f>'Parm VaR Eq Weights'!E264</f>
        <v>-1.7627035536076936E-2</v>
      </c>
      <c r="H265" s="60">
        <f t="shared" si="48"/>
        <v>8.8129707908222814E-5</v>
      </c>
      <c r="I265" s="60">
        <f t="shared" si="49"/>
        <v>8.6149627542232092E-5</v>
      </c>
      <c r="J265" s="60">
        <f t="shared" si="50"/>
        <v>1.2800954130102774E-4</v>
      </c>
      <c r="K265" s="60">
        <f t="shared" si="51"/>
        <v>1.9101335744960003E-4</v>
      </c>
      <c r="M265" s="60">
        <f t="shared" si="52"/>
        <v>2.8412543390600557E-5</v>
      </c>
      <c r="N265" s="60">
        <f t="shared" si="53"/>
        <v>1.7660475492019541E-5</v>
      </c>
      <c r="O265" s="60">
        <f t="shared" si="54"/>
        <v>5.7767056008866352E-7</v>
      </c>
      <c r="P265" s="60">
        <f t="shared" si="55"/>
        <v>2.3343215889955686E-5</v>
      </c>
      <c r="Q265" s="60">
        <f t="shared" si="56"/>
        <v>1.1836411219728709E-5</v>
      </c>
      <c r="R265" s="60">
        <f t="shared" si="57"/>
        <v>1.9507718295933185E-5</v>
      </c>
    </row>
    <row r="266" spans="1:18" x14ac:dyDescent="0.3">
      <c r="A266">
        <f>'Parm VaR Eq Weights'!B265</f>
        <v>-7.9045706907845308E-4</v>
      </c>
      <c r="B266">
        <f>'Parm VaR Eq Weights'!C265</f>
        <v>-6.4656338015883913E-3</v>
      </c>
      <c r="C266">
        <f>'Parm VaR Eq Weights'!D265</f>
        <v>4.5154858830748828E-3</v>
      </c>
      <c r="D266">
        <f>'Parm VaR Eq Weights'!E265</f>
        <v>1.4211111020549361E-2</v>
      </c>
      <c r="H266" s="60">
        <f t="shared" si="48"/>
        <v>8.2932974528242647E-5</v>
      </c>
      <c r="I266" s="60">
        <f t="shared" si="49"/>
        <v>8.2458215818300164E-5</v>
      </c>
      <c r="J266" s="60">
        <f t="shared" si="50"/>
        <v>1.2037761415272405E-4</v>
      </c>
      <c r="K266" s="60">
        <f t="shared" si="51"/>
        <v>1.9819529891003119E-4</v>
      </c>
      <c r="M266" s="60">
        <f t="shared" si="52"/>
        <v>2.7074575519511393E-5</v>
      </c>
      <c r="N266" s="60">
        <f t="shared" si="53"/>
        <v>1.6667398545700875E-5</v>
      </c>
      <c r="O266" s="60">
        <f t="shared" si="54"/>
        <v>-7.5983458407270518E-7</v>
      </c>
      <c r="P266" s="60">
        <f t="shared" si="55"/>
        <v>2.2210721205549395E-5</v>
      </c>
      <c r="Q266" s="60">
        <f t="shared" si="56"/>
        <v>5.8778094770209271E-6</v>
      </c>
      <c r="R266" s="60">
        <f t="shared" si="57"/>
        <v>1.7384951477548082E-5</v>
      </c>
    </row>
    <row r="267" spans="1:18" x14ac:dyDescent="0.3">
      <c r="A267">
        <f>'Parm VaR Eq Weights'!B266</f>
        <v>-5.4404919765090693E-4</v>
      </c>
      <c r="B267">
        <f>'Parm VaR Eq Weights'!C266</f>
        <v>-5.0816986069239826E-4</v>
      </c>
      <c r="C267">
        <f>'Parm VaR Eq Weights'!D266</f>
        <v>1.4894268537774737E-3</v>
      </c>
      <c r="D267">
        <f>'Parm VaR Eq Weights'!E266</f>
        <v>1.6007348438606992E-2</v>
      </c>
      <c r="H267" s="60">
        <f t="shared" si="48"/>
        <v>7.7994485399231455E-5</v>
      </c>
      <c r="I267" s="60">
        <f t="shared" si="49"/>
        <v>8.0018988096576692E-5</v>
      </c>
      <c r="J267" s="60">
        <f t="shared" si="50"/>
        <v>1.1437833406917553E-4</v>
      </c>
      <c r="K267" s="60">
        <f t="shared" si="51"/>
        <v>1.9842092156173208E-4</v>
      </c>
      <c r="M267" s="60">
        <f t="shared" si="52"/>
        <v>2.5756749345012997E-5</v>
      </c>
      <c r="N267" s="60">
        <f t="shared" si="53"/>
        <v>1.5453196768762789E-5</v>
      </c>
      <c r="O267" s="60">
        <f t="shared" si="54"/>
        <v>-1.3882408989674607E-6</v>
      </c>
      <c r="P267" s="60">
        <f t="shared" si="55"/>
        <v>1.9126349243844181E-5</v>
      </c>
      <c r="Q267" s="60">
        <f t="shared" si="56"/>
        <v>1.2110522044310949E-8</v>
      </c>
      <c r="R267" s="60">
        <f t="shared" si="57"/>
        <v>2.0192058660661231E-5</v>
      </c>
    </row>
    <row r="268" spans="1:18" x14ac:dyDescent="0.3">
      <c r="A268">
        <f>'Parm VaR Eq Weights'!B267</f>
        <v>-2.825508466105802E-3</v>
      </c>
      <c r="B268">
        <f>'Parm VaR Eq Weights'!C267</f>
        <v>-4.320960675344084E-3</v>
      </c>
      <c r="C268">
        <f>'Parm VaR Eq Weights'!D267</f>
        <v>-7.0864971669565152E-3</v>
      </c>
      <c r="D268">
        <f>'Parm VaR Eq Weights'!E267</f>
        <v>-1.4486959499517638E-3</v>
      </c>
      <c r="H268" s="60">
        <f t="shared" si="48"/>
        <v>7.3332575647045434E-5</v>
      </c>
      <c r="I268" s="60">
        <f t="shared" si="49"/>
        <v>7.5233343007221059E-5</v>
      </c>
      <c r="J268" s="60">
        <f t="shared" si="50"/>
        <v>1.0764873756619019E-4</v>
      </c>
      <c r="K268" s="60">
        <f t="shared" si="51"/>
        <v>2.0188977851012658E-4</v>
      </c>
      <c r="M268" s="60">
        <f t="shared" si="52"/>
        <v>2.4227932548611019E-5</v>
      </c>
      <c r="N268" s="60">
        <f t="shared" si="53"/>
        <v>1.4477385673551579E-5</v>
      </c>
      <c r="O268" s="60">
        <f t="shared" si="54"/>
        <v>-1.8274735495019716E-6</v>
      </c>
      <c r="P268" s="60">
        <f t="shared" si="55"/>
        <v>1.793335537900579E-5</v>
      </c>
      <c r="Q268" s="60">
        <f t="shared" si="56"/>
        <v>-4.7668323084444375E-7</v>
      </c>
      <c r="R268" s="60">
        <f t="shared" si="57"/>
        <v>2.0411041618355607E-5</v>
      </c>
    </row>
    <row r="269" spans="1:18" x14ac:dyDescent="0.3">
      <c r="A269">
        <f>'Parm VaR Eq Weights'!B268</f>
        <v>6.8953205322889507E-3</v>
      </c>
      <c r="B269">
        <f>'Parm VaR Eq Weights'!C268</f>
        <v>6.2511476528405736E-3</v>
      </c>
      <c r="C269">
        <f>'Parm VaR Eq Weights'!D268</f>
        <v>2.5205718985683525E-4</v>
      </c>
      <c r="D269">
        <f>'Parm VaR Eq Weights'!E268</f>
        <v>1.072322789910317E-2</v>
      </c>
      <c r="H269" s="60">
        <f t="shared" si="48"/>
        <v>6.9411630993744834E-5</v>
      </c>
      <c r="I269" s="60">
        <f t="shared" si="49"/>
        <v>7.1839584496260001E-5</v>
      </c>
      <c r="J269" s="60">
        <f t="shared" si="50"/>
        <v>1.0420291983805573E-4</v>
      </c>
      <c r="K269" s="60">
        <f t="shared" si="51"/>
        <v>1.8990231499684337E-4</v>
      </c>
      <c r="M269" s="60">
        <f t="shared" si="52"/>
        <v>2.3506791253888055E-5</v>
      </c>
      <c r="N269" s="60">
        <f t="shared" si="53"/>
        <v>1.4810119997554709E-5</v>
      </c>
      <c r="O269" s="60">
        <f t="shared" si="54"/>
        <v>-1.4722269762477394E-6</v>
      </c>
      <c r="P269" s="60">
        <f t="shared" si="55"/>
        <v>1.8694582591326826E-5</v>
      </c>
      <c r="Q269" s="60">
        <f t="shared" si="56"/>
        <v>-7.2496743177467999E-8</v>
      </c>
      <c r="R269" s="60">
        <f t="shared" si="57"/>
        <v>1.9802349905961144E-5</v>
      </c>
    </row>
    <row r="270" spans="1:18" x14ac:dyDescent="0.3">
      <c r="A270">
        <f>'Parm VaR Eq Weights'!B269</f>
        <v>-3.8805582032796471E-3</v>
      </c>
      <c r="B270">
        <f>'Parm VaR Eq Weights'!C269</f>
        <v>5.1165851929614896E-3</v>
      </c>
      <c r="C270">
        <f>'Parm VaR Eq Weights'!D269</f>
        <v>8.0955132808190489E-3</v>
      </c>
      <c r="D270">
        <f>'Parm VaR Eq Weights'!E269</f>
        <v>-1.3364748004020795E-2</v>
      </c>
      <c r="H270" s="60">
        <f t="shared" si="48"/>
        <v>6.8099659848700473E-5</v>
      </c>
      <c r="I270" s="60">
        <f t="shared" si="49"/>
        <v>6.9873820245141259E-5</v>
      </c>
      <c r="J270" s="60">
        <f t="shared" si="50"/>
        <v>9.7954556617389893E-5</v>
      </c>
      <c r="K270" s="60">
        <f t="shared" si="51"/>
        <v>1.8540743309159902E-4</v>
      </c>
      <c r="M270" s="60">
        <f t="shared" si="52"/>
        <v>2.4682603784314862E-5</v>
      </c>
      <c r="N270" s="60">
        <f t="shared" si="53"/>
        <v>1.402579370469328E-5</v>
      </c>
      <c r="O270" s="60">
        <f t="shared" si="54"/>
        <v>3.0525122526331164E-6</v>
      </c>
      <c r="P270" s="60">
        <f t="shared" si="55"/>
        <v>1.7667446438492523E-5</v>
      </c>
      <c r="Q270" s="60">
        <f t="shared" si="56"/>
        <v>3.9538019161543835E-6</v>
      </c>
      <c r="R270" s="60">
        <f t="shared" si="57"/>
        <v>1.8776380913030018E-5</v>
      </c>
    </row>
    <row r="271" spans="1:18" x14ac:dyDescent="0.3">
      <c r="A271">
        <f>'Parm VaR Eq Weights'!B270</f>
        <v>-1.1315330914882669E-3</v>
      </c>
      <c r="B271">
        <f>'Parm VaR Eq Weights'!C270</f>
        <v>6.9398945593791448E-5</v>
      </c>
      <c r="C271">
        <f>'Parm VaR Eq Weights'!D270</f>
        <v>-1.1732658600610823E-2</v>
      </c>
      <c r="D271">
        <f>'Parm VaR Eq Weights'!E270</f>
        <v>5.0549197743226101E-3</v>
      </c>
      <c r="H271" s="60">
        <f t="shared" si="48"/>
        <v>6.4917204175920896E-5</v>
      </c>
      <c r="I271" s="60">
        <f t="shared" si="49"/>
        <v>6.7252157672642736E-5</v>
      </c>
      <c r="J271" s="60">
        <f t="shared" si="50"/>
        <v>9.6009523337141562E-5</v>
      </c>
      <c r="K271" s="60">
        <f t="shared" si="51"/>
        <v>1.8499997645876176E-4</v>
      </c>
      <c r="M271" s="60">
        <f t="shared" si="52"/>
        <v>2.2010335158656414E-5</v>
      </c>
      <c r="N271" s="60">
        <f t="shared" si="53"/>
        <v>1.1299339454113179E-5</v>
      </c>
      <c r="O271" s="60">
        <f t="shared" si="54"/>
        <v>5.9811224675812227E-6</v>
      </c>
      <c r="P271" s="60">
        <f t="shared" si="55"/>
        <v>1.9092682655106684E-5</v>
      </c>
      <c r="Q271" s="60">
        <f t="shared" si="56"/>
        <v>-3.8633850351694805E-7</v>
      </c>
      <c r="R271" s="60">
        <f t="shared" si="57"/>
        <v>1.1158128360567196E-5</v>
      </c>
    </row>
    <row r="272" spans="1:18" x14ac:dyDescent="0.3">
      <c r="A272">
        <f>'Parm VaR Eq Weights'!B271</f>
        <v>-6.5240985927846563E-3</v>
      </c>
      <c r="B272">
        <f>'Parm VaR Eq Weights'!C271</f>
        <v>2.6241644462339734E-3</v>
      </c>
      <c r="C272">
        <f>'Parm VaR Eq Weights'!D271</f>
        <v>7.082157149407721E-3</v>
      </c>
      <c r="D272">
        <f>'Parm VaR Eq Weights'!E271</f>
        <v>1.9683346200421595E-3</v>
      </c>
      <c r="H272" s="60">
        <f t="shared" si="48"/>
        <v>6.1098993953593615E-5</v>
      </c>
      <c r="I272" s="60">
        <f t="shared" si="49"/>
        <v>6.3217317185103135E-5</v>
      </c>
      <c r="J272" s="60">
        <f t="shared" si="50"/>
        <v>9.8508268607222293E-5</v>
      </c>
      <c r="K272" s="60">
        <f t="shared" si="51"/>
        <v>1.754331107067263E-4</v>
      </c>
      <c r="M272" s="60">
        <f t="shared" si="52"/>
        <v>2.0685003416929804E-5</v>
      </c>
      <c r="N272" s="60">
        <f t="shared" si="53"/>
        <v>1.1417932574329923E-5</v>
      </c>
      <c r="O272" s="60">
        <f t="shared" si="54"/>
        <v>5.2790665795584818E-6</v>
      </c>
      <c r="P272" s="60">
        <f t="shared" si="55"/>
        <v>1.7898267647646624E-5</v>
      </c>
      <c r="Q272" s="60">
        <f t="shared" si="56"/>
        <v>-3.4210982716197937E-7</v>
      </c>
      <c r="R272" s="60">
        <f t="shared" si="57"/>
        <v>6.9301817809969278E-6</v>
      </c>
    </row>
    <row r="273" spans="1:18" x14ac:dyDescent="0.3">
      <c r="A273">
        <f>'Parm VaR Eq Weights'!B272</f>
        <v>-8.1257173675008381E-3</v>
      </c>
      <c r="B273">
        <f>'Parm VaR Eq Weights'!C272</f>
        <v>-8.8902110875580653E-3</v>
      </c>
      <c r="C273">
        <f>'Parm VaR Eq Weights'!D272</f>
        <v>-2.7605160219339106E-3</v>
      </c>
      <c r="D273">
        <f>'Parm VaR Eq Weights'!E272</f>
        <v>-5.6705324636121743E-4</v>
      </c>
      <c r="H273" s="60">
        <f t="shared" si="48"/>
        <v>5.9986886063280485E-5</v>
      </c>
      <c r="I273" s="60">
        <f t="shared" si="49"/>
        <v>5.9837452496449656E-5</v>
      </c>
      <c r="J273" s="60">
        <f t="shared" si="50"/>
        <v>9.5607189484123373E-5</v>
      </c>
      <c r="K273" s="60">
        <f t="shared" si="51"/>
        <v>1.6513958453491008E-4</v>
      </c>
      <c r="M273" s="60">
        <f t="shared" si="52"/>
        <v>1.8416684757659376E-5</v>
      </c>
      <c r="N273" s="60">
        <f t="shared" si="53"/>
        <v>7.9605751303302826E-6</v>
      </c>
      <c r="O273" s="60">
        <f t="shared" si="54"/>
        <v>4.1918260373001899E-6</v>
      </c>
      <c r="P273" s="60">
        <f t="shared" si="55"/>
        <v>1.7939456288434877E-5</v>
      </c>
      <c r="Q273" s="60">
        <f t="shared" si="56"/>
        <v>-1.1669213839894791E-8</v>
      </c>
      <c r="R273" s="60">
        <f t="shared" si="57"/>
        <v>7.3507741802426113E-6</v>
      </c>
    </row>
    <row r="274" spans="1:18" x14ac:dyDescent="0.3">
      <c r="A274">
        <f>'Parm VaR Eq Weights'!B273</f>
        <v>-2.1316891099281811E-3</v>
      </c>
      <c r="B274">
        <f>'Parm VaR Eq Weights'!C273</f>
        <v>-1.9146624134704179E-2</v>
      </c>
      <c r="C274">
        <f>'Parm VaR Eq Weights'!D273</f>
        <v>-2.7768043390709871E-4</v>
      </c>
      <c r="D274">
        <f>'Parm VaR Eq Weights'!E273</f>
        <v>-1.0003147382035156E-2</v>
      </c>
      <c r="H274" s="60">
        <f t="shared" si="48"/>
        <v>6.0349309863673939E-5</v>
      </c>
      <c r="I274" s="60">
        <f t="shared" si="49"/>
        <v>6.0989356537543096E-5</v>
      </c>
      <c r="J274" s="60">
        <f t="shared" si="50"/>
        <v>9.0327985037517202E-5</v>
      </c>
      <c r="K274" s="60">
        <f t="shared" si="51"/>
        <v>1.5525050242586798E-4</v>
      </c>
      <c r="M274" s="60">
        <f t="shared" si="52"/>
        <v>2.1646044230294963E-5</v>
      </c>
      <c r="N274" s="60">
        <f t="shared" si="53"/>
        <v>8.8288110014720291E-6</v>
      </c>
      <c r="O274" s="60">
        <f t="shared" si="54"/>
        <v>4.2167793397974829E-6</v>
      </c>
      <c r="P274" s="60">
        <f t="shared" si="55"/>
        <v>1.8335583119863495E-5</v>
      </c>
      <c r="Q274" s="60">
        <f t="shared" si="56"/>
        <v>2.9150432247267656E-7</v>
      </c>
      <c r="R274" s="60">
        <f t="shared" si="57"/>
        <v>7.0036493037402407E-6</v>
      </c>
    </row>
    <row r="275" spans="1:18" x14ac:dyDescent="0.3">
      <c r="A275">
        <f>'Parm VaR Eq Weights'!B274</f>
        <v>1.4666042063348398E-2</v>
      </c>
      <c r="B275">
        <f>'Parm VaR Eq Weights'!C274</f>
        <v>9.7377345157662522E-3</v>
      </c>
      <c r="C275">
        <f>'Parm VaR Eq Weights'!D274</f>
        <v>-2.7417475863383625E-3</v>
      </c>
      <c r="D275">
        <f>'Parm VaR Eq Weights'!E274</f>
        <v>2.817403064465515E-3</v>
      </c>
      <c r="H275" s="60">
        <f t="shared" si="48"/>
        <v>5.7000997179536687E-5</v>
      </c>
      <c r="I275" s="60">
        <f t="shared" si="49"/>
        <v>7.9325588090628716E-5</v>
      </c>
      <c r="J275" s="60">
        <f t="shared" si="50"/>
        <v>8.4912932320668655E-5</v>
      </c>
      <c r="K275" s="60">
        <f t="shared" si="51"/>
        <v>1.5193924973311889E-4</v>
      </c>
      <c r="M275" s="60">
        <f t="shared" si="52"/>
        <v>2.2796160586067484E-5</v>
      </c>
      <c r="N275" s="60">
        <f t="shared" si="53"/>
        <v>8.3345980428037014E-6</v>
      </c>
      <c r="O275" s="60">
        <f t="shared" si="54"/>
        <v>5.2431885997670907E-6</v>
      </c>
      <c r="P275" s="60">
        <f t="shared" si="55"/>
        <v>1.7554446706526531E-5</v>
      </c>
      <c r="Q275" s="60">
        <f t="shared" si="56"/>
        <v>1.1765604248396961E-5</v>
      </c>
      <c r="R275" s="60">
        <f t="shared" si="57"/>
        <v>6.7500910438446365E-6</v>
      </c>
    </row>
    <row r="276" spans="1:18" x14ac:dyDescent="0.3">
      <c r="A276">
        <f>'Parm VaR Eq Weights'!B275</f>
        <v>2.9533183111009917E-3</v>
      </c>
      <c r="B276">
        <f>'Parm VaR Eq Weights'!C275</f>
        <v>1.4649824706559691E-2</v>
      </c>
      <c r="C276">
        <f>'Parm VaR Eq Weights'!D275</f>
        <v>4.5405392193741661E-3</v>
      </c>
      <c r="D276">
        <f>'Parm VaR Eq Weights'!E275</f>
        <v>1.2669219894160469E-2</v>
      </c>
      <c r="H276" s="60">
        <f t="shared" si="48"/>
        <v>6.6486504736998765E-5</v>
      </c>
      <c r="I276" s="60">
        <f t="shared" si="49"/>
        <v>8.0255461215163713E-5</v>
      </c>
      <c r="J276" s="60">
        <f t="shared" si="50"/>
        <v>8.0269187171060064E-5</v>
      </c>
      <c r="K276" s="60">
        <f t="shared" si="51"/>
        <v>1.4329916035079132E-4</v>
      </c>
      <c r="M276" s="60">
        <f t="shared" si="52"/>
        <v>2.9997232391500287E-5</v>
      </c>
      <c r="N276" s="60">
        <f t="shared" si="53"/>
        <v>5.4218870345361345E-6</v>
      </c>
      <c r="O276" s="60">
        <f t="shared" si="54"/>
        <v>7.4078063949525425E-6</v>
      </c>
      <c r="P276" s="60">
        <f t="shared" si="55"/>
        <v>1.4899275297834584E-5</v>
      </c>
      <c r="Q276" s="60">
        <f t="shared" si="56"/>
        <v>1.2705775377433432E-5</v>
      </c>
      <c r="R276" s="60">
        <f t="shared" si="57"/>
        <v>5.8816090981095191E-6</v>
      </c>
    </row>
    <row r="277" spans="1:18" x14ac:dyDescent="0.3">
      <c r="A277">
        <f>'Parm VaR Eq Weights'!B276</f>
        <v>6.9495836895341742E-3</v>
      </c>
      <c r="B277">
        <f>'Parm VaR Eq Weights'!C276</f>
        <v>-3.9217328306087543E-3</v>
      </c>
      <c r="C277">
        <f>'Parm VaR Eq Weights'!D276</f>
        <v>2.7096469958176535E-4</v>
      </c>
      <c r="D277">
        <f>'Parm VaR Eq Weights'!E276</f>
        <v>-6.4357441474010933E-3</v>
      </c>
      <c r="H277" s="60">
        <f t="shared" si="48"/>
        <v>6.3020639795579895E-5</v>
      </c>
      <c r="I277" s="60">
        <f t="shared" si="49"/>
        <v>8.8317175378229505E-5</v>
      </c>
      <c r="J277" s="60">
        <f t="shared" si="50"/>
        <v>7.6690025724956954E-5</v>
      </c>
      <c r="K277" s="60">
        <f t="shared" si="51"/>
        <v>1.4433175869333931E-4</v>
      </c>
      <c r="M277" s="60">
        <f t="shared" si="52"/>
        <v>3.0793334181628416E-5</v>
      </c>
      <c r="N277" s="60">
        <f t="shared" si="53"/>
        <v>5.9011532695949629E-6</v>
      </c>
      <c r="O277" s="60">
        <f t="shared" si="54"/>
        <v>9.2083123573027366E-6</v>
      </c>
      <c r="P277" s="60">
        <f t="shared" si="55"/>
        <v>1.7996404998189965E-5</v>
      </c>
      <c r="Q277" s="60">
        <f t="shared" si="56"/>
        <v>2.3079539891886013E-5</v>
      </c>
      <c r="R277" s="60">
        <f t="shared" si="57"/>
        <v>8.9802179407216122E-6</v>
      </c>
    </row>
    <row r="278" spans="1:18" x14ac:dyDescent="0.3">
      <c r="A278">
        <f>'Parm VaR Eq Weights'!B277</f>
        <v>-8.6802259320995824E-4</v>
      </c>
      <c r="B278">
        <f>'Parm VaR Eq Weights'!C277</f>
        <v>1.5253487271971987E-3</v>
      </c>
      <c r="C278">
        <f>'Parm VaR Eq Weights'!D277</f>
        <v>5.4278215478170142E-3</v>
      </c>
      <c r="D278">
        <f>'Parm VaR Eq Weights'!E277</f>
        <v>-8.4231579281141833E-3</v>
      </c>
      <c r="H278" s="60">
        <f t="shared" si="48"/>
        <v>6.2137204215315466E-5</v>
      </c>
      <c r="I278" s="60">
        <f t="shared" si="49"/>
        <v>8.3940944159216195E-5</v>
      </c>
      <c r="J278" s="60">
        <f t="shared" si="50"/>
        <v>7.2093029493564697E-5</v>
      </c>
      <c r="K278" s="60">
        <f t="shared" si="51"/>
        <v>1.381569813355874E-4</v>
      </c>
      <c r="M278" s="60">
        <f t="shared" si="52"/>
        <v>2.7310469499872151E-5</v>
      </c>
      <c r="N278" s="60">
        <f t="shared" si="53"/>
        <v>5.6600695848184431E-6</v>
      </c>
      <c r="O278" s="60">
        <f t="shared" si="54"/>
        <v>5.9722690624569508E-6</v>
      </c>
      <c r="P278" s="60">
        <f t="shared" si="55"/>
        <v>1.6852861628801416E-5</v>
      </c>
      <c r="Q278" s="60">
        <f t="shared" si="56"/>
        <v>2.3209123645108513E-5</v>
      </c>
      <c r="R278" s="60">
        <f t="shared" si="57"/>
        <v>8.3367732955091775E-6</v>
      </c>
    </row>
    <row r="279" spans="1:18" x14ac:dyDescent="0.3">
      <c r="A279">
        <f>'Parm VaR Eq Weights'!B278</f>
        <v>4.9849029011059566E-3</v>
      </c>
      <c r="B279">
        <f>'Parm VaR Eq Weights'!C278</f>
        <v>5.575784650761504E-3</v>
      </c>
      <c r="C279">
        <f>'Parm VaR Eq Weights'!D278</f>
        <v>2.8030651756685934E-3</v>
      </c>
      <c r="D279">
        <f>'Parm VaR Eq Weights'!E278</f>
        <v>-7.2832109191999245E-3</v>
      </c>
      <c r="H279" s="60">
        <f t="shared" si="48"/>
        <v>5.845417975573591E-5</v>
      </c>
      <c r="I279" s="60">
        <f t="shared" si="49"/>
        <v>7.9044088834036939E-5</v>
      </c>
      <c r="J279" s="60">
        <f t="shared" si="50"/>
        <v>6.9535122529247617E-5</v>
      </c>
      <c r="K279" s="60">
        <f t="shared" si="51"/>
        <v>1.3412453782436933E-4</v>
      </c>
      <c r="M279" s="60">
        <f t="shared" si="52"/>
        <v>2.5592399100415945E-5</v>
      </c>
      <c r="N279" s="60">
        <f t="shared" si="53"/>
        <v>5.0377771056043154E-6</v>
      </c>
      <c r="O279" s="60">
        <f t="shared" si="54"/>
        <v>6.0526224019762552E-6</v>
      </c>
      <c r="P279" s="60">
        <f t="shared" si="55"/>
        <v>1.6338449172438303E-5</v>
      </c>
      <c r="Q279" s="60">
        <f t="shared" si="56"/>
        <v>2.1045681032924203E-5</v>
      </c>
      <c r="R279" s="60">
        <f t="shared" si="57"/>
        <v>5.0934030116055907E-6</v>
      </c>
    </row>
    <row r="280" spans="1:18" x14ac:dyDescent="0.3">
      <c r="A280">
        <f>'Parm VaR Eq Weights'!B279</f>
        <v>3.7059469240238938E-3</v>
      </c>
      <c r="B280">
        <f>'Parm VaR Eq Weights'!C279</f>
        <v>1.3675253261897252E-2</v>
      </c>
      <c r="C280">
        <f>'Parm VaR Eq Weights'!D279</f>
        <v>1.4783877927313746E-2</v>
      </c>
      <c r="D280">
        <f>'Parm VaR Eq Weights'!E279</f>
        <v>-2.4229053792571374E-2</v>
      </c>
      <c r="H280" s="60">
        <f t="shared" si="48"/>
        <v>5.6437884386399029E-5</v>
      </c>
      <c r="I280" s="60">
        <f t="shared" si="49"/>
        <v>7.6166805972294779E-5</v>
      </c>
      <c r="J280" s="60">
        <f t="shared" si="50"/>
        <v>6.5834445640235522E-5</v>
      </c>
      <c r="K280" s="60">
        <f t="shared" si="51"/>
        <v>1.2925977523252035E-4</v>
      </c>
      <c r="M280" s="60">
        <f t="shared" si="52"/>
        <v>2.5724539859282373E-5</v>
      </c>
      <c r="N280" s="60">
        <f t="shared" si="53"/>
        <v>5.573890942838824E-6</v>
      </c>
      <c r="O280" s="60">
        <f t="shared" si="54"/>
        <v>3.5110991034285004E-6</v>
      </c>
      <c r="P280" s="60">
        <f t="shared" si="55"/>
        <v>1.6295899488986626E-5</v>
      </c>
      <c r="Q280" s="60">
        <f t="shared" si="56"/>
        <v>1.7346363231856739E-5</v>
      </c>
      <c r="R280" s="60">
        <f t="shared" si="57"/>
        <v>3.5628799372297405E-6</v>
      </c>
    </row>
    <row r="281" spans="1:18" x14ac:dyDescent="0.3">
      <c r="A281">
        <f>'Parm VaR Eq Weights'!B280</f>
        <v>-1.3056153949721089E-4</v>
      </c>
      <c r="B281">
        <f>'Parm VaR Eq Weights'!C280</f>
        <v>1.9473464579624238E-3</v>
      </c>
      <c r="C281">
        <f>'Parm VaR Eq Weights'!D280</f>
        <v>-8.213739176469113E-3</v>
      </c>
      <c r="D281">
        <f>'Parm VaR Eq Weights'!E280</f>
        <v>6.0171319692839112E-3</v>
      </c>
      <c r="H281" s="60">
        <f t="shared" si="48"/>
        <v>5.3875653879436011E-5</v>
      </c>
      <c r="I281" s="60">
        <f t="shared" si="49"/>
        <v>8.281755072057898E-5</v>
      </c>
      <c r="J281" s="60">
        <f t="shared" si="50"/>
        <v>7.4998161696004272E-5</v>
      </c>
      <c r="K281" s="60">
        <f t="shared" si="51"/>
        <v>1.567270115795682E-4</v>
      </c>
      <c r="M281" s="60">
        <f t="shared" si="52"/>
        <v>2.7221853233395981E-5</v>
      </c>
      <c r="N281" s="60">
        <f t="shared" si="53"/>
        <v>8.5267535020608842E-6</v>
      </c>
      <c r="O281" s="60">
        <f t="shared" si="54"/>
        <v>-2.0870620852525749E-6</v>
      </c>
      <c r="P281" s="60">
        <f t="shared" si="55"/>
        <v>2.7448542010586721E-5</v>
      </c>
      <c r="Q281" s="60">
        <f t="shared" si="56"/>
        <v>-3.5747253766274231E-6</v>
      </c>
      <c r="R281" s="60">
        <f t="shared" si="57"/>
        <v>-1.8142855272825662E-5</v>
      </c>
    </row>
    <row r="282" spans="1:18" x14ac:dyDescent="0.3">
      <c r="A282">
        <f>'Parm VaR Eq Weights'!B281</f>
        <v>-2.9443536434347168E-3</v>
      </c>
      <c r="B282">
        <f>'Parm VaR Eq Weights'!C281</f>
        <v>-4.9313519543948301E-3</v>
      </c>
      <c r="C282">
        <f>'Parm VaR Eq Weights'!D281</f>
        <v>5.6581550525615174E-3</v>
      </c>
      <c r="D282">
        <f>'Parm VaR Eq Weights'!E281</f>
        <v>1.766181532902714E-2</v>
      </c>
      <c r="H282" s="60">
        <f t="shared" si="48"/>
        <v>5.0644137425605602E-5</v>
      </c>
      <c r="I282" s="60">
        <f t="shared" si="49"/>
        <v>7.8076027170984554E-5</v>
      </c>
      <c r="J282" s="60">
        <f t="shared" si="50"/>
        <v>7.4546202669787827E-5</v>
      </c>
      <c r="K282" s="60">
        <f t="shared" si="51"/>
        <v>1.4949574351294081E-4</v>
      </c>
      <c r="M282" s="60">
        <f t="shared" si="52"/>
        <v>2.557328712630306E-5</v>
      </c>
      <c r="N282" s="60">
        <f t="shared" si="53"/>
        <v>8.0794921978517321E-6</v>
      </c>
      <c r="O282" s="60">
        <f t="shared" si="54"/>
        <v>-2.008974720933476E-6</v>
      </c>
      <c r="P282" s="60">
        <f t="shared" si="55"/>
        <v>2.4841929736436058E-5</v>
      </c>
      <c r="Q282" s="60">
        <f t="shared" si="56"/>
        <v>-2.6571954163811276E-6</v>
      </c>
      <c r="R282" s="60">
        <f t="shared" si="57"/>
        <v>-2.0019673111621646E-5</v>
      </c>
    </row>
    <row r="283" spans="1:18" x14ac:dyDescent="0.3">
      <c r="A283">
        <f>'Parm VaR Eq Weights'!B282</f>
        <v>1.0852481284119786E-2</v>
      </c>
      <c r="B283">
        <f>'Parm VaR Eq Weights'!C282</f>
        <v>-8.5062039223168517E-3</v>
      </c>
      <c r="C283">
        <f>'Parm VaR Eq Weights'!D282</f>
        <v>-1.3560945328749486E-2</v>
      </c>
      <c r="D283">
        <f>'Parm VaR Eq Weights'!E282</f>
        <v>-2.3670550796383136E-3</v>
      </c>
      <c r="H283" s="60">
        <f t="shared" si="48"/>
        <v>4.81256422827257E-5</v>
      </c>
      <c r="I283" s="60">
        <f t="shared" si="49"/>
        <v>7.485055946661231E-5</v>
      </c>
      <c r="J283" s="60">
        <f t="shared" si="50"/>
        <v>7.1994313625530198E-5</v>
      </c>
      <c r="K283" s="60">
        <f t="shared" si="51"/>
        <v>1.5924238214516385E-4</v>
      </c>
      <c r="M283" s="60">
        <f t="shared" si="52"/>
        <v>2.4910068544363755E-5</v>
      </c>
      <c r="N283" s="60">
        <f t="shared" si="53"/>
        <v>6.5951460993329435E-6</v>
      </c>
      <c r="O283" s="60">
        <f t="shared" si="54"/>
        <v>-5.0085940564990018E-6</v>
      </c>
      <c r="P283" s="60">
        <f t="shared" si="55"/>
        <v>2.16772727136468E-5</v>
      </c>
      <c r="Q283" s="60">
        <f t="shared" si="56"/>
        <v>-7.7235613438557778E-6</v>
      </c>
      <c r="R283" s="60">
        <f t="shared" si="57"/>
        <v>-1.2822495346443739E-5</v>
      </c>
    </row>
    <row r="284" spans="1:18" x14ac:dyDescent="0.3">
      <c r="A284">
        <f>'Parm VaR Eq Weights'!B283</f>
        <v>-1.8974501282021203E-2</v>
      </c>
      <c r="B284">
        <f>'Parm VaR Eq Weights'!C283</f>
        <v>1.4377909962012747E-3</v>
      </c>
      <c r="C284">
        <f>'Parm VaR Eq Weights'!D283</f>
        <v>-8.4291531256052744E-3</v>
      </c>
      <c r="D284">
        <f>'Parm VaR Eq Weights'!E283</f>
        <v>-1.0938828137273347E-3</v>
      </c>
      <c r="H284" s="60">
        <f t="shared" si="48"/>
        <v>5.2304684747092374E-5</v>
      </c>
      <c r="I284" s="60">
        <f t="shared" si="49"/>
        <v>7.4700856208697895E-5</v>
      </c>
      <c r="J284" s="60">
        <f t="shared" si="50"/>
        <v>7.8708609100558341E-5</v>
      </c>
      <c r="K284" s="60">
        <f t="shared" si="51"/>
        <v>1.5002401620145653E-4</v>
      </c>
      <c r="M284" s="60">
        <f t="shared" si="52"/>
        <v>1.7876659299750925E-5</v>
      </c>
      <c r="N284" s="60">
        <f t="shared" si="53"/>
        <v>-2.6307569891405668E-6</v>
      </c>
      <c r="O284" s="60">
        <f t="shared" si="54"/>
        <v>-6.2493836701243911E-6</v>
      </c>
      <c r="P284" s="60">
        <f t="shared" si="55"/>
        <v>2.7297766331571994E-5</v>
      </c>
      <c r="Q284" s="60">
        <f t="shared" si="56"/>
        <v>-6.0520684710588626E-6</v>
      </c>
      <c r="R284" s="60">
        <f t="shared" si="57"/>
        <v>-1.0127175354150276E-5</v>
      </c>
    </row>
    <row r="285" spans="1:18" x14ac:dyDescent="0.3">
      <c r="A285">
        <f>'Parm VaR Eq Weights'!B284</f>
        <v>-8.3902083140413065E-4</v>
      </c>
      <c r="B285">
        <f>'Parm VaR Eq Weights'!C284</f>
        <v>-2.0265945897904387E-2</v>
      </c>
      <c r="C285">
        <f>'Parm VaR Eq Weights'!D284</f>
        <v>-1.7482015342937501E-2</v>
      </c>
      <c r="D285">
        <f>'Parm VaR Eq Weights'!E284</f>
        <v>1.6495181545561562E-2</v>
      </c>
      <c r="H285" s="60">
        <f t="shared" si="48"/>
        <v>7.0768305596352312E-5</v>
      </c>
      <c r="I285" s="60">
        <f t="shared" si="49"/>
        <v>7.0342839413101458E-5</v>
      </c>
      <c r="J285" s="60">
        <f t="shared" si="50"/>
        <v>7.8249129899418915E-5</v>
      </c>
      <c r="K285" s="60">
        <f t="shared" si="51"/>
        <v>1.4109437000597923E-4</v>
      </c>
      <c r="M285" s="60">
        <f t="shared" si="52"/>
        <v>1.516717771572389E-5</v>
      </c>
      <c r="N285" s="60">
        <f t="shared" si="53"/>
        <v>7.1234270374968941E-6</v>
      </c>
      <c r="O285" s="60">
        <f t="shared" si="54"/>
        <v>-4.6290677988299099E-6</v>
      </c>
      <c r="P285" s="60">
        <f t="shared" si="55"/>
        <v>2.4932738723501845E-5</v>
      </c>
      <c r="Q285" s="60">
        <f t="shared" si="56"/>
        <v>-5.7833108544239196E-6</v>
      </c>
      <c r="R285" s="60">
        <f t="shared" si="57"/>
        <v>-8.9663144885987185E-6</v>
      </c>
    </row>
    <row r="286" spans="1:18" x14ac:dyDescent="0.3">
      <c r="A286">
        <f>'Parm VaR Eq Weights'!B285</f>
        <v>7.1827260364814979E-3</v>
      </c>
      <c r="B286">
        <f>'Parm VaR Eq Weights'!C285</f>
        <v>1.5271890432622262E-3</v>
      </c>
      <c r="C286">
        <f>'Parm VaR Eq Weights'!D285</f>
        <v>-4.645478155463869E-3</v>
      </c>
      <c r="D286">
        <f>'Parm VaR Eq Weights'!E285</f>
        <v>1.2621251434361149E-2</v>
      </c>
      <c r="H286" s="60">
        <f t="shared" si="48"/>
        <v>6.6564444617902969E-5</v>
      </c>
      <c r="I286" s="60">
        <f t="shared" si="49"/>
        <v>9.0764782836522643E-5</v>
      </c>
      <c r="J286" s="60">
        <f t="shared" si="50"/>
        <v>9.1891433732495915E-5</v>
      </c>
      <c r="K286" s="60">
        <f t="shared" si="51"/>
        <v>1.4895416865888257E-4</v>
      </c>
      <c r="M286" s="60">
        <f t="shared" si="52"/>
        <v>1.527736009936751E-5</v>
      </c>
      <c r="N286" s="60">
        <f t="shared" si="53"/>
        <v>7.5760879181061516E-6</v>
      </c>
      <c r="O286" s="60">
        <f t="shared" si="54"/>
        <v>-5.1817117869712639E-6</v>
      </c>
      <c r="P286" s="60">
        <f t="shared" si="55"/>
        <v>4.4694149027670103E-5</v>
      </c>
      <c r="Q286" s="60">
        <f t="shared" si="56"/>
        <v>-2.5493739609866192E-5</v>
      </c>
      <c r="R286" s="60">
        <f t="shared" si="57"/>
        <v>-2.5730476631125612E-5</v>
      </c>
    </row>
    <row r="287" spans="1:18" x14ac:dyDescent="0.3">
      <c r="A287">
        <f>'Parm VaR Eq Weights'!B286</f>
        <v>-4.6443249792896685E-3</v>
      </c>
      <c r="B287">
        <f>'Parm VaR Eq Weights'!C286</f>
        <v>5.6477877067887573E-3</v>
      </c>
      <c r="C287">
        <f>'Parm VaR Eq Weights'!D286</f>
        <v>6.2393078992547578E-3</v>
      </c>
      <c r="D287">
        <f>'Parm VaR Eq Weights'!E286</f>
        <v>6.8911940463232298E-3</v>
      </c>
      <c r="H287" s="60">
        <f t="shared" si="48"/>
        <v>6.5666071139737741E-5</v>
      </c>
      <c r="I287" s="60">
        <f t="shared" si="49"/>
        <v>8.5458834248762893E-5</v>
      </c>
      <c r="J287" s="60">
        <f t="shared" si="50"/>
        <v>8.7672775746119668E-5</v>
      </c>
      <c r="K287" s="60">
        <f t="shared" si="51"/>
        <v>1.4957467780551143E-4</v>
      </c>
      <c r="M287" s="60">
        <f t="shared" si="52"/>
        <v>1.5018881323625591E-5</v>
      </c>
      <c r="N287" s="60">
        <f t="shared" si="53"/>
        <v>5.1194908290703973E-6</v>
      </c>
      <c r="O287" s="60">
        <f t="shared" si="54"/>
        <v>5.6849039768093353E-7</v>
      </c>
      <c r="P287" s="60">
        <f t="shared" si="55"/>
        <v>4.1586828685625584E-5</v>
      </c>
      <c r="Q287" s="60">
        <f t="shared" si="56"/>
        <v>-2.2807613019105378E-5</v>
      </c>
      <c r="R287" s="60">
        <f t="shared" si="57"/>
        <v>-2.7704552903234584E-5</v>
      </c>
    </row>
    <row r="288" spans="1:18" x14ac:dyDescent="0.3">
      <c r="A288">
        <f>'Parm VaR Eq Weights'!B287</f>
        <v>3.5894814516555119E-3</v>
      </c>
      <c r="B288">
        <f>'Parm VaR Eq Weights'!C287</f>
        <v>1.6346605867048087E-3</v>
      </c>
      <c r="C288">
        <f>'Parm VaR Eq Weights'!D287</f>
        <v>-1.0187479292272932E-3</v>
      </c>
      <c r="D288">
        <f>'Parm VaR Eq Weights'!E287</f>
        <v>-3.3792962521073566E-3</v>
      </c>
      <c r="H288" s="60">
        <f t="shared" si="48"/>
        <v>6.3020292142148705E-5</v>
      </c>
      <c r="I288" s="60">
        <f t="shared" si="49"/>
        <v>8.2245154552694369E-5</v>
      </c>
      <c r="J288" s="60">
        <f t="shared" si="50"/>
        <v>8.4748146985054657E-5</v>
      </c>
      <c r="K288" s="60">
        <f t="shared" si="51"/>
        <v>1.4344951046022558E-4</v>
      </c>
      <c r="M288" s="60">
        <f t="shared" si="52"/>
        <v>1.2543938752746206E-5</v>
      </c>
      <c r="N288" s="60">
        <f t="shared" si="53"/>
        <v>3.0736789675268786E-6</v>
      </c>
      <c r="O288" s="60">
        <f t="shared" si="54"/>
        <v>-1.3859157049681976E-6</v>
      </c>
      <c r="P288" s="60">
        <f t="shared" si="55"/>
        <v>4.120591615162491E-5</v>
      </c>
      <c r="Q288" s="60">
        <f t="shared" si="56"/>
        <v>-1.9103956176763838E-5</v>
      </c>
      <c r="R288" s="60">
        <f t="shared" si="57"/>
        <v>-2.3462502842129192E-5</v>
      </c>
    </row>
    <row r="289" spans="1:18" x14ac:dyDescent="0.3">
      <c r="A289">
        <f>'Parm VaR Eq Weights'!B288</f>
        <v>6.7342800405345319E-3</v>
      </c>
      <c r="B289">
        <f>'Parm VaR Eq Weights'!C288</f>
        <v>9.5967476170721218E-3</v>
      </c>
      <c r="C289">
        <f>'Parm VaR Eq Weights'!D288</f>
        <v>-7.189026092802288E-4</v>
      </c>
      <c r="D289">
        <f>'Parm VaR Eq Weights'!E288</f>
        <v>6.0286399724005521E-3</v>
      </c>
      <c r="H289" s="60">
        <f t="shared" si="48"/>
        <v>6.0012137239126517E-5</v>
      </c>
      <c r="I289" s="60">
        <f t="shared" si="49"/>
        <v>7.7470772193556265E-5</v>
      </c>
      <c r="J289" s="60">
        <f t="shared" si="50"/>
        <v>7.9725529006549666E-5</v>
      </c>
      <c r="K289" s="60">
        <f t="shared" si="51"/>
        <v>1.3552771842218243E-4</v>
      </c>
      <c r="M289" s="60">
        <f t="shared" si="52"/>
        <v>1.2143357458925187E-5</v>
      </c>
      <c r="N289" s="60">
        <f t="shared" si="53"/>
        <v>2.6698516217228353E-6</v>
      </c>
      <c r="O289" s="60">
        <f t="shared" si="54"/>
        <v>-2.030556035665407E-6</v>
      </c>
      <c r="P289" s="60">
        <f t="shared" si="55"/>
        <v>3.8633642757265714E-5</v>
      </c>
      <c r="Q289" s="60">
        <f t="shared" si="56"/>
        <v>-1.8289158949805155E-5</v>
      </c>
      <c r="R289" s="60">
        <f t="shared" si="57"/>
        <v>-2.1848193608056644E-5</v>
      </c>
    </row>
    <row r="290" spans="1:18" x14ac:dyDescent="0.3">
      <c r="A290">
        <f>'Parm VaR Eq Weights'!B289</f>
        <v>1.1568600103627853E-2</v>
      </c>
      <c r="B290">
        <f>'Parm VaR Eq Weights'!C289</f>
        <v>1.7577840314055848E-2</v>
      </c>
      <c r="C290">
        <f>'Parm VaR Eq Weights'!D289</f>
        <v>1.261923927803405E-2</v>
      </c>
      <c r="D290">
        <f>'Parm VaR Eq Weights'!E289</f>
        <v>-3.1508436924604623E-2</v>
      </c>
      <c r="H290" s="60">
        <f t="shared" si="48"/>
        <v>5.9132440664639431E-5</v>
      </c>
      <c r="I290" s="60">
        <f t="shared" si="49"/>
        <v>7.8348379751489656E-5</v>
      </c>
      <c r="J290" s="60">
        <f t="shared" si="50"/>
        <v>7.4973006523854484E-5</v>
      </c>
      <c r="K290" s="60">
        <f t="shared" si="51"/>
        <v>1.2957672531186101E-4</v>
      </c>
      <c r="M290" s="60">
        <f t="shared" si="52"/>
        <v>1.5292387167291447E-5</v>
      </c>
      <c r="N290" s="60">
        <f t="shared" si="53"/>
        <v>2.2191830348536224E-6</v>
      </c>
      <c r="O290" s="60">
        <f t="shared" si="54"/>
        <v>5.2719031673686089E-7</v>
      </c>
      <c r="P290" s="60">
        <f t="shared" si="55"/>
        <v>3.590167657767875E-5</v>
      </c>
      <c r="Q290" s="60">
        <f t="shared" si="56"/>
        <v>-1.3720489235457595E-5</v>
      </c>
      <c r="R290" s="60">
        <f t="shared" si="57"/>
        <v>-2.0797342291967435E-5</v>
      </c>
    </row>
    <row r="291" spans="1:18" x14ac:dyDescent="0.3">
      <c r="A291">
        <f>'Parm VaR Eq Weights'!B290</f>
        <v>1.7455767155240763E-5</v>
      </c>
      <c r="B291">
        <f>'Parm VaR Eq Weights'!C290</f>
        <v>2.1192865708752427E-3</v>
      </c>
      <c r="C291">
        <f>'Parm VaR Eq Weights'!D290</f>
        <v>1.1907013722780945E-2</v>
      </c>
      <c r="D291">
        <f>'Parm VaR Eq Weights'!E290</f>
        <v>2.2407919761616314E-2</v>
      </c>
      <c r="H291" s="60">
        <f t="shared" si="48"/>
        <v>6.3614444726220562E-5</v>
      </c>
      <c r="I291" s="60">
        <f t="shared" si="49"/>
        <v>9.2186305172787107E-5</v>
      </c>
      <c r="J291" s="60">
        <f t="shared" si="50"/>
        <v>8.0029338129799864E-5</v>
      </c>
      <c r="K291" s="60">
        <f t="shared" si="51"/>
        <v>1.8136901763905666E-4</v>
      </c>
      <c r="M291" s="60">
        <f t="shared" si="52"/>
        <v>2.6575904253978393E-5</v>
      </c>
      <c r="N291" s="60">
        <f t="shared" si="53"/>
        <v>1.0845248021936577E-5</v>
      </c>
      <c r="O291" s="60">
        <f t="shared" si="54"/>
        <v>-2.1374951502535331E-5</v>
      </c>
      <c r="P291" s="60">
        <f t="shared" si="55"/>
        <v>4.7056714357866668E-5</v>
      </c>
      <c r="Q291" s="60">
        <f t="shared" si="56"/>
        <v>-4.6128276249702221E-5</v>
      </c>
      <c r="R291" s="60">
        <f t="shared" si="57"/>
        <v>-4.3406252044155157E-5</v>
      </c>
    </row>
    <row r="292" spans="1:18" x14ac:dyDescent="0.3">
      <c r="A292">
        <f>'Parm VaR Eq Weights'!B291</f>
        <v>2.1483768437535206E-3</v>
      </c>
      <c r="B292">
        <f>'Parm VaR Eq Weights'!C291</f>
        <v>1.2210117579449453E-2</v>
      </c>
      <c r="C292">
        <f>'Parm VaR Eq Weights'!D291</f>
        <v>5.7834282084454096E-3</v>
      </c>
      <c r="D292">
        <f>'Parm VaR Eq Weights'!E291</f>
        <v>-7.1014985447615123E-3</v>
      </c>
      <c r="H292" s="60">
        <f t="shared" si="48"/>
        <v>5.9797596324875747E-5</v>
      </c>
      <c r="I292" s="60">
        <f t="shared" si="49"/>
        <v>8.6924609396589407E-5</v>
      </c>
      <c r="J292" s="60">
        <f t="shared" si="50"/>
        <v>8.3734196389681503E-5</v>
      </c>
      <c r="K292" s="60">
        <f t="shared" si="51"/>
        <v>2.0061376866329538E-4</v>
      </c>
      <c r="M292" s="60">
        <f t="shared" si="52"/>
        <v>2.4983569625114673E-5</v>
      </c>
      <c r="N292" s="60">
        <f t="shared" si="53"/>
        <v>1.0207003904163929E-5</v>
      </c>
      <c r="O292" s="60">
        <f t="shared" si="54"/>
        <v>-2.0068985566595686E-5</v>
      </c>
      <c r="P292" s="60">
        <f t="shared" si="55"/>
        <v>4.5747373953309678E-5</v>
      </c>
      <c r="Q292" s="60">
        <f t="shared" si="56"/>
        <v>-4.0511251468797478E-5</v>
      </c>
      <c r="R292" s="60">
        <f t="shared" si="57"/>
        <v>-2.4793192435473445E-5</v>
      </c>
    </row>
    <row r="293" spans="1:18" x14ac:dyDescent="0.3">
      <c r="A293">
        <f>'Parm VaR Eq Weights'!B292</f>
        <v>2.0846353463820498E-3</v>
      </c>
      <c r="B293">
        <f>'Parm VaR Eq Weights'!C292</f>
        <v>-1.6697678832429119E-3</v>
      </c>
      <c r="C293">
        <f>'Parm VaR Eq Weights'!D292</f>
        <v>2.0970776312372676E-2</v>
      </c>
      <c r="D293">
        <f>'Parm VaR Eq Weights'!E292</f>
        <v>-1.6307688474085921E-2</v>
      </c>
      <c r="H293" s="60">
        <f t="shared" si="48"/>
        <v>5.6486671929149779E-5</v>
      </c>
      <c r="I293" s="60">
        <f t="shared" si="49"/>
        <v>9.0654351111032884E-5</v>
      </c>
      <c r="J293" s="60">
        <f t="shared" si="50"/>
        <v>8.0717027116835124E-5</v>
      </c>
      <c r="K293" s="60">
        <f t="shared" si="51"/>
        <v>1.9160281943837265E-4</v>
      </c>
      <c r="M293" s="60">
        <f t="shared" si="52"/>
        <v>2.5058471479639611E-5</v>
      </c>
      <c r="N293" s="60">
        <f t="shared" si="53"/>
        <v>1.0340082664346196E-5</v>
      </c>
      <c r="O293" s="60">
        <f t="shared" si="54"/>
        <v>-1.9780248134370842E-5</v>
      </c>
      <c r="P293" s="60">
        <f t="shared" si="55"/>
        <v>4.7239511822356483E-5</v>
      </c>
      <c r="Q293" s="60">
        <f t="shared" si="56"/>
        <v>-4.3283184313979266E-5</v>
      </c>
      <c r="R293" s="60">
        <f t="shared" si="57"/>
        <v>-2.5769861309705504E-5</v>
      </c>
    </row>
    <row r="294" spans="1:18" x14ac:dyDescent="0.3">
      <c r="A294">
        <f>'Parm VaR Eq Weights'!B293</f>
        <v>4.6364325416488519E-3</v>
      </c>
      <c r="B294">
        <f>'Parm VaR Eq Weights'!C293</f>
        <v>2.3521607954409144E-3</v>
      </c>
      <c r="C294">
        <f>'Parm VaR Eq Weights'!D293</f>
        <v>2.9895839898386282E-3</v>
      </c>
      <c r="D294">
        <f>'Parm VaR Eq Weights'!E293</f>
        <v>3.1952492874279164E-3</v>
      </c>
      <c r="H294" s="60">
        <f t="shared" si="48"/>
        <v>5.3358213885043912E-5</v>
      </c>
      <c r="I294" s="60">
        <f t="shared" si="49"/>
        <v>8.5382377531405474E-5</v>
      </c>
      <c r="J294" s="60">
        <f t="shared" si="50"/>
        <v>1.0226041303843929E-4</v>
      </c>
      <c r="K294" s="60">
        <f t="shared" si="51"/>
        <v>1.9606309247414039E-4</v>
      </c>
      <c r="M294" s="60">
        <f t="shared" si="52"/>
        <v>2.3346111761881528E-5</v>
      </c>
      <c r="N294" s="60">
        <f t="shared" si="53"/>
        <v>1.2342662996996037E-5</v>
      </c>
      <c r="O294" s="60">
        <f t="shared" si="54"/>
        <v>-2.0633168274960593E-5</v>
      </c>
      <c r="P294" s="60">
        <f t="shared" si="55"/>
        <v>4.2304161386630819E-5</v>
      </c>
      <c r="Q294" s="60">
        <f t="shared" si="56"/>
        <v>-3.9052389987302954E-5</v>
      </c>
      <c r="R294" s="60">
        <f t="shared" si="57"/>
        <v>-4.474276286083803E-5</v>
      </c>
    </row>
    <row r="295" spans="1:18" x14ac:dyDescent="0.3">
      <c r="A295">
        <f>'Parm VaR Eq Weights'!B294</f>
        <v>1.0474601970707699E-3</v>
      </c>
      <c r="B295">
        <f>'Parm VaR Eq Weights'!C294</f>
        <v>2.3466411182017106E-3</v>
      </c>
      <c r="C295">
        <f>'Parm VaR Eq Weights'!D294</f>
        <v>1.9914085953260394E-3</v>
      </c>
      <c r="D295">
        <f>'Parm VaR Eq Weights'!E294</f>
        <v>1.791882543373987E-2</v>
      </c>
      <c r="H295" s="60">
        <f t="shared" si="48"/>
        <v>5.1446511454736908E-5</v>
      </c>
      <c r="I295" s="60">
        <f t="shared" si="49"/>
        <v>8.0591394503977691E-5</v>
      </c>
      <c r="J295" s="60">
        <f t="shared" si="50"/>
        <v>9.6661045002070906E-5</v>
      </c>
      <c r="K295" s="60">
        <f t="shared" si="51"/>
        <v>1.8491188400622047E-4</v>
      </c>
      <c r="M295" s="60">
        <f t="shared" si="52"/>
        <v>2.259968314747901E-5</v>
      </c>
      <c r="N295" s="60">
        <f t="shared" si="53"/>
        <v>1.2433763486965087E-5</v>
      </c>
      <c r="O295" s="60">
        <f t="shared" si="54"/>
        <v>-1.8506304711968292E-5</v>
      </c>
      <c r="P295" s="60">
        <f t="shared" si="55"/>
        <v>4.0187830638767539E-5</v>
      </c>
      <c r="Q295" s="60">
        <f t="shared" si="56"/>
        <v>-3.6258302181731871E-5</v>
      </c>
      <c r="R295" s="60">
        <f t="shared" si="57"/>
        <v>-4.1485049122393477E-5</v>
      </c>
    </row>
    <row r="296" spans="1:18" x14ac:dyDescent="0.3">
      <c r="A296">
        <f>'Parm VaR Eq Weights'!B295</f>
        <v>-6.0674946140922741E-3</v>
      </c>
      <c r="B296">
        <f>'Parm VaR Eq Weights'!C295</f>
        <v>2.6711254874743984E-3</v>
      </c>
      <c r="C296">
        <f>'Parm VaR Eq Weights'!D295</f>
        <v>-2.8865380882753915E-3</v>
      </c>
      <c r="D296">
        <f>'Parm VaR Eq Weights'!E295</f>
        <v>8.7258721494179947E-4</v>
      </c>
      <c r="H296" s="60">
        <f t="shared" si="48"/>
        <v>4.8425551139319544E-5</v>
      </c>
      <c r="I296" s="60">
        <f t="shared" si="49"/>
        <v>7.6086314305997125E-5</v>
      </c>
      <c r="J296" s="60">
        <f t="shared" si="50"/>
        <v>9.1099324793558954E-5</v>
      </c>
      <c r="K296" s="60">
        <f t="shared" si="51"/>
        <v>1.9308222926133783E-4</v>
      </c>
      <c r="M296" s="60">
        <f t="shared" si="52"/>
        <v>2.1391182948717823E-5</v>
      </c>
      <c r="N296" s="60">
        <f t="shared" si="53"/>
        <v>1.18128929521297E-5</v>
      </c>
      <c r="O296" s="60">
        <f t="shared" si="54"/>
        <v>-1.6269771044044079E-5</v>
      </c>
      <c r="P296" s="60">
        <f t="shared" si="55"/>
        <v>3.8056948078017429E-5</v>
      </c>
      <c r="Q296" s="60">
        <f t="shared" si="56"/>
        <v>-3.1559860897666401E-5</v>
      </c>
      <c r="R296" s="60">
        <f t="shared" si="57"/>
        <v>-3.6854923995836078E-5</v>
      </c>
    </row>
    <row r="297" spans="1:18" x14ac:dyDescent="0.3">
      <c r="A297">
        <f>'Parm VaR Eq Weights'!B296</f>
        <v>3.4778716456172871E-3</v>
      </c>
      <c r="B297">
        <f>'Parm VaR Eq Weights'!C296</f>
        <v>-1.2577202779704528E-3</v>
      </c>
      <c r="C297">
        <f>'Parm VaR Eq Weights'!D296</f>
        <v>-7.4984545399081485E-3</v>
      </c>
      <c r="D297">
        <f>'Parm VaR Eq Weights'!E296</f>
        <v>1.1960092287190553E-2</v>
      </c>
      <c r="H297" s="60">
        <f t="shared" si="48"/>
        <v>4.7728887524482693E-5</v>
      </c>
      <c r="I297" s="60">
        <f t="shared" si="49"/>
        <v>7.1949230129827424E-5</v>
      </c>
      <c r="J297" s="60">
        <f t="shared" si="50"/>
        <v>8.6133291434049294E-5</v>
      </c>
      <c r="K297" s="60">
        <f t="shared" si="51"/>
        <v>1.8154298001251833E-4</v>
      </c>
      <c r="M297" s="60">
        <f t="shared" si="52"/>
        <v>1.9135289601265819E-5</v>
      </c>
      <c r="N297" s="60">
        <f t="shared" si="53"/>
        <v>1.2154962633240907E-5</v>
      </c>
      <c r="O297" s="60">
        <f t="shared" si="54"/>
        <v>-1.5611249875020543E-5</v>
      </c>
      <c r="P297" s="60">
        <f t="shared" si="55"/>
        <v>3.5310912865846898E-5</v>
      </c>
      <c r="Q297" s="60">
        <f t="shared" si="56"/>
        <v>-2.9526421846813894E-5</v>
      </c>
      <c r="R297" s="60">
        <f t="shared" si="57"/>
        <v>-3.4794753929962208E-5</v>
      </c>
    </row>
    <row r="298" spans="1:18" x14ac:dyDescent="0.3">
      <c r="A298">
        <f>'Parm VaR Eq Weights'!B297</f>
        <v>3.8122920939531678E-5</v>
      </c>
      <c r="B298">
        <f>'Parm VaR Eq Weights'!C297</f>
        <v>-9.2999805745141387E-3</v>
      </c>
      <c r="C298">
        <f>'Parm VaR Eq Weights'!D297</f>
        <v>4.9366015261473623E-3</v>
      </c>
      <c r="D298">
        <f>'Parm VaR Eq Weights'!E297</f>
        <v>2.203650847707038E-3</v>
      </c>
      <c r="H298" s="60">
        <f t="shared" si="48"/>
        <v>4.5590889744017052E-5</v>
      </c>
      <c r="I298" s="60">
        <f t="shared" si="49"/>
        <v>6.7727187939894859E-5</v>
      </c>
      <c r="J298" s="60">
        <f t="shared" si="50"/>
        <v>8.4338903177230492E-5</v>
      </c>
      <c r="K298" s="60">
        <f t="shared" si="51"/>
        <v>1.7923302966285412E-4</v>
      </c>
      <c r="M298" s="60">
        <f t="shared" si="52"/>
        <v>1.772472084361759E-5</v>
      </c>
      <c r="N298" s="60">
        <f t="shared" si="53"/>
        <v>9.860945129428644E-6</v>
      </c>
      <c r="O298" s="60">
        <f t="shared" si="54"/>
        <v>-1.2178834931844146E-5</v>
      </c>
      <c r="P298" s="60">
        <f t="shared" si="55"/>
        <v>3.3758115593593011E-5</v>
      </c>
      <c r="Q298" s="60">
        <f t="shared" si="56"/>
        <v>-2.8657383571764917E-5</v>
      </c>
      <c r="R298" s="60">
        <f t="shared" si="57"/>
        <v>-3.8088001192680745E-5</v>
      </c>
    </row>
    <row r="299" spans="1:18" x14ac:dyDescent="0.3">
      <c r="A299">
        <f>'Parm VaR Eq Weights'!B298</f>
        <v>6.6093242959803736E-3</v>
      </c>
      <c r="B299">
        <f>'Parm VaR Eq Weights'!C298</f>
        <v>2.35629506710976E-3</v>
      </c>
      <c r="C299">
        <f>'Parm VaR Eq Weights'!D298</f>
        <v>1.1294267069256918E-3</v>
      </c>
      <c r="D299">
        <f>'Parm VaR Eq Weights'!E298</f>
        <v>1.3195203675558591E-2</v>
      </c>
      <c r="H299" s="60">
        <f t="shared" si="48"/>
        <v>4.2855523560802082E-5</v>
      </c>
      <c r="I299" s="60">
        <f t="shared" si="49"/>
        <v>6.885293498468158E-5</v>
      </c>
      <c r="J299" s="60">
        <f t="shared" si="50"/>
        <v>8.0740771064274282E-5</v>
      </c>
      <c r="K299" s="60">
        <f t="shared" si="51"/>
        <v>1.6877041250659886E-4</v>
      </c>
      <c r="M299" s="60">
        <f t="shared" si="52"/>
        <v>1.6639965047549649E-5</v>
      </c>
      <c r="N299" s="60">
        <f t="shared" si="53"/>
        <v>9.2805802818444017E-6</v>
      </c>
      <c r="O299" s="60">
        <f t="shared" si="54"/>
        <v>-1.1443064259510768E-5</v>
      </c>
      <c r="P299" s="60">
        <f t="shared" si="55"/>
        <v>2.8978010760140188E-5</v>
      </c>
      <c r="Q299" s="60">
        <f t="shared" si="56"/>
        <v>-2.8167575162060245E-5</v>
      </c>
      <c r="R299" s="60">
        <f t="shared" si="57"/>
        <v>-3.5150008352846708E-5</v>
      </c>
    </row>
    <row r="300" spans="1:18" x14ac:dyDescent="0.3">
      <c r="A300">
        <f>'Parm VaR Eq Weights'!B299</f>
        <v>-6.2936911387957012E-4</v>
      </c>
      <c r="B300">
        <f>'Parm VaR Eq Weights'!C299</f>
        <v>-3.3112624031365438E-3</v>
      </c>
      <c r="C300">
        <f>'Parm VaR Eq Weights'!D299</f>
        <v>6.6707237949019281E-3</v>
      </c>
      <c r="D300">
        <f>'Parm VaR Eq Weights'!E299</f>
        <v>2.233906537710557E-3</v>
      </c>
      <c r="H300" s="60">
        <f t="shared" si="48"/>
        <v>4.290518220612015E-5</v>
      </c>
      <c r="I300" s="60">
        <f t="shared" si="49"/>
        <v>6.505488647219783E-5</v>
      </c>
      <c r="J300" s="60">
        <f t="shared" si="50"/>
        <v>7.5972861081596838E-5</v>
      </c>
      <c r="K300" s="60">
        <f t="shared" si="51"/>
        <v>1.6909099175857142E-4</v>
      </c>
      <c r="M300" s="60">
        <f t="shared" si="52"/>
        <v>1.6575978238829503E-5</v>
      </c>
      <c r="N300" s="60">
        <f t="shared" si="53"/>
        <v>9.1716303074105225E-6</v>
      </c>
      <c r="O300" s="60">
        <f t="shared" si="54"/>
        <v>-5.5237975893433821E-6</v>
      </c>
      <c r="P300" s="60">
        <f t="shared" si="55"/>
        <v>2.7399005869223235E-5</v>
      </c>
      <c r="Q300" s="60">
        <f t="shared" si="56"/>
        <v>-2.4612013052522988E-5</v>
      </c>
      <c r="R300" s="60">
        <f t="shared" si="57"/>
        <v>-3.2146826925605905E-5</v>
      </c>
    </row>
    <row r="301" spans="1:18" x14ac:dyDescent="0.3">
      <c r="A301">
        <f>'Parm VaR Eq Weights'!B300</f>
        <v>5.0935818675445653E-4</v>
      </c>
      <c r="B301">
        <f>'Parm VaR Eq Weights'!C300</f>
        <v>1.070582765105311E-2</v>
      </c>
      <c r="C301">
        <f>'Parm VaR Eq Weights'!D300</f>
        <v>-4.598506451719663E-3</v>
      </c>
      <c r="D301">
        <f>'Parm VaR Eq Weights'!E300</f>
        <v>2.0986277037871107E-2</v>
      </c>
      <c r="H301" s="60">
        <f t="shared" si="48"/>
        <v>4.035463760264327E-5</v>
      </c>
      <c r="I301" s="60">
        <f t="shared" si="49"/>
        <v>6.1809460806011503E-5</v>
      </c>
      <c r="J301" s="60">
        <f t="shared" si="50"/>
        <v>7.4084402773573273E-5</v>
      </c>
      <c r="K301" s="60">
        <f t="shared" si="51"/>
        <v>1.5924495255821068E-4</v>
      </c>
      <c r="M301" s="60">
        <f t="shared" si="52"/>
        <v>1.5706459921568818E-5</v>
      </c>
      <c r="N301" s="60">
        <f t="shared" si="53"/>
        <v>8.3694316375419225E-6</v>
      </c>
      <c r="O301" s="60">
        <f t="shared" si="54"/>
        <v>-5.2767268406704992E-6</v>
      </c>
      <c r="P301" s="60">
        <f t="shared" si="55"/>
        <v>2.4429754502843815E-5</v>
      </c>
      <c r="Q301" s="60">
        <f t="shared" si="56"/>
        <v>-2.3579115313198124E-5</v>
      </c>
      <c r="R301" s="60">
        <f t="shared" si="57"/>
        <v>-2.9323910900267982E-5</v>
      </c>
    </row>
    <row r="302" spans="1:18" x14ac:dyDescent="0.3">
      <c r="A302">
        <f>'Parm VaR Eq Weights'!B301</f>
        <v>-2.2738119838754439E-3</v>
      </c>
      <c r="B302">
        <f>'Parm VaR Eq Weights'!C301</f>
        <v>-1.7223616125624632E-4</v>
      </c>
      <c r="C302">
        <f>'Parm VaR Eq Weights'!D301</f>
        <v>8.1765588648420682E-3</v>
      </c>
      <c r="D302">
        <f>'Parm VaR Eq Weights'!E301</f>
        <v>6.2741459681110983E-3</v>
      </c>
      <c r="H302" s="60">
        <f t="shared" si="48"/>
        <v>3.7948926092229504E-5</v>
      </c>
      <c r="I302" s="60">
        <f t="shared" si="49"/>
        <v>6.497777789929401E-5</v>
      </c>
      <c r="J302" s="60">
        <f t="shared" si="50"/>
        <v>7.0908114302349316E-5</v>
      </c>
      <c r="K302" s="60">
        <f t="shared" si="51"/>
        <v>1.7611568483933462E-4</v>
      </c>
      <c r="M302" s="60">
        <f t="shared" si="52"/>
        <v>1.5091258383877457E-5</v>
      </c>
      <c r="N302" s="60">
        <f t="shared" si="53"/>
        <v>7.7267285248078109E-6</v>
      </c>
      <c r="O302" s="60">
        <f t="shared" si="54"/>
        <v>-4.3187513091060658E-6</v>
      </c>
      <c r="P302" s="60">
        <f t="shared" si="55"/>
        <v>2.0010120181211194E-5</v>
      </c>
      <c r="Q302" s="60">
        <f t="shared" si="56"/>
        <v>-8.6838404941241364E-6</v>
      </c>
      <c r="R302" s="60">
        <f t="shared" si="57"/>
        <v>-3.3354808067625494E-5</v>
      </c>
    </row>
    <row r="303" spans="1:18" x14ac:dyDescent="0.3">
      <c r="A303">
        <f>'Parm VaR Eq Weights'!B302</f>
        <v>1.5790922365065687E-3</v>
      </c>
      <c r="B303">
        <f>'Parm VaR Eq Weights'!C302</f>
        <v>-5.3583946342938369E-3</v>
      </c>
      <c r="C303">
        <f>'Parm VaR Eq Weights'!D302</f>
        <v>5.6161426016144217E-3</v>
      </c>
      <c r="D303">
        <f>'Parm VaR Eq Weights'!E302</f>
        <v>-6.6217263498897653E-3</v>
      </c>
      <c r="H303" s="60">
        <f t="shared" si="48"/>
        <v>3.5982203782976667E-5</v>
      </c>
      <c r="I303" s="60">
        <f t="shared" si="49"/>
        <v>6.1080891143051026E-5</v>
      </c>
      <c r="J303" s="60">
        <f t="shared" si="50"/>
        <v>7.0664994336421997E-5</v>
      </c>
      <c r="K303" s="60">
        <f t="shared" si="51"/>
        <v>1.679106382067244E-4</v>
      </c>
      <c r="M303" s="60">
        <f t="shared" si="52"/>
        <v>1.4209280839696078E-5</v>
      </c>
      <c r="N303" s="60">
        <f t="shared" si="53"/>
        <v>6.147607361294887E-6</v>
      </c>
      <c r="O303" s="60">
        <f t="shared" si="54"/>
        <v>-4.9155999280121911E-6</v>
      </c>
      <c r="P303" s="60">
        <f t="shared" si="55"/>
        <v>1.8725015023668552E-5</v>
      </c>
      <c r="Q303" s="60">
        <f t="shared" si="56"/>
        <v>-8.2276481534792177E-6</v>
      </c>
      <c r="R303" s="60">
        <f t="shared" si="57"/>
        <v>-2.827546415347564E-5</v>
      </c>
    </row>
    <row r="304" spans="1:18" x14ac:dyDescent="0.3">
      <c r="A304">
        <f>'Parm VaR Eq Weights'!B303</f>
        <v>1.0120177659616108E-3</v>
      </c>
      <c r="B304">
        <f>'Parm VaR Eq Weights'!C303</f>
        <v>-6.5186498901255346E-7</v>
      </c>
      <c r="C304">
        <f>'Parm VaR Eq Weights'!D303</f>
        <v>1.7735783977110594E-3</v>
      </c>
      <c r="D304">
        <f>'Parm VaR Eq Weights'!E303</f>
        <v>-3.2480704742718206E-3</v>
      </c>
      <c r="H304" s="60">
        <f t="shared" si="48"/>
        <v>3.3972883493481783E-5</v>
      </c>
      <c r="I304" s="60">
        <f t="shared" si="49"/>
        <v>5.9138781257877702E-5</v>
      </c>
      <c r="J304" s="60">
        <f t="shared" si="50"/>
        <v>6.8317558139536775E-5</v>
      </c>
      <c r="K304" s="60">
        <f t="shared" si="51"/>
        <v>1.604668355054904E-4</v>
      </c>
      <c r="M304" s="60">
        <f t="shared" si="52"/>
        <v>1.2849040027285201E-5</v>
      </c>
      <c r="N304" s="60">
        <f t="shared" si="53"/>
        <v>6.3108553504965816E-6</v>
      </c>
      <c r="O304" s="60">
        <f t="shared" si="54"/>
        <v>-5.2480429326143749E-6</v>
      </c>
      <c r="P304" s="60">
        <f t="shared" si="55"/>
        <v>1.5795903619333253E-5</v>
      </c>
      <c r="Q304" s="60">
        <f t="shared" si="56"/>
        <v>-5.6050798876897757E-6</v>
      </c>
      <c r="R304" s="60">
        <f t="shared" si="57"/>
        <v>-2.881024987125802E-5</v>
      </c>
    </row>
    <row r="305" spans="1:18" x14ac:dyDescent="0.3">
      <c r="A305">
        <f>'Parm VaR Eq Weights'!B304</f>
        <v>8.8412058089990583E-3</v>
      </c>
      <c r="B305">
        <f>'Parm VaR Eq Weights'!C304</f>
        <v>-5.2534423770825844E-3</v>
      </c>
      <c r="C305">
        <f>'Parm VaR Eq Weights'!D304</f>
        <v>-5.0856292398109284E-3</v>
      </c>
      <c r="D305">
        <f>'Parm VaR Eq Weights'!E304</f>
        <v>1.7945459750037154E-2</v>
      </c>
      <c r="H305" s="60">
        <f t="shared" si="48"/>
        <v>3.199596128139019E-5</v>
      </c>
      <c r="I305" s="60">
        <f t="shared" si="49"/>
        <v>5.5590454407900713E-5</v>
      </c>
      <c r="J305" s="60">
        <f t="shared" si="50"/>
        <v>6.4407239471134202E-5</v>
      </c>
      <c r="K305" s="60">
        <f t="shared" si="51"/>
        <v>1.5147182308351115E-4</v>
      </c>
      <c r="M305" s="60">
        <f t="shared" si="52"/>
        <v>1.2078058043711095E-5</v>
      </c>
      <c r="N305" s="60">
        <f t="shared" si="53"/>
        <v>6.0398976003353456E-6</v>
      </c>
      <c r="O305" s="60">
        <f t="shared" si="54"/>
        <v>-5.1303866581610181E-6</v>
      </c>
      <c r="P305" s="60">
        <f t="shared" si="55"/>
        <v>1.4848080034153491E-5</v>
      </c>
      <c r="Q305" s="60">
        <f t="shared" si="56"/>
        <v>-5.2686480562229472E-6</v>
      </c>
      <c r="R305" s="60">
        <f t="shared" si="57"/>
        <v>-2.7427277336627235E-5</v>
      </c>
    </row>
    <row r="306" spans="1:18" x14ac:dyDescent="0.3">
      <c r="A306">
        <f>'Parm VaR Eq Weights'!B305</f>
        <v>-2.1917632969648744E-3</v>
      </c>
      <c r="B306">
        <f>'Parm VaR Eq Weights'!C305</f>
        <v>-8.5899066165910087E-3</v>
      </c>
      <c r="C306">
        <f>'Parm VaR Eq Weights'!D305</f>
        <v>4.9017116110777687E-3</v>
      </c>
      <c r="D306">
        <f>'Parm VaR Eq Weights'!E305</f>
        <v>5.2703561790969407E-3</v>
      </c>
      <c r="H306" s="60">
        <f t="shared" si="48"/>
        <v>3.4766218813931505E-5</v>
      </c>
      <c r="I306" s="60">
        <f t="shared" si="49"/>
        <v>5.3910946551986298E-5</v>
      </c>
      <c r="J306" s="60">
        <f t="shared" si="50"/>
        <v>6.2094622588755336E-5</v>
      </c>
      <c r="K306" s="60">
        <f t="shared" si="51"/>
        <v>1.6170588523691272E-4</v>
      </c>
      <c r="M306" s="60">
        <f t="shared" si="52"/>
        <v>8.566568645398163E-6</v>
      </c>
      <c r="N306" s="60">
        <f t="shared" si="53"/>
        <v>2.9797180576693117E-6</v>
      </c>
      <c r="O306" s="60">
        <f t="shared" si="54"/>
        <v>4.6970067205598887E-6</v>
      </c>
      <c r="P306" s="60">
        <f t="shared" si="55"/>
        <v>1.5560218841857464E-5</v>
      </c>
      <c r="Q306" s="60">
        <f t="shared" si="56"/>
        <v>-1.0609055496474078E-5</v>
      </c>
      <c r="R306" s="60">
        <f t="shared" si="57"/>
        <v>-3.1257477986027944E-5</v>
      </c>
    </row>
    <row r="307" spans="1:18" x14ac:dyDescent="0.3">
      <c r="A307">
        <f>'Parm VaR Eq Weights'!B306</f>
        <v>-3.6897361004354176E-4</v>
      </c>
      <c r="B307">
        <f>'Parm VaR Eq Weights'!C306</f>
        <v>9.3416848068056965E-4</v>
      </c>
      <c r="C307">
        <f>'Parm VaR Eq Weights'!D306</f>
        <v>-5.1020800189863799E-4</v>
      </c>
      <c r="D307">
        <f>'Parm VaR Eq Weights'!E306</f>
        <v>6.4466329781724804E-3</v>
      </c>
      <c r="H307" s="60">
        <f t="shared" si="48"/>
        <v>3.2968475266090955E-5</v>
      </c>
      <c r="I307" s="60">
        <f t="shared" si="49"/>
        <v>5.5103479499772357E-5</v>
      </c>
      <c r="J307" s="60">
        <f t="shared" si="50"/>
        <v>5.9810551836520495E-5</v>
      </c>
      <c r="K307" s="60">
        <f t="shared" si="51"/>
        <v>1.5367013137797069E-4</v>
      </c>
      <c r="M307" s="60">
        <f t="shared" si="52"/>
        <v>9.1821970494702665E-6</v>
      </c>
      <c r="N307" s="60">
        <f t="shared" si="53"/>
        <v>2.1563314781211436E-6</v>
      </c>
      <c r="O307" s="60">
        <f t="shared" si="54"/>
        <v>3.7221039232096917E-6</v>
      </c>
      <c r="P307" s="60">
        <f t="shared" si="55"/>
        <v>1.2100291011308939E-5</v>
      </c>
      <c r="Q307" s="60">
        <f t="shared" si="56"/>
        <v>-1.2688824211562603E-5</v>
      </c>
      <c r="R307" s="60">
        <f t="shared" si="57"/>
        <v>-2.7832003342210566E-5</v>
      </c>
    </row>
    <row r="308" spans="1:18" x14ac:dyDescent="0.3">
      <c r="A308">
        <f>'Parm VaR Eq Weights'!B307</f>
        <v>4.6852921619225159E-3</v>
      </c>
      <c r="B308">
        <f>'Parm VaR Eq Weights'!C307</f>
        <v>9.3329662439093806E-4</v>
      </c>
      <c r="C308">
        <f>'Parm VaR Eq Weights'!D307</f>
        <v>5.349775395364389E-3</v>
      </c>
      <c r="D308">
        <f>'Parm VaR Eq Weights'!E307</f>
        <v>-8.252143459669908E-3</v>
      </c>
      <c r="H308" s="60">
        <f t="shared" si="48"/>
        <v>3.0998535241620011E-5</v>
      </c>
      <c r="I308" s="60">
        <f t="shared" si="49"/>
        <v>5.1849630974803837E-5</v>
      </c>
      <c r="J308" s="60">
        <f t="shared" si="50"/>
        <v>5.6237537458641344E-5</v>
      </c>
      <c r="K308" s="60">
        <f t="shared" si="51"/>
        <v>1.469434681006081E-4</v>
      </c>
      <c r="M308" s="60">
        <f t="shared" si="52"/>
        <v>8.6105842154997149E-6</v>
      </c>
      <c r="N308" s="60">
        <f t="shared" si="53"/>
        <v>2.0382467867338934E-6</v>
      </c>
      <c r="O308" s="60">
        <f t="shared" si="54"/>
        <v>3.3560594412621873E-6</v>
      </c>
      <c r="P308" s="60">
        <f t="shared" si="55"/>
        <v>1.1345676336592518E-5</v>
      </c>
      <c r="Q308" s="60">
        <f t="shared" si="56"/>
        <v>-1.1566160278785367E-5</v>
      </c>
      <c r="R308" s="60">
        <f t="shared" si="57"/>
        <v>-2.6359430565523965E-5</v>
      </c>
    </row>
    <row r="309" spans="1:18" x14ac:dyDescent="0.3">
      <c r="A309">
        <f>'Parm VaR Eq Weights'!B308</f>
        <v>1.071522009526928E-3</v>
      </c>
      <c r="B309">
        <f>'Parm VaR Eq Weights'!C308</f>
        <v>9.7213540301049894E-3</v>
      </c>
      <c r="C309">
        <f>'Parm VaR Eq Weights'!D308</f>
        <v>3.101624606755169E-3</v>
      </c>
      <c r="D309">
        <f>'Parm VaR Eq Weights'!E308</f>
        <v>2.112852031327845E-2</v>
      </c>
      <c r="H309" s="60">
        <f t="shared" si="48"/>
        <v>3.0455740885677162E-5</v>
      </c>
      <c r="I309" s="60">
        <f t="shared" si="49"/>
        <v>4.8790915671661574E-5</v>
      </c>
      <c r="J309" s="60">
        <f t="shared" si="50"/>
        <v>5.4580491017973632E-5</v>
      </c>
      <c r="K309" s="60">
        <f t="shared" si="51"/>
        <v>1.4221273231530997E-4</v>
      </c>
      <c r="M309" s="60">
        <f t="shared" si="52"/>
        <v>8.3563152041101893E-6</v>
      </c>
      <c r="N309" s="60">
        <f t="shared" si="53"/>
        <v>3.4198676232066634E-6</v>
      </c>
      <c r="O309" s="60">
        <f t="shared" si="54"/>
        <v>8.3487369054735936E-7</v>
      </c>
      <c r="P309" s="60">
        <f t="shared" si="55"/>
        <v>1.0964511395461562E-5</v>
      </c>
      <c r="Q309" s="60">
        <f t="shared" si="56"/>
        <v>-1.1334292520152225E-5</v>
      </c>
      <c r="R309" s="60">
        <f t="shared" si="57"/>
        <v>-2.7426691573966081E-5</v>
      </c>
    </row>
    <row r="310" spans="1:18" x14ac:dyDescent="0.3">
      <c r="A310">
        <f>'Parm VaR Eq Weights'!B309</f>
        <v>9.5141706758301804E-4</v>
      </c>
      <c r="B310">
        <f>'Parm VaR Eq Weights'!C309</f>
        <v>-6.4798581483480255E-3</v>
      </c>
      <c r="C310">
        <f>'Parm VaR Eq Weights'!D309</f>
        <v>4.9850855825756761E-4</v>
      </c>
      <c r="D310">
        <f>'Parm VaR Eq Weights'!E309</f>
        <v>2.2601321885620442E-3</v>
      </c>
      <c r="H310" s="60">
        <f t="shared" si="48"/>
        <v>2.8697285997550569E-5</v>
      </c>
      <c r="I310" s="60">
        <f t="shared" si="49"/>
        <v>5.1533744182080199E-5</v>
      </c>
      <c r="J310" s="60">
        <f t="shared" si="50"/>
        <v>5.1882866068968964E-5</v>
      </c>
      <c r="K310" s="60">
        <f t="shared" si="51"/>
        <v>1.6046483061410858E-4</v>
      </c>
      <c r="M310" s="60">
        <f t="shared" si="52"/>
        <v>8.4799349802032262E-6</v>
      </c>
      <c r="N310" s="60">
        <f t="shared" si="53"/>
        <v>3.4140831076999718E-6</v>
      </c>
      <c r="O310" s="60">
        <f t="shared" si="54"/>
        <v>2.1431617417793975E-6</v>
      </c>
      <c r="P310" s="60">
        <f t="shared" si="55"/>
        <v>1.2115760163979E-5</v>
      </c>
      <c r="Q310" s="60">
        <f t="shared" si="56"/>
        <v>1.669634596915595E-6</v>
      </c>
      <c r="R310" s="60">
        <f t="shared" si="57"/>
        <v>-2.1849125769048659E-5</v>
      </c>
    </row>
    <row r="311" spans="1:18" x14ac:dyDescent="0.3">
      <c r="A311">
        <f>'Parm VaR Eq Weights'!B310</f>
        <v>-7.5021631984300381E-3</v>
      </c>
      <c r="B311">
        <f>'Parm VaR Eq Weights'!C310</f>
        <v>4.1258865696204147E-3</v>
      </c>
      <c r="C311">
        <f>'Parm VaR Eq Weights'!D310</f>
        <v>-1.9459866645653687E-3</v>
      </c>
      <c r="D311">
        <f>'Parm VaR Eq Weights'!E310</f>
        <v>-9.7751853708177155E-4</v>
      </c>
      <c r="H311" s="60">
        <f t="shared" si="48"/>
        <v>2.7029760503886829E-5</v>
      </c>
      <c r="I311" s="60">
        <f t="shared" si="49"/>
        <v>5.0961033228518124E-5</v>
      </c>
      <c r="J311" s="60">
        <f t="shared" si="50"/>
        <v>4.8784804751790183E-5</v>
      </c>
      <c r="K311" s="60">
        <f t="shared" si="51"/>
        <v>1.5114343262784852E-4</v>
      </c>
      <c r="M311" s="60">
        <f t="shared" si="52"/>
        <v>7.6012360231197197E-6</v>
      </c>
      <c r="N311" s="60">
        <f t="shared" si="53"/>
        <v>3.2376954942777204E-6</v>
      </c>
      <c r="O311" s="60">
        <f t="shared" si="54"/>
        <v>2.1435917376241351E-6</v>
      </c>
      <c r="P311" s="60">
        <f t="shared" si="55"/>
        <v>1.1194998669545467E-5</v>
      </c>
      <c r="Q311" s="60">
        <f t="shared" si="56"/>
        <v>6.9073636239681332E-7</v>
      </c>
      <c r="R311" s="60">
        <f t="shared" si="57"/>
        <v>-2.0470576508578244E-5</v>
      </c>
    </row>
    <row r="312" spans="1:18" x14ac:dyDescent="0.3">
      <c r="A312">
        <f>'Parm VaR Eq Weights'!B311</f>
        <v>-2.1239854714627708E-3</v>
      </c>
      <c r="B312">
        <f>'Parm VaR Eq Weights'!C311</f>
        <v>4.1089335757647045E-3</v>
      </c>
      <c r="C312">
        <f>'Parm VaR Eq Weights'!D311</f>
        <v>7.5236116771204417E-3</v>
      </c>
      <c r="D312">
        <f>'Parm VaR Eq Weights'!E311</f>
        <v>-1.5290814276114124E-2</v>
      </c>
      <c r="H312" s="60">
        <f t="shared" si="48"/>
        <v>2.8784922033006302E-5</v>
      </c>
      <c r="I312" s="60">
        <f t="shared" si="49"/>
        <v>4.8924747633929478E-5</v>
      </c>
      <c r="J312" s="60">
        <f t="shared" si="50"/>
        <v>4.608492831260274E-5</v>
      </c>
      <c r="K312" s="60">
        <f t="shared" si="51"/>
        <v>1.421321592195979E-4</v>
      </c>
      <c r="M312" s="60">
        <f t="shared" si="52"/>
        <v>5.2879773987223535E-6</v>
      </c>
      <c r="N312" s="60">
        <f t="shared" si="53"/>
        <v>3.9193803369933333E-6</v>
      </c>
      <c r="O312" s="60">
        <f t="shared" si="54"/>
        <v>2.4549864490473691E-6</v>
      </c>
      <c r="P312" s="60">
        <f t="shared" si="55"/>
        <v>1.0041563534733297E-5</v>
      </c>
      <c r="Q312" s="60">
        <f t="shared" si="56"/>
        <v>4.0730434443096368E-7</v>
      </c>
      <c r="R312" s="60">
        <f t="shared" si="57"/>
        <v>-1.9128207635811953E-5</v>
      </c>
    </row>
    <row r="313" spans="1:18" x14ac:dyDescent="0.3">
      <c r="A313">
        <f>'Parm VaR Eq Weights'!B312</f>
        <v>9.6382793630324769E-3</v>
      </c>
      <c r="B313">
        <f>'Parm VaR Eq Weights'!C312</f>
        <v>4.5875724241346699E-3</v>
      </c>
      <c r="C313">
        <f>'Parm VaR Eq Weights'!D312</f>
        <v>-9.521505990707578E-3</v>
      </c>
      <c r="D313">
        <f>'Parm VaR Eq Weights'!E312</f>
        <v>7.5030601127213797E-3</v>
      </c>
      <c r="H313" s="60">
        <f t="shared" si="48"/>
        <v>2.7328505568005019E-5</v>
      </c>
      <c r="I313" s="60">
        <f t="shared" si="49"/>
        <v>4.7002262883696496E-5</v>
      </c>
      <c r="J313" s="60">
        <f t="shared" si="50"/>
        <v>4.6716116573932756E-5</v>
      </c>
      <c r="K313" s="60">
        <f t="shared" si="51"/>
        <v>1.4763276974001898E-4</v>
      </c>
      <c r="M313" s="60">
        <f t="shared" si="52"/>
        <v>4.4470598417112236E-6</v>
      </c>
      <c r="N313" s="60">
        <f t="shared" si="53"/>
        <v>2.7254150030658438E-6</v>
      </c>
      <c r="O313" s="60">
        <f t="shared" si="54"/>
        <v>4.2563353042626441E-6</v>
      </c>
      <c r="P313" s="60">
        <f t="shared" si="55"/>
        <v>1.1293910960517433E-5</v>
      </c>
      <c r="Q313" s="60">
        <f t="shared" si="56"/>
        <v>-3.3868703270293537E-6</v>
      </c>
      <c r="R313" s="60">
        <f t="shared" si="57"/>
        <v>-2.4883044108090372E-5</v>
      </c>
    </row>
    <row r="314" spans="1:18" x14ac:dyDescent="0.3">
      <c r="A314">
        <f>'Parm VaR Eq Weights'!B313</f>
        <v>-4.4709884705516657E-3</v>
      </c>
      <c r="B314">
        <f>'Parm VaR Eq Weights'!C313</f>
        <v>-2.8978907182890409E-2</v>
      </c>
      <c r="C314">
        <f>'Parm VaR Eq Weights'!D313</f>
        <v>-1.7381890909529549E-2</v>
      </c>
      <c r="D314">
        <f>'Parm VaR Eq Weights'!E313</f>
        <v>-1.3078622631303098E-2</v>
      </c>
      <c r="H314" s="60">
        <f t="shared" si="48"/>
        <v>3.1262580978716186E-5</v>
      </c>
      <c r="I314" s="60">
        <f t="shared" si="49"/>
        <v>4.5444876355475561E-5</v>
      </c>
      <c r="J314" s="60">
        <f t="shared" si="50"/>
        <v>4.9352694159361615E-5</v>
      </c>
      <c r="K314" s="60">
        <f t="shared" si="51"/>
        <v>1.4215255821892447E-4</v>
      </c>
      <c r="M314" s="60">
        <f t="shared" si="52"/>
        <v>6.8332145285257968E-6</v>
      </c>
      <c r="N314" s="60">
        <f t="shared" si="53"/>
        <v>-2.9443659788317294E-6</v>
      </c>
      <c r="O314" s="60">
        <f t="shared" si="54"/>
        <v>8.3399505526489653E-6</v>
      </c>
      <c r="P314" s="60">
        <f t="shared" si="55"/>
        <v>7.9954404037341961E-6</v>
      </c>
      <c r="Q314" s="60">
        <f t="shared" si="56"/>
        <v>-1.1184082072228679E-6</v>
      </c>
      <c r="R314" s="60">
        <f t="shared" si="57"/>
        <v>-2.7676487370319894E-5</v>
      </c>
    </row>
    <row r="315" spans="1:18" x14ac:dyDescent="0.3">
      <c r="A315">
        <f>'Parm VaR Eq Weights'!B314</f>
        <v>-1.6511651433377982E-2</v>
      </c>
      <c r="B315">
        <f>'Parm VaR Eq Weights'!C314</f>
        <v>5.2447846771525586E-3</v>
      </c>
      <c r="C315">
        <f>'Parm VaR Eq Weights'!D314</f>
        <v>7.6603162648351949E-3</v>
      </c>
      <c r="D315">
        <f>'Parm VaR Eq Weights'!E314</f>
        <v>-1.1395157664859936E-2</v>
      </c>
      <c r="H315" s="60">
        <f t="shared" si="48"/>
        <v>3.0586210394221571E-5</v>
      </c>
      <c r="I315" s="60">
        <f t="shared" si="49"/>
        <v>9.3104807465021707E-5</v>
      </c>
      <c r="J315" s="60">
        <f t="shared" si="50"/>
        <v>6.4519340405247091E-5</v>
      </c>
      <c r="K315" s="60">
        <f t="shared" si="51"/>
        <v>1.4388642692171101E-4</v>
      </c>
      <c r="M315" s="60">
        <f t="shared" si="52"/>
        <v>1.4197083251047648E-5</v>
      </c>
      <c r="N315" s="60">
        <f t="shared" si="53"/>
        <v>1.8951500110717836E-6</v>
      </c>
      <c r="O315" s="60">
        <f t="shared" si="54"/>
        <v>1.1348015779205164E-5</v>
      </c>
      <c r="P315" s="60">
        <f t="shared" si="55"/>
        <v>3.7738206179333172E-5</v>
      </c>
      <c r="Q315" s="60">
        <f t="shared" si="56"/>
        <v>2.1688947763965473E-5</v>
      </c>
      <c r="R315" s="60">
        <f t="shared" si="57"/>
        <v>-1.2376026618647802E-5</v>
      </c>
    </row>
    <row r="316" spans="1:18" x14ac:dyDescent="0.3">
      <c r="A316">
        <f>'Parm VaR Eq Weights'!B315</f>
        <v>-1.6054253294270422E-3</v>
      </c>
      <c r="B316">
        <f>'Parm VaR Eq Weights'!C315</f>
        <v>-1.2254199934040233E-2</v>
      </c>
      <c r="C316">
        <f>'Parm VaR Eq Weights'!D315</f>
        <v>-1.4014689918938766E-2</v>
      </c>
      <c r="D316">
        <f>'Parm VaR Eq Weights'!E315</f>
        <v>-7.0071633618969346E-3</v>
      </c>
      <c r="H316" s="60">
        <f t="shared" si="48"/>
        <v>4.5109115754010677E-5</v>
      </c>
      <c r="I316" s="60">
        <f t="shared" si="49"/>
        <v>8.9168984995702065E-5</v>
      </c>
      <c r="J316" s="60">
        <f t="shared" si="50"/>
        <v>6.416900669757018E-5</v>
      </c>
      <c r="K316" s="60">
        <f t="shared" si="51"/>
        <v>1.4304421839882932E-4</v>
      </c>
      <c r="M316" s="60">
        <f t="shared" si="52"/>
        <v>8.1492548700488899E-6</v>
      </c>
      <c r="N316" s="60">
        <f t="shared" si="53"/>
        <v>-5.8076273116562123E-6</v>
      </c>
      <c r="O316" s="60">
        <f t="shared" si="54"/>
        <v>2.1956307115886024E-5</v>
      </c>
      <c r="P316" s="60">
        <f t="shared" si="55"/>
        <v>3.788451637065019E-5</v>
      </c>
      <c r="Q316" s="60">
        <f t="shared" si="56"/>
        <v>1.6801701999263848E-5</v>
      </c>
      <c r="R316" s="60">
        <f t="shared" si="57"/>
        <v>-1.6870895717558219E-5</v>
      </c>
    </row>
    <row r="317" spans="1:18" x14ac:dyDescent="0.3">
      <c r="A317">
        <f>'Parm VaR Eq Weights'!B316</f>
        <v>-3.0214248826747041E-3</v>
      </c>
      <c r="B317">
        <f>'Parm VaR Eq Weights'!C316</f>
        <v>-2.3863881386801882E-2</v>
      </c>
      <c r="C317">
        <f>'Parm VaR Eq Weights'!D316</f>
        <v>7.6234830230979683E-3</v>
      </c>
      <c r="D317">
        <f>'Parm VaR Eq Weights'!E316</f>
        <v>-2.0979062341306278E-2</v>
      </c>
      <c r="H317" s="60">
        <f t="shared" si="48"/>
        <v>4.2557212238071992E-5</v>
      </c>
      <c r="I317" s="60">
        <f t="shared" si="49"/>
        <v>9.2828770857365854E-5</v>
      </c>
      <c r="J317" s="60">
        <f t="shared" si="50"/>
        <v>7.21035583071562E-5</v>
      </c>
      <c r="K317" s="60">
        <f t="shared" si="51"/>
        <v>1.3740758559771819E-4</v>
      </c>
      <c r="M317" s="60">
        <f t="shared" si="52"/>
        <v>8.8406917558042397E-6</v>
      </c>
      <c r="N317" s="60">
        <f t="shared" si="53"/>
        <v>-4.1091973821610316E-6</v>
      </c>
      <c r="O317" s="60">
        <f t="shared" si="54"/>
        <v>2.131389734185021E-5</v>
      </c>
      <c r="P317" s="60">
        <f t="shared" si="55"/>
        <v>4.5915774125226415E-5</v>
      </c>
      <c r="Q317" s="60">
        <f t="shared" si="56"/>
        <v>2.0945630727738013E-5</v>
      </c>
      <c r="R317" s="60">
        <f t="shared" si="57"/>
        <v>-9.9664486708046776E-6</v>
      </c>
    </row>
    <row r="318" spans="1:18" x14ac:dyDescent="0.3">
      <c r="A318">
        <f>'Parm VaR Eq Weights'!B317</f>
        <v>3.7202970362448231E-3</v>
      </c>
      <c r="B318">
        <f>'Parm VaR Eq Weights'!C317</f>
        <v>8.447929320785072E-3</v>
      </c>
      <c r="C318">
        <f>'Parm VaR Eq Weights'!D317</f>
        <v>-1.527695304120494E-2</v>
      </c>
      <c r="D318">
        <f>'Parm VaR Eq Weights'!E317</f>
        <v>-6.5241707345832277E-3</v>
      </c>
      <c r="H318" s="60">
        <f t="shared" si="48"/>
        <v>4.0551520003086426E-5</v>
      </c>
      <c r="I318" s="60">
        <f t="shared" si="49"/>
        <v>1.2142813469652488E-4</v>
      </c>
      <c r="J318" s="60">
        <f t="shared" si="50"/>
        <v>7.1264394412934605E-5</v>
      </c>
      <c r="K318" s="60">
        <f t="shared" si="51"/>
        <v>1.5557039386508004E-4</v>
      </c>
      <c r="M318" s="60">
        <f t="shared" si="52"/>
        <v>1.2636425751612844E-5</v>
      </c>
      <c r="N318" s="60">
        <f t="shared" si="53"/>
        <v>-5.244672417149554E-6</v>
      </c>
      <c r="O318" s="60">
        <f t="shared" si="54"/>
        <v>2.3838263159731597E-5</v>
      </c>
      <c r="P318" s="60">
        <f t="shared" si="55"/>
        <v>3.2245274000662349E-5</v>
      </c>
      <c r="Q318" s="60">
        <f t="shared" si="56"/>
        <v>4.9727404203229068E-5</v>
      </c>
      <c r="R318" s="60">
        <f t="shared" si="57"/>
        <v>-1.8964473286524145E-5</v>
      </c>
    </row>
    <row r="319" spans="1:18" x14ac:dyDescent="0.3">
      <c r="A319">
        <f>'Parm VaR Eq Weights'!B318</f>
        <v>-2.4130557147495929E-2</v>
      </c>
      <c r="B319">
        <f>'Parm VaR Eq Weights'!C318</f>
        <v>-7.499423813779966E-3</v>
      </c>
      <c r="C319">
        <f>'Parm VaR Eq Weights'!D318</f>
        <v>7.7017848162738165E-3</v>
      </c>
      <c r="D319">
        <f>'Parm VaR Eq Weights'!E318</f>
        <v>-9.9540495515648662E-3</v>
      </c>
      <c r="H319" s="60">
        <f t="shared" si="48"/>
        <v>3.8948865405174761E-5</v>
      </c>
      <c r="I319" s="60">
        <f t="shared" si="49"/>
        <v>1.1842449720327218E-4</v>
      </c>
      <c r="J319" s="60">
        <f t="shared" si="50"/>
        <v>8.0991648401549382E-5</v>
      </c>
      <c r="K319" s="60">
        <f t="shared" si="51"/>
        <v>1.4879005845961477E-4</v>
      </c>
      <c r="M319" s="60">
        <f t="shared" si="52"/>
        <v>1.3763968591387421E-5</v>
      </c>
      <c r="N319" s="60">
        <f t="shared" si="53"/>
        <v>-8.3400802594433477E-6</v>
      </c>
      <c r="O319" s="60">
        <f t="shared" si="54"/>
        <v>2.0951656187278186E-5</v>
      </c>
      <c r="P319" s="60">
        <f t="shared" si="55"/>
        <v>2.2567040388879486E-5</v>
      </c>
      <c r="Q319" s="60">
        <f t="shared" si="56"/>
        <v>4.3436815956485703E-5</v>
      </c>
      <c r="R319" s="60">
        <f t="shared" si="57"/>
        <v>-1.1846437892630801E-5</v>
      </c>
    </row>
    <row r="320" spans="1:18" x14ac:dyDescent="0.3">
      <c r="A320">
        <f>'Parm VaR Eq Weights'!B319</f>
        <v>8.0159445714540947E-3</v>
      </c>
      <c r="B320">
        <f>'Parm VaR Eq Weights'!C319</f>
        <v>-7.5560901360855939E-3</v>
      </c>
      <c r="C320">
        <f>'Parm VaR Eq Weights'!D319</f>
        <v>8.5518896912586094E-3</v>
      </c>
      <c r="D320">
        <f>'Parm VaR Eq Weights'!E319</f>
        <v>-6.209741725656092E-3</v>
      </c>
      <c r="H320" s="60">
        <f t="shared" si="48"/>
        <v>7.1548960775778326E-5</v>
      </c>
      <c r="I320" s="60">
        <f t="shared" si="49"/>
        <v>1.1469350882339726E-4</v>
      </c>
      <c r="J320" s="60">
        <f t="shared" si="50"/>
        <v>7.9691198858827578E-5</v>
      </c>
      <c r="K320" s="60">
        <f t="shared" si="51"/>
        <v>1.458076411005384E-4</v>
      </c>
      <c r="M320" s="60">
        <f t="shared" si="52"/>
        <v>2.3796046970606746E-5</v>
      </c>
      <c r="N320" s="60">
        <f t="shared" si="53"/>
        <v>-1.8990576962685459E-5</v>
      </c>
      <c r="O320" s="60">
        <f t="shared" si="54"/>
        <v>3.4106362509224043E-5</v>
      </c>
      <c r="P320" s="60">
        <f t="shared" si="55"/>
        <v>1.7747481057960344E-5</v>
      </c>
      <c r="Q320" s="60">
        <f t="shared" si="56"/>
        <v>4.5309585174129641E-5</v>
      </c>
      <c r="R320" s="60">
        <f t="shared" si="57"/>
        <v>-1.5735488480873726E-5</v>
      </c>
    </row>
    <row r="321" spans="1:18" x14ac:dyDescent="0.3">
      <c r="A321">
        <f>'Parm VaR Eq Weights'!B320</f>
        <v>5.8389751355060688E-3</v>
      </c>
      <c r="B321">
        <f>'Parm VaR Eq Weights'!C320</f>
        <v>5.2162472484699402E-3</v>
      </c>
      <c r="C321">
        <f>'Parm VaR Eq Weights'!D320</f>
        <v>1.4515169829025407E-2</v>
      </c>
      <c r="D321">
        <f>'Parm VaR Eq Weights'!E320</f>
        <v>6.6603221744926484E-3</v>
      </c>
      <c r="H321" s="60">
        <f t="shared" si="48"/>
        <v>7.1111345171589096E-5</v>
      </c>
      <c r="I321" s="60">
        <f t="shared" si="49"/>
        <v>1.1123756818267243E-4</v>
      </c>
      <c r="J321" s="60">
        <f t="shared" si="50"/>
        <v>7.9297815964785237E-5</v>
      </c>
      <c r="K321" s="60">
        <f t="shared" si="51"/>
        <v>1.3937283617246736E-4</v>
      </c>
      <c r="M321" s="60">
        <f t="shared" si="52"/>
        <v>1.8734132169903949E-5</v>
      </c>
      <c r="N321" s="60">
        <f t="shared" si="53"/>
        <v>-1.3738053920145204E-5</v>
      </c>
      <c r="O321" s="60">
        <f t="shared" si="54"/>
        <v>2.9073364030116301E-5</v>
      </c>
      <c r="P321" s="60">
        <f t="shared" si="55"/>
        <v>1.2805501234022043E-5</v>
      </c>
      <c r="Q321" s="60">
        <f t="shared" si="56"/>
        <v>4.5406292155734011E-5</v>
      </c>
      <c r="R321" s="60">
        <f t="shared" si="57"/>
        <v>-1.7977660746962309E-5</v>
      </c>
    </row>
    <row r="322" spans="1:18" x14ac:dyDescent="0.3">
      <c r="A322">
        <f>'Parm VaR Eq Weights'!B321</f>
        <v>8.8952869724289937E-3</v>
      </c>
      <c r="B322">
        <f>'Parm VaR Eq Weights'!C321</f>
        <v>2.2496161971969687E-4</v>
      </c>
      <c r="C322">
        <f>'Parm VaR Eq Weights'!D321</f>
        <v>-6.5145755605194337E-3</v>
      </c>
      <c r="D322">
        <f>'Parm VaR Eq Weights'!E321</f>
        <v>-1.1506491973906335E-2</v>
      </c>
      <c r="H322" s="60">
        <f t="shared" si="48"/>
        <v>6.8890282299277243E-5</v>
      </c>
      <c r="I322" s="60">
        <f t="shared" si="49"/>
        <v>1.061958682131423E-4</v>
      </c>
      <c r="J322" s="60">
        <f t="shared" si="50"/>
        <v>8.7181356316825103E-5</v>
      </c>
      <c r="K322" s="60">
        <f t="shared" si="51"/>
        <v>1.3367205949020163E-4</v>
      </c>
      <c r="M322" s="60">
        <f t="shared" si="52"/>
        <v>1.9437536518777787E-5</v>
      </c>
      <c r="N322" s="60">
        <f t="shared" si="53"/>
        <v>-7.828547741776852E-6</v>
      </c>
      <c r="O322" s="60">
        <f t="shared" si="54"/>
        <v>2.9662329522588661E-5</v>
      </c>
      <c r="P322" s="60">
        <f t="shared" si="55"/>
        <v>1.6580054040884385E-5</v>
      </c>
      <c r="Q322" s="60">
        <f t="shared" si="56"/>
        <v>4.47664278593872E-5</v>
      </c>
      <c r="R322" s="60">
        <f t="shared" si="57"/>
        <v>-1.1098458653417489E-5</v>
      </c>
    </row>
    <row r="323" spans="1:18" x14ac:dyDescent="0.3">
      <c r="A323">
        <f>'Parm VaR Eq Weights'!B322</f>
        <v>-5.8373333297620962E-3</v>
      </c>
      <c r="B323">
        <f>'Parm VaR Eq Weights'!C322</f>
        <v>-1.1621876492696647E-2</v>
      </c>
      <c r="C323">
        <f>'Parm VaR Eq Weights'!D322</f>
        <v>-1.5444036430211064E-2</v>
      </c>
      <c r="D323">
        <f>'Parm VaR Eq Weights'!E322</f>
        <v>9.7829926205113722E-3</v>
      </c>
      <c r="H323" s="60">
        <f t="shared" si="48"/>
        <v>6.9504433180632509E-5</v>
      </c>
      <c r="I323" s="60">
        <f t="shared" si="49"/>
        <v>9.9827152584174575E-5</v>
      </c>
      <c r="J323" s="60">
        <f t="shared" si="50"/>
        <v>8.449685662183862E-5</v>
      </c>
      <c r="K323" s="60">
        <f t="shared" si="51"/>
        <v>1.3359569737352378E-4</v>
      </c>
      <c r="M323" s="60">
        <f t="shared" si="52"/>
        <v>1.8391350217562467E-5</v>
      </c>
      <c r="N323" s="60">
        <f t="shared" si="53"/>
        <v>-1.0835776024133813E-5</v>
      </c>
      <c r="O323" s="60">
        <f t="shared" si="54"/>
        <v>2.1741376862002468E-5</v>
      </c>
      <c r="P323" s="60">
        <f t="shared" si="55"/>
        <v>1.549731903023847E-5</v>
      </c>
      <c r="Q323" s="60">
        <f t="shared" si="56"/>
        <v>4.1925131043519463E-5</v>
      </c>
      <c r="R323" s="60">
        <f t="shared" si="57"/>
        <v>-5.9349564501810424E-6</v>
      </c>
    </row>
    <row r="324" spans="1:18" x14ac:dyDescent="0.3">
      <c r="A324">
        <f>'Parm VaR Eq Weights'!B323</f>
        <v>-6.7493779761946832E-3</v>
      </c>
      <c r="B324">
        <f>'Parm VaR Eq Weights'!C323</f>
        <v>-5.6841388021336633E-3</v>
      </c>
      <c r="C324">
        <f>'Parm VaR Eq Weights'!D323</f>
        <v>7.4924606875452172E-3</v>
      </c>
      <c r="D324">
        <f>'Parm VaR Eq Weights'!E323</f>
        <v>-8.3581903758504199E-3</v>
      </c>
      <c r="H324" s="60">
        <f t="shared" si="48"/>
        <v>6.737863481395965E-5</v>
      </c>
      <c r="I324" s="60">
        <f t="shared" si="49"/>
        <v>1.019416042218138E-4</v>
      </c>
      <c r="J324" s="60">
        <f t="shared" si="50"/>
        <v>9.37381408999895E-5</v>
      </c>
      <c r="K324" s="60">
        <f t="shared" si="51"/>
        <v>1.3132237220789115E-4</v>
      </c>
      <c r="M324" s="60">
        <f t="shared" si="52"/>
        <v>2.1358315224820528E-5</v>
      </c>
      <c r="N324" s="60">
        <f t="shared" si="53"/>
        <v>-4.7765101466779144E-6</v>
      </c>
      <c r="O324" s="60">
        <f t="shared" si="54"/>
        <v>1.7010498916970656E-5</v>
      </c>
      <c r="P324" s="60">
        <f t="shared" si="55"/>
        <v>2.5336800924861409E-5</v>
      </c>
      <c r="Q324" s="60">
        <f t="shared" si="56"/>
        <v>3.2587819263035536E-5</v>
      </c>
      <c r="R324" s="60">
        <f t="shared" si="57"/>
        <v>-1.4644192728830007E-5</v>
      </c>
    </row>
    <row r="325" spans="1:18" x14ac:dyDescent="0.3">
      <c r="A325">
        <f>'Parm VaR Eq Weights'!B324</f>
        <v>8.4958356083544694E-3</v>
      </c>
      <c r="B325">
        <f>'Parm VaR Eq Weights'!C324</f>
        <v>-4.6916285327262492E-3</v>
      </c>
      <c r="C325">
        <f>'Parm VaR Eq Weights'!D324</f>
        <v>1.9013628980129242E-3</v>
      </c>
      <c r="D325">
        <f>'Parm VaR Eq Weights'!E324</f>
        <v>-3.1635532960220077E-4</v>
      </c>
      <c r="H325" s="60">
        <f t="shared" si="48"/>
        <v>6.606916290905458E-5</v>
      </c>
      <c r="I325" s="60">
        <f t="shared" si="49"/>
        <v>9.776367400382025E-5</v>
      </c>
      <c r="J325" s="60">
        <f t="shared" si="50"/>
        <v>9.1482070475254758E-5</v>
      </c>
      <c r="K325" s="60">
        <f t="shared" si="51"/>
        <v>1.2763459065695518E-4</v>
      </c>
      <c r="M325" s="60">
        <f t="shared" si="52"/>
        <v>2.2378680386016572E-5</v>
      </c>
      <c r="N325" s="60">
        <f t="shared" si="53"/>
        <v>-7.5240864869985722E-6</v>
      </c>
      <c r="O325" s="60">
        <f t="shared" si="54"/>
        <v>1.9374624144568847E-5</v>
      </c>
      <c r="P325" s="60">
        <f t="shared" si="55"/>
        <v>2.1261301678317512E-5</v>
      </c>
      <c r="Q325" s="60">
        <f t="shared" si="56"/>
        <v>3.3483096961112897E-5</v>
      </c>
      <c r="R325" s="60">
        <f t="shared" si="57"/>
        <v>-1.7522945933704893E-5</v>
      </c>
    </row>
    <row r="326" spans="1:18" x14ac:dyDescent="0.3">
      <c r="A326">
        <f>'Parm VaR Eq Weights'!B325</f>
        <v>-2.8243959201321328E-3</v>
      </c>
      <c r="B326">
        <f>'Parm VaR Eq Weights'!C325</f>
        <v>1.7608126692312128E-3</v>
      </c>
      <c r="C326">
        <f>'Parm VaR Eq Weights'!D325</f>
        <v>-1.557621911582327E-2</v>
      </c>
      <c r="D326">
        <f>'Parm VaR Eq Weights'!E325</f>
        <v>7.7846666608616995E-4</v>
      </c>
      <c r="H326" s="60">
        <f t="shared" ref="H326:H389" si="58">H325*$F$3+A325^2*(1-$F$3)</f>
        <v>6.643576649556233E-5</v>
      </c>
      <c r="I326" s="60">
        <f t="shared" ref="I326:I389" si="59">I325*$F$3+B325^2*(1-$F$3)</f>
        <v>9.3218536260936496E-5</v>
      </c>
      <c r="J326" s="60">
        <f t="shared" ref="J326:J389" si="60">J325*$F$3+C325^2*(1-$F$3)</f>
        <v>8.6210057098935866E-5</v>
      </c>
      <c r="K326" s="60">
        <f t="shared" ref="K326:K389" si="61">K325*$F$3+D325^2*(1-$F$3)</f>
        <v>1.1998252005921193E-4</v>
      </c>
      <c r="M326" s="60">
        <f t="shared" ref="M326:M389" si="62">M325*$F$3+A325*B325*(1-$F$3)</f>
        <v>1.8644401277885123E-5</v>
      </c>
      <c r="N326" s="60">
        <f t="shared" ref="N326:N389" si="63">N325*$F$3+A325*C325*(1-$F$3)</f>
        <v>-6.1034213009781211E-6</v>
      </c>
      <c r="O326" s="60">
        <f t="shared" ref="O326:O389" si="64">O325*$F$3+A325*D325*(1-$F$3)</f>
        <v>1.805088452344709E-5</v>
      </c>
      <c r="P326" s="60">
        <f t="shared" ref="P326:P389" si="65">P325*$F$3+B325*C325*(1-$F$3)</f>
        <v>1.9450394272215389E-5</v>
      </c>
      <c r="Q326" s="60">
        <f t="shared" ref="Q326:Q389" si="66">Q325*$F$3+B325*D325*(1-$F$3)</f>
        <v>3.1563164444896627E-5</v>
      </c>
      <c r="R326" s="60">
        <f t="shared" ref="R326:R389" si="67">R325*$F$3+C325*D325*(1-$F$3)</f>
        <v>-1.6507659554860254E-5</v>
      </c>
    </row>
    <row r="327" spans="1:18" x14ac:dyDescent="0.3">
      <c r="A327">
        <f>'Parm VaR Eq Weights'!B326</f>
        <v>-1.19141501894838E-2</v>
      </c>
      <c r="B327">
        <f>'Parm VaR Eq Weights'!C326</f>
        <v>-1.5838069477643501E-2</v>
      </c>
      <c r="C327">
        <f>'Parm VaR Eq Weights'!D326</f>
        <v>7.1523818541362472E-3</v>
      </c>
      <c r="D327">
        <f>'Parm VaR Eq Weights'!E326</f>
        <v>-7.6153024056342684E-3</v>
      </c>
      <c r="H327" s="60">
        <f t="shared" si="58"/>
        <v>6.292825324464813E-5</v>
      </c>
      <c r="I327" s="60">
        <f t="shared" si="59"/>
        <v>8.7811451760647801E-5</v>
      </c>
      <c r="J327" s="60">
        <f t="shared" si="60"/>
        <v>9.559456978964802E-5</v>
      </c>
      <c r="K327" s="60">
        <f t="shared" si="61"/>
        <v>1.1281992947667163E-4</v>
      </c>
      <c r="M327" s="60">
        <f t="shared" si="62"/>
        <v>1.7227343274066398E-5</v>
      </c>
      <c r="N327" s="60">
        <f t="shared" si="63"/>
        <v>-3.0976114396105086E-6</v>
      </c>
      <c r="O327" s="60">
        <f t="shared" si="64"/>
        <v>1.6835909567501104E-5</v>
      </c>
      <c r="P327" s="60">
        <f t="shared" si="65"/>
        <v>1.663776237841068E-5</v>
      </c>
      <c r="Q327" s="60">
        <f t="shared" si="66"/>
        <v>2.9751618616295949E-5</v>
      </c>
      <c r="R327" s="60">
        <f t="shared" si="67"/>
        <v>-1.6244734023487997E-5</v>
      </c>
    </row>
    <row r="328" spans="1:18" x14ac:dyDescent="0.3">
      <c r="A328">
        <f>'Parm VaR Eq Weights'!B327</f>
        <v>1.3535592343441622E-3</v>
      </c>
      <c r="B328">
        <f>'Parm VaR Eq Weights'!C327</f>
        <v>3.183276944275568E-3</v>
      </c>
      <c r="C328">
        <f>'Parm VaR Eq Weights'!D327</f>
        <v>4.1997963689389102E-3</v>
      </c>
      <c r="D328">
        <f>'Parm VaR Eq Weights'!E327</f>
        <v>2.4638154326455577E-3</v>
      </c>
      <c r="H328" s="60">
        <f t="shared" si="58"/>
        <v>6.766937653422385E-5</v>
      </c>
      <c r="I328" s="60">
        <f t="shared" si="59"/>
        <v>9.7593431341728705E-5</v>
      </c>
      <c r="J328" s="60">
        <f t="shared" si="60"/>
        <v>9.2928289573511791E-5</v>
      </c>
      <c r="K328" s="60">
        <f t="shared" si="61"/>
        <v>1.0953030355182687E-4</v>
      </c>
      <c r="M328" s="60">
        <f t="shared" si="62"/>
        <v>2.7515530985709859E-5</v>
      </c>
      <c r="N328" s="60">
        <f t="shared" si="63"/>
        <v>-8.0246278505969552E-6</v>
      </c>
      <c r="O328" s="60">
        <f t="shared" si="64"/>
        <v>2.1269546389394879E-5</v>
      </c>
      <c r="P328" s="60">
        <f t="shared" si="65"/>
        <v>8.8427013915192402E-6</v>
      </c>
      <c r="Q328" s="60">
        <f t="shared" si="66"/>
        <v>3.5203222814940267E-5</v>
      </c>
      <c r="R328" s="60">
        <f t="shared" si="67"/>
        <v>-1.8538103026467838E-5</v>
      </c>
    </row>
    <row r="329" spans="1:18" x14ac:dyDescent="0.3">
      <c r="A329">
        <f>'Parm VaR Eq Weights'!B328</f>
        <v>-8.3756769162137198E-3</v>
      </c>
      <c r="B329">
        <f>'Parm VaR Eq Weights'!C328</f>
        <v>-2.4069610747331242E-3</v>
      </c>
      <c r="C329">
        <f>'Parm VaR Eq Weights'!D328</f>
        <v>-6.5925111521282836E-3</v>
      </c>
      <c r="D329">
        <f>'Parm VaR Eq Weights'!E328</f>
        <v>-5.7982366438590624E-3</v>
      </c>
      <c r="H329" s="60">
        <f t="shared" si="58"/>
        <v>6.3719141298223113E-5</v>
      </c>
      <c r="I329" s="60">
        <f t="shared" si="59"/>
        <v>9.2345820587462358E-5</v>
      </c>
      <c r="J329" s="60">
        <f t="shared" si="60"/>
        <v>8.8410889571534222E-5</v>
      </c>
      <c r="K329" s="60">
        <f t="shared" si="61"/>
        <v>1.033227085278858E-4</v>
      </c>
      <c r="M329" s="60">
        <f t="shared" si="62"/>
        <v>2.612312436077121E-5</v>
      </c>
      <c r="N329" s="60">
        <f t="shared" si="63"/>
        <v>-7.2020697901085963E-6</v>
      </c>
      <c r="O329" s="60">
        <f t="shared" si="64"/>
        <v>2.0193468813865808E-5</v>
      </c>
      <c r="P329" s="60">
        <f t="shared" si="65"/>
        <v>9.1142862051418136E-6</v>
      </c>
      <c r="Q329" s="60">
        <f t="shared" si="66"/>
        <v>3.3561609857745304E-5</v>
      </c>
      <c r="R329" s="60">
        <f t="shared" si="67"/>
        <v>-1.680496545841414E-5</v>
      </c>
    </row>
    <row r="330" spans="1:18" x14ac:dyDescent="0.3">
      <c r="A330">
        <f>'Parm VaR Eq Weights'!B329</f>
        <v>-6.9119122390440685E-3</v>
      </c>
      <c r="B330">
        <f>'Parm VaR Eq Weights'!C329</f>
        <v>3.7643053649865227E-3</v>
      </c>
      <c r="C330">
        <f>'Parm VaR Eq Weights'!D329</f>
        <v>-1.8291543206820731E-2</v>
      </c>
      <c r="D330">
        <f>'Parm VaR Eq Weights'!E329</f>
        <v>1.5515148088727751E-3</v>
      </c>
      <c r="H330" s="60">
        <f t="shared" si="58"/>
        <v>6.4105110648617449E-5</v>
      </c>
      <c r="I330" s="60">
        <f t="shared" si="59"/>
        <v>8.715267904913144E-5</v>
      </c>
      <c r="J330" s="60">
        <f t="shared" si="60"/>
        <v>8.5713908394698313E-5</v>
      </c>
      <c r="K330" s="60">
        <f t="shared" si="61"/>
        <v>9.9140518906904048E-5</v>
      </c>
      <c r="M330" s="60">
        <f t="shared" si="62"/>
        <v>2.5765332597836969E-5</v>
      </c>
      <c r="N330" s="60">
        <f t="shared" si="63"/>
        <v>-3.4569409940963345E-6</v>
      </c>
      <c r="O330" s="60">
        <f t="shared" si="64"/>
        <v>2.1895710093796754E-5</v>
      </c>
      <c r="P330" s="60">
        <f t="shared" si="65"/>
        <v>9.5195040965083135E-6</v>
      </c>
      <c r="Q330" s="60">
        <f t="shared" si="66"/>
        <v>3.2385281060512181E-5</v>
      </c>
      <c r="R330" s="60">
        <f t="shared" si="67"/>
        <v>-1.3503171146670105E-5</v>
      </c>
    </row>
    <row r="331" spans="1:18" x14ac:dyDescent="0.3">
      <c r="A331">
        <f>'Parm VaR Eq Weights'!B330</f>
        <v>2.0984710702871764E-3</v>
      </c>
      <c r="B331">
        <f>'Parm VaR Eq Weights'!C330</f>
        <v>-5.6624687587781778E-3</v>
      </c>
      <c r="C331">
        <f>'Parm VaR Eq Weights'!D330</f>
        <v>5.519559400863126E-3</v>
      </c>
      <c r="D331">
        <f>'Parm VaR Eq Weights'!E330</f>
        <v>-3.0829918455029062E-3</v>
      </c>
      <c r="H331" s="60">
        <f t="shared" si="58"/>
        <v>6.3125275857715241E-5</v>
      </c>
      <c r="I331" s="60">
        <f t="shared" si="59"/>
        <v>8.2773717999035527E-5</v>
      </c>
      <c r="J331" s="60">
        <f t="shared" si="60"/>
        <v>1.006459070642358E-4</v>
      </c>
      <c r="K331" s="60">
        <f t="shared" si="61"/>
        <v>9.3336519664618888E-5</v>
      </c>
      <c r="M331" s="60">
        <f t="shared" si="62"/>
        <v>2.265829974254177E-5</v>
      </c>
      <c r="N331" s="60">
        <f t="shared" si="63"/>
        <v>4.3362479472831077E-6</v>
      </c>
      <c r="O331" s="60">
        <f t="shared" si="64"/>
        <v>1.9938531436378595E-5</v>
      </c>
      <c r="P331" s="60">
        <f t="shared" si="65"/>
        <v>4.8170365970787261E-6</v>
      </c>
      <c r="Q331" s="60">
        <f t="shared" si="66"/>
        <v>3.0792586728015198E-5</v>
      </c>
      <c r="R331" s="60">
        <f t="shared" si="67"/>
        <v>-1.4395756887621013E-5</v>
      </c>
    </row>
    <row r="332" spans="1:18" x14ac:dyDescent="0.3">
      <c r="A332">
        <f>'Parm VaR Eq Weights'!B331</f>
        <v>-1.3195372513534276E-2</v>
      </c>
      <c r="B332">
        <f>'Parm VaR Eq Weights'!C331</f>
        <v>-4.4364576814264608E-3</v>
      </c>
      <c r="C332">
        <f>'Parm VaR Eq Weights'!D331</f>
        <v>-1.144956466543459E-2</v>
      </c>
      <c r="D332">
        <f>'Parm VaR Eq Weights'!E331</f>
        <v>4.2246139181983014E-2</v>
      </c>
      <c r="H332" s="60">
        <f t="shared" si="58"/>
        <v>5.9601974156222256E-5</v>
      </c>
      <c r="I332" s="60">
        <f t="shared" si="59"/>
        <v>7.9731108065741725E-5</v>
      </c>
      <c r="J332" s="60">
        <f t="shared" si="60"/>
        <v>9.6435084799161028E-5</v>
      </c>
      <c r="K332" s="60">
        <f t="shared" si="61"/>
        <v>8.8306618807907996E-5</v>
      </c>
      <c r="M332" s="60">
        <f t="shared" si="62"/>
        <v>2.0585850145387204E-5</v>
      </c>
      <c r="N332" s="60">
        <f t="shared" si="63"/>
        <v>4.7710312138526947E-6</v>
      </c>
      <c r="O332" s="60">
        <f t="shared" si="64"/>
        <v>1.8354045398332731E-5</v>
      </c>
      <c r="P332" s="60">
        <f t="shared" si="65"/>
        <v>2.6527544410775294E-6</v>
      </c>
      <c r="Q332" s="60">
        <f t="shared" si="66"/>
        <v>2.9992472224857972E-5</v>
      </c>
      <c r="R332" s="60">
        <f t="shared" si="67"/>
        <v>-1.4553016871781547E-5</v>
      </c>
    </row>
    <row r="333" spans="1:18" x14ac:dyDescent="0.3">
      <c r="A333">
        <f>'Parm VaR Eq Weights'!B332</f>
        <v>-2.7652405241348895E-3</v>
      </c>
      <c r="B333">
        <f>'Parm VaR Eq Weights'!C332</f>
        <v>-7.884637816103067E-3</v>
      </c>
      <c r="C333">
        <f>'Parm VaR Eq Weights'!D332</f>
        <v>1.3096614332943129E-2</v>
      </c>
      <c r="D333">
        <f>'Parm VaR Eq Weights'!E332</f>
        <v>-2.046212305609129E-2</v>
      </c>
      <c r="H333" s="60">
        <f t="shared" si="58"/>
        <v>6.6472927053105082E-5</v>
      </c>
      <c r="I333" s="60">
        <f t="shared" si="59"/>
        <v>7.612817098734249E-5</v>
      </c>
      <c r="J333" s="60">
        <f t="shared" si="60"/>
        <v>9.8514531572889465E-5</v>
      </c>
      <c r="K333" s="60">
        <f t="shared" si="61"/>
        <v>1.9009239822644243E-4</v>
      </c>
      <c r="M333" s="60">
        <f t="shared" si="62"/>
        <v>2.2863141841481138E-5</v>
      </c>
      <c r="N333" s="60">
        <f t="shared" si="63"/>
        <v>1.3549645593714073E-5</v>
      </c>
      <c r="O333" s="60">
        <f t="shared" si="64"/>
        <v>-1.6194409951460187E-5</v>
      </c>
      <c r="P333" s="60">
        <f t="shared" si="65"/>
        <v>5.5413197211502565E-6</v>
      </c>
      <c r="Q333" s="60">
        <f t="shared" si="66"/>
        <v>1.6947531370295284E-5</v>
      </c>
      <c r="R333" s="60">
        <f t="shared" si="67"/>
        <v>-4.2701830005218543E-5</v>
      </c>
    </row>
    <row r="334" spans="1:18" x14ac:dyDescent="0.3">
      <c r="A334">
        <f>'Parm VaR Eq Weights'!B333</f>
        <v>2.1432370802960902E-2</v>
      </c>
      <c r="B334">
        <f>'Parm VaR Eq Weights'!C333</f>
        <v>-2.6877977962709126E-4</v>
      </c>
      <c r="C334">
        <f>'Parm VaR Eq Weights'!D333</f>
        <v>1.5214693513282751E-2</v>
      </c>
      <c r="D334">
        <f>'Parm VaR Eq Weights'!E333</f>
        <v>-1.844910050176618E-2</v>
      </c>
      <c r="H334" s="60">
        <f t="shared" si="58"/>
        <v>6.2943344739297842E-5</v>
      </c>
      <c r="I334" s="60">
        <f t="shared" si="59"/>
        <v>7.5290531537569296E-5</v>
      </c>
      <c r="J334" s="60">
        <f t="shared" si="60"/>
        <v>1.028949380976672E-4</v>
      </c>
      <c r="K334" s="60">
        <f t="shared" si="61"/>
        <v>2.0380876313061326E-4</v>
      </c>
      <c r="M334" s="60">
        <f t="shared" si="62"/>
        <v>2.2799528531425148E-5</v>
      </c>
      <c r="N334" s="60">
        <f t="shared" si="63"/>
        <v>1.0563749537146017E-5</v>
      </c>
      <c r="O334" s="60">
        <f t="shared" si="64"/>
        <v>-1.1827783841300263E-5</v>
      </c>
      <c r="P334" s="60">
        <f t="shared" si="65"/>
        <v>-9.8688310006521468E-7</v>
      </c>
      <c r="Q334" s="60">
        <f t="shared" si="66"/>
        <v>2.5610865242826287E-5</v>
      </c>
      <c r="R334" s="60">
        <f t="shared" si="67"/>
        <v>-5.6218792250836518E-5</v>
      </c>
    </row>
    <row r="335" spans="1:18" x14ac:dyDescent="0.3">
      <c r="A335">
        <f>'Parm VaR Eq Weights'!B334</f>
        <v>8.1618544902071835E-3</v>
      </c>
      <c r="B335">
        <f>'Parm VaR Eq Weights'!C334</f>
        <v>-4.9208201082147638E-3</v>
      </c>
      <c r="C335">
        <f>'Parm VaR Eq Weights'!D334</f>
        <v>-2.0399788606245014E-3</v>
      </c>
      <c r="D335">
        <f>'Parm VaR Eq Weights'!E334</f>
        <v>1.4370337103887152E-3</v>
      </c>
      <c r="H335" s="60">
        <f t="shared" si="58"/>
        <v>8.6727535149076649E-5</v>
      </c>
      <c r="I335" s="60">
        <f t="shared" si="59"/>
        <v>7.077743419951131E-5</v>
      </c>
      <c r="J335" s="60">
        <f t="shared" si="60"/>
        <v>1.1061045573399487E-4</v>
      </c>
      <c r="K335" s="60">
        <f t="shared" si="61"/>
        <v>2.1200239590223264E-4</v>
      </c>
      <c r="M335" s="60">
        <f t="shared" si="62"/>
        <v>2.1085921545461285E-5</v>
      </c>
      <c r="N335" s="60">
        <f t="shared" si="63"/>
        <v>2.9495141746722068E-5</v>
      </c>
      <c r="O335" s="60">
        <f t="shared" si="64"/>
        <v>-3.4842594586918956E-5</v>
      </c>
      <c r="P335" s="60">
        <f t="shared" si="65"/>
        <v>-1.1730342322369343E-6</v>
      </c>
      <c r="Q335" s="60">
        <f t="shared" si="66"/>
        <v>2.4371738038287674E-5</v>
      </c>
      <c r="R335" s="60">
        <f t="shared" si="67"/>
        <v>-6.9687509299593749E-5</v>
      </c>
    </row>
    <row r="336" spans="1:18" x14ac:dyDescent="0.3">
      <c r="A336">
        <f>'Parm VaR Eq Weights'!B335</f>
        <v>6.1355867881348926E-3</v>
      </c>
      <c r="B336">
        <f>'Parm VaR Eq Weights'!C335</f>
        <v>5.0041972334519073E-3</v>
      </c>
      <c r="C336">
        <f>'Parm VaR Eq Weights'!D335</f>
        <v>1.8682642156982445E-3</v>
      </c>
      <c r="D336">
        <f>'Parm VaR Eq Weights'!E335</f>
        <v>1.8568050788876619E-2</v>
      </c>
      <c r="H336" s="60">
        <f t="shared" si="58"/>
        <v>8.5520835163290963E-5</v>
      </c>
      <c r="I336" s="60">
        <f t="shared" si="59"/>
        <v>6.7983656379785271E-5</v>
      </c>
      <c r="J336" s="60">
        <f t="shared" si="60"/>
        <v>1.0422351921506287E-4</v>
      </c>
      <c r="K336" s="60">
        <f t="shared" si="61"/>
        <v>1.9940615610118627E-4</v>
      </c>
      <c r="M336" s="60">
        <f t="shared" si="62"/>
        <v>1.7410985190989537E-5</v>
      </c>
      <c r="N336" s="60">
        <f t="shared" si="63"/>
        <v>2.6726432604507793E-5</v>
      </c>
      <c r="O336" s="60">
        <f t="shared" si="64"/>
        <v>-3.2048307309200902E-5</v>
      </c>
      <c r="P336" s="60">
        <f t="shared" si="65"/>
        <v>-5.0035003844107233E-7</v>
      </c>
      <c r="Q336" s="60">
        <f t="shared" si="66"/>
        <v>2.2485150693294617E-5</v>
      </c>
      <c r="R336" s="60">
        <f t="shared" si="67"/>
        <v>-6.5682149845089989E-5</v>
      </c>
    </row>
    <row r="337" spans="1:18" x14ac:dyDescent="0.3">
      <c r="A337">
        <f>'Parm VaR Eq Weights'!B336</f>
        <v>1.0497697584650153E-2</v>
      </c>
      <c r="B337">
        <f>'Parm VaR Eq Weights'!C336</f>
        <v>2.5967169683933831E-3</v>
      </c>
      <c r="C337">
        <f>'Parm VaR Eq Weights'!D336</f>
        <v>1.3349520483740844E-2</v>
      </c>
      <c r="D337">
        <f>'Parm VaR Eq Weights'!E336</f>
        <v>4.1198121337715863E-3</v>
      </c>
      <c r="H337" s="60">
        <f t="shared" si="58"/>
        <v>8.2648310567577635E-5</v>
      </c>
      <c r="I337" s="60">
        <f t="shared" si="59"/>
        <v>6.5407156394075417E-5</v>
      </c>
      <c r="J337" s="60">
        <f t="shared" si="60"/>
        <v>9.8179532732938597E-5</v>
      </c>
      <c r="K337" s="60">
        <f t="shared" si="61"/>
        <v>2.0812813734101318E-4</v>
      </c>
      <c r="M337" s="60">
        <f t="shared" si="62"/>
        <v>1.8208547265377488E-5</v>
      </c>
      <c r="N337" s="60">
        <f t="shared" si="63"/>
        <v>2.5810620482552327E-5</v>
      </c>
      <c r="O337" s="60">
        <f t="shared" si="64"/>
        <v>-2.3289855644549896E-5</v>
      </c>
      <c r="P337" s="60">
        <f t="shared" si="65"/>
        <v>9.0620721038653682E-8</v>
      </c>
      <c r="Q337" s="60">
        <f t="shared" si="66"/>
        <v>2.6711132954994398E-5</v>
      </c>
      <c r="R337" s="60">
        <f t="shared" si="67"/>
        <v>-5.9659819363737042E-5</v>
      </c>
    </row>
    <row r="338" spans="1:18" x14ac:dyDescent="0.3">
      <c r="A338">
        <f>'Parm VaR Eq Weights'!B337</f>
        <v>4.6600442655294018E-3</v>
      </c>
      <c r="B338">
        <f>'Parm VaR Eq Weights'!C337</f>
        <v>2.2746336918833116E-2</v>
      </c>
      <c r="C338">
        <f>'Parm VaR Eq Weights'!D337</f>
        <v>7.2089468557393387E-3</v>
      </c>
      <c r="D338">
        <f>'Parm VaR Eq Weights'!E337</f>
        <v>2.6032526762378706E-2</v>
      </c>
      <c r="H338" s="60">
        <f t="shared" si="58"/>
        <v>8.4301511208249158E-5</v>
      </c>
      <c r="I338" s="60">
        <f t="shared" si="59"/>
        <v>6.1887303351267417E-5</v>
      </c>
      <c r="J338" s="60">
        <f t="shared" si="60"/>
        <v>1.0298134259771128E-4</v>
      </c>
      <c r="K338" s="60">
        <f t="shared" si="61"/>
        <v>1.9665882022160667E-4</v>
      </c>
      <c r="M338" s="60">
        <f t="shared" si="62"/>
        <v>1.8751607396282238E-5</v>
      </c>
      <c r="N338" s="60">
        <f t="shared" si="63"/>
        <v>3.2670336989903434E-5</v>
      </c>
      <c r="O338" s="60">
        <f t="shared" si="64"/>
        <v>-1.9297551792722518E-5</v>
      </c>
      <c r="P338" s="60">
        <f t="shared" si="65"/>
        <v>2.1650790593790301E-6</v>
      </c>
      <c r="Q338" s="60">
        <f t="shared" si="66"/>
        <v>2.5750344142156191E-5</v>
      </c>
      <c r="R338" s="60">
        <f t="shared" si="67"/>
        <v>-5.278037921377594E-5</v>
      </c>
    </row>
    <row r="339" spans="1:18" x14ac:dyDescent="0.3">
      <c r="A339">
        <f>'Parm VaR Eq Weights'!B338</f>
        <v>-3.4987997041555021E-4</v>
      </c>
      <c r="B339">
        <f>'Parm VaR Eq Weights'!C338</f>
        <v>7.6399421517897737E-3</v>
      </c>
      <c r="C339">
        <f>'Parm VaR Eq Weights'!D338</f>
        <v>-2.0677544161948175E-3</v>
      </c>
      <c r="D339">
        <f>'Parm VaR Eq Weights'!E338</f>
        <v>1.1767110875545205E-2</v>
      </c>
      <c r="H339" s="60">
        <f t="shared" si="58"/>
        <v>8.0546381289155818E-5</v>
      </c>
      <c r="I339" s="60">
        <f t="shared" si="59"/>
        <v>8.9217815743695625E-5</v>
      </c>
      <c r="J339" s="60">
        <f t="shared" si="60"/>
        <v>9.9920596927981049E-5</v>
      </c>
      <c r="K339" s="60">
        <f t="shared" si="61"/>
        <v>2.2552083798634811E-4</v>
      </c>
      <c r="M339" s="60">
        <f t="shared" si="62"/>
        <v>2.3986447167729786E-5</v>
      </c>
      <c r="N339" s="60">
        <f t="shared" si="63"/>
        <v>3.2725757457844889E-5</v>
      </c>
      <c r="O339" s="60">
        <f t="shared" si="64"/>
        <v>-1.0860935061783346E-5</v>
      </c>
      <c r="P339" s="60">
        <f t="shared" si="65"/>
        <v>1.1873802356452874E-5</v>
      </c>
      <c r="Q339" s="60">
        <f t="shared" si="66"/>
        <v>5.9734000968763204E-5</v>
      </c>
      <c r="R339" s="60">
        <f t="shared" si="67"/>
        <v>-3.8353530343913361E-5</v>
      </c>
    </row>
    <row r="340" spans="1:18" x14ac:dyDescent="0.3">
      <c r="A340">
        <f>'Parm VaR Eq Weights'!B339</f>
        <v>-2.0375792034881624E-3</v>
      </c>
      <c r="B340">
        <f>'Parm VaR Eq Weights'!C339</f>
        <v>-1.7304437913944339E-2</v>
      </c>
      <c r="C340">
        <f>'Parm VaR Eq Weights'!D339</f>
        <v>9.4647231983023496E-4</v>
      </c>
      <c r="D340">
        <f>'Parm VaR Eq Weights'!E339</f>
        <v>5.8953929682626369E-4</v>
      </c>
      <c r="H340" s="60">
        <f t="shared" si="58"/>
        <v>7.5720943371428338E-5</v>
      </c>
      <c r="I340" s="60">
        <f t="shared" si="59"/>
        <v>8.7366869764035537E-5</v>
      </c>
      <c r="J340" s="60">
        <f t="shared" si="60"/>
        <v>9.4181897611843765E-5</v>
      </c>
      <c r="K340" s="60">
        <f t="shared" si="61"/>
        <v>2.2029748160860968E-4</v>
      </c>
      <c r="M340" s="60">
        <f t="shared" si="62"/>
        <v>2.2386876573623314E-5</v>
      </c>
      <c r="N340" s="60">
        <f t="shared" si="63"/>
        <v>3.0805619961612091E-5</v>
      </c>
      <c r="O340" s="60">
        <f t="shared" si="64"/>
        <v>-1.045630354237708E-5</v>
      </c>
      <c r="P340" s="60">
        <f t="shared" si="65"/>
        <v>1.0213522767635526E-5</v>
      </c>
      <c r="Q340" s="60">
        <f t="shared" si="66"/>
        <v>6.1543963693609115E-5</v>
      </c>
      <c r="R340" s="60">
        <f t="shared" si="67"/>
        <v>-3.7512208252004321E-5</v>
      </c>
    </row>
    <row r="341" spans="1:18" x14ac:dyDescent="0.3">
      <c r="A341">
        <f>'Parm VaR Eq Weights'!B340</f>
        <v>4.0973820210256431E-3</v>
      </c>
      <c r="B341">
        <f>'Parm VaR Eq Weights'!C340</f>
        <v>-5.0350695453755536E-4</v>
      </c>
      <c r="C341">
        <f>'Parm VaR Eq Weights'!D340</f>
        <v>-6.7626324972191862E-3</v>
      </c>
      <c r="D341">
        <f>'Parm VaR Eq Weights'!E340</f>
        <v>-2.9577944081510374E-3</v>
      </c>
      <c r="H341" s="60">
        <f t="shared" si="58"/>
        <v>7.142679050977189E-5</v>
      </c>
      <c r="I341" s="60">
        <f t="shared" si="59"/>
        <v>1.0009147186924667E-4</v>
      </c>
      <c r="J341" s="60">
        <f t="shared" si="60"/>
        <v>8.8584732346265422E-5</v>
      </c>
      <c r="K341" s="60">
        <f t="shared" si="61"/>
        <v>2.0710048610704323E-4</v>
      </c>
      <c r="M341" s="60">
        <f t="shared" si="62"/>
        <v>2.3159213748496221E-5</v>
      </c>
      <c r="N341" s="60">
        <f t="shared" si="63"/>
        <v>2.8841572024981568E-5</v>
      </c>
      <c r="O341" s="60">
        <f t="shared" si="64"/>
        <v>-9.9009993104855896E-6</v>
      </c>
      <c r="P341" s="60">
        <f t="shared" si="65"/>
        <v>8.6180211118312412E-6</v>
      </c>
      <c r="Q341" s="60">
        <f t="shared" si="66"/>
        <v>5.7239227102406933E-5</v>
      </c>
      <c r="R341" s="60">
        <f t="shared" si="67"/>
        <v>-3.5227996799330164E-5</v>
      </c>
    </row>
    <row r="342" spans="1:18" x14ac:dyDescent="0.3">
      <c r="A342">
        <f>'Parm VaR Eq Weights'!B341</f>
        <v>-1.6115122119045825E-3</v>
      </c>
      <c r="B342">
        <f>'Parm VaR Eq Weights'!C341</f>
        <v>-6.4613737584766975E-3</v>
      </c>
      <c r="C342">
        <f>'Parm VaR Eq Weights'!D341</f>
        <v>-7.0759923242657372E-3</v>
      </c>
      <c r="D342">
        <f>'Parm VaR Eq Weights'!E341</f>
        <v>-2.2952367299412142E-3</v>
      </c>
      <c r="H342" s="60">
        <f t="shared" si="58"/>
        <v>6.8148495444759029E-5</v>
      </c>
      <c r="I342" s="60">
        <f t="shared" si="59"/>
        <v>9.4101194712287918E-5</v>
      </c>
      <c r="J342" s="60">
        <f t="shared" si="60"/>
        <v>8.6013640303036197E-5</v>
      </c>
      <c r="K342" s="60">
        <f t="shared" si="61"/>
        <v>1.9519936980627402E-4</v>
      </c>
      <c r="M342" s="60">
        <f t="shared" si="62"/>
        <v>2.1645877303007432E-5</v>
      </c>
      <c r="N342" s="60">
        <f t="shared" si="63"/>
        <v>2.5448532374948092E-5</v>
      </c>
      <c r="O342" s="60">
        <f t="shared" si="64"/>
        <v>-1.0034092169647349E-5</v>
      </c>
      <c r="P342" s="60">
        <f t="shared" si="65"/>
        <v>8.3052417947212582E-6</v>
      </c>
      <c r="Q342" s="60">
        <f t="shared" si="66"/>
        <v>5.3894229679538297E-5</v>
      </c>
      <c r="R342" s="60">
        <f t="shared" si="67"/>
        <v>-3.1914168396291025E-5</v>
      </c>
    </row>
    <row r="343" spans="1:18" x14ac:dyDescent="0.3">
      <c r="A343">
        <f>'Parm VaR Eq Weights'!B342</f>
        <v>9.3174944704672792E-4</v>
      </c>
      <c r="B343">
        <f>'Parm VaR Eq Weights'!C342</f>
        <v>4.0124324882916092E-3</v>
      </c>
      <c r="C343">
        <f>'Parm VaR Eq Weights'!D342</f>
        <v>2.1167951303106596E-2</v>
      </c>
      <c r="D343">
        <f>'Parm VaR Eq Weights'!E342</f>
        <v>1.4387149503162422E-2</v>
      </c>
      <c r="H343" s="60">
        <f t="shared" si="58"/>
        <v>6.421540401462054E-5</v>
      </c>
      <c r="I343" s="60">
        <f t="shared" si="59"/>
        <v>9.0960084080354519E-5</v>
      </c>
      <c r="J343" s="60">
        <f t="shared" si="60"/>
        <v>8.385700192723808E-5</v>
      </c>
      <c r="K343" s="60">
        <f t="shared" si="61"/>
        <v>1.8380349431668585E-4</v>
      </c>
      <c r="M343" s="60">
        <f t="shared" si="62"/>
        <v>2.0971879627874886E-5</v>
      </c>
      <c r="N343" s="60">
        <f t="shared" si="63"/>
        <v>2.4605803314965043E-5</v>
      </c>
      <c r="O343" s="60">
        <f t="shared" si="64"/>
        <v>-9.2101185182977742E-6</v>
      </c>
      <c r="P343" s="60">
        <f t="shared" si="65"/>
        <v>1.0550165154189575E-5</v>
      </c>
      <c r="Q343" s="60">
        <f t="shared" si="66"/>
        <v>5.1550398841346044E-5</v>
      </c>
      <c r="R343" s="60">
        <f t="shared" si="67"/>
        <v>-2.9024853643507351E-5</v>
      </c>
    </row>
    <row r="344" spans="1:18" x14ac:dyDescent="0.3">
      <c r="A344">
        <f>'Parm VaR Eq Weights'!B343</f>
        <v>9.7173998269550303E-3</v>
      </c>
      <c r="B344">
        <f>'Parm VaR Eq Weights'!C343</f>
        <v>9.9756777219435853E-3</v>
      </c>
      <c r="C344">
        <f>'Parm VaR Eq Weights'!D343</f>
        <v>-4.0185030968723709E-3</v>
      </c>
      <c r="D344">
        <f>'Parm VaR Eq Weights'!E343</f>
        <v>-8.47852370927475E-3</v>
      </c>
      <c r="H344" s="60">
        <f t="shared" si="58"/>
        <v>6.0414569195667617E-5</v>
      </c>
      <c r="I344" s="60">
        <f t="shared" si="59"/>
        <v>8.6468455903919122E-5</v>
      </c>
      <c r="J344" s="60">
        <f t="shared" si="60"/>
        <v>1.0571051155384536E-4</v>
      </c>
      <c r="K344" s="60">
        <f t="shared" si="61"/>
        <v>1.8519468890726551E-4</v>
      </c>
      <c r="M344" s="60">
        <f t="shared" si="62"/>
        <v>1.9937881755339075E-5</v>
      </c>
      <c r="N344" s="60">
        <f t="shared" si="63"/>
        <v>2.4312848731374037E-5</v>
      </c>
      <c r="O344" s="60">
        <f t="shared" si="64"/>
        <v>-7.8531982915508944E-6</v>
      </c>
      <c r="P344" s="60">
        <f t="shared" si="65"/>
        <v>1.5013253776087782E-5</v>
      </c>
      <c r="Q344" s="60">
        <f t="shared" si="66"/>
        <v>5.1921022875689129E-5</v>
      </c>
      <c r="R344" s="60">
        <f t="shared" si="67"/>
        <v>-9.0105736204895073E-6</v>
      </c>
    </row>
    <row r="345" spans="1:18" x14ac:dyDescent="0.3">
      <c r="A345">
        <f>'Parm VaR Eq Weights'!B344</f>
        <v>2.9851635678176751E-3</v>
      </c>
      <c r="B345">
        <f>'Parm VaR Eq Weights'!C344</f>
        <v>2.557827517362448E-2</v>
      </c>
      <c r="C345">
        <f>'Parm VaR Eq Weights'!D344</f>
        <v>7.2149689264758452E-3</v>
      </c>
      <c r="D345">
        <f>'Parm VaR Eq Weights'!E344</f>
        <v>-1.2991289459469951E-2</v>
      </c>
      <c r="H345" s="60">
        <f t="shared" si="58"/>
        <v>6.2455366607741896E-5</v>
      </c>
      <c r="I345" s="60">
        <f t="shared" si="59"/>
        <v>8.7251197310408865E-5</v>
      </c>
      <c r="J345" s="60">
        <f t="shared" si="60"/>
        <v>1.00336782888989E-4</v>
      </c>
      <c r="K345" s="60">
        <f t="shared" si="61"/>
        <v>1.7839612943015362E-4</v>
      </c>
      <c r="M345" s="60">
        <f t="shared" si="62"/>
        <v>2.4557867788157161E-5</v>
      </c>
      <c r="N345" s="60">
        <f t="shared" si="63"/>
        <v>2.0511113729601644E-5</v>
      </c>
      <c r="O345" s="60">
        <f t="shared" si="64"/>
        <v>-1.2325358683578279E-5</v>
      </c>
      <c r="P345" s="60">
        <f t="shared" si="65"/>
        <v>1.170722104038065E-5</v>
      </c>
      <c r="Q345" s="60">
        <f t="shared" si="66"/>
        <v>4.3731020298252816E-5</v>
      </c>
      <c r="R345" s="60">
        <f t="shared" si="67"/>
        <v>-6.4256807763025507E-6</v>
      </c>
    </row>
    <row r="346" spans="1:18" x14ac:dyDescent="0.3">
      <c r="A346">
        <f>'Parm VaR Eq Weights'!B345</f>
        <v>9.4721852919278631E-3</v>
      </c>
      <c r="B346">
        <f>'Parm VaR Eq Weights'!C345</f>
        <v>1.2349738540458774E-2</v>
      </c>
      <c r="C346">
        <f>'Parm VaR Eq Weights'!D345</f>
        <v>4.3503873819948228E-3</v>
      </c>
      <c r="D346">
        <f>'Parm VaR Eq Weights'!E345</f>
        <v>2.2078355151525706E-2</v>
      </c>
      <c r="H346" s="60">
        <f t="shared" si="58"/>
        <v>5.9242716702874938E-5</v>
      </c>
      <c r="I346" s="60">
        <f t="shared" si="59"/>
        <v>1.2127101512324363E-4</v>
      </c>
      <c r="J346" s="60">
        <f t="shared" si="60"/>
        <v>9.7439922512250373E-5</v>
      </c>
      <c r="K346" s="60">
        <f t="shared" si="61"/>
        <v>1.7781877777352852E-4</v>
      </c>
      <c r="M346" s="60">
        <f t="shared" si="62"/>
        <v>2.7665715831422882E-5</v>
      </c>
      <c r="N346" s="60">
        <f t="shared" si="63"/>
        <v>2.0572718648760681E-5</v>
      </c>
      <c r="O346" s="60">
        <f t="shared" si="64"/>
        <v>-1.3912704602166594E-5</v>
      </c>
      <c r="P346" s="60">
        <f t="shared" si="65"/>
        <v>2.2077575412190774E-5</v>
      </c>
      <c r="Q346" s="60">
        <f t="shared" si="66"/>
        <v>2.1169472481085845E-5</v>
      </c>
      <c r="R346" s="60">
        <f t="shared" si="67"/>
        <v>-1.1664044915620135E-5</v>
      </c>
    </row>
    <row r="347" spans="1:18" x14ac:dyDescent="0.3">
      <c r="A347">
        <f>'Parm VaR Eq Weights'!B346</f>
        <v>-1.2592228928593192E-3</v>
      </c>
      <c r="B347">
        <f>'Parm VaR Eq Weights'!C346</f>
        <v>-2.6871311864089704E-3</v>
      </c>
      <c r="C347">
        <f>'Parm VaR Eq Weights'!D346</f>
        <v>1.1335903461827503E-3</v>
      </c>
      <c r="D347">
        <f>'Parm VaR Eq Weights'!E346</f>
        <v>4.8230516075991438E-3</v>
      </c>
      <c r="H347" s="60">
        <f t="shared" si="58"/>
        <v>6.1071491352979312E-5</v>
      </c>
      <c r="I347" s="60">
        <f t="shared" si="59"/>
        <v>1.2314571673691059E-4</v>
      </c>
      <c r="J347" s="60">
        <f t="shared" si="60"/>
        <v>9.2729079383920525E-5</v>
      </c>
      <c r="K347" s="60">
        <f t="shared" si="61"/>
        <v>1.9639687707893094E-4</v>
      </c>
      <c r="M347" s="60">
        <f t="shared" si="62"/>
        <v>3.3024513587262807E-5</v>
      </c>
      <c r="N347" s="60">
        <f t="shared" si="63"/>
        <v>2.1810816052270236E-5</v>
      </c>
      <c r="O347" s="60">
        <f t="shared" si="64"/>
        <v>-5.3012606986209132E-7</v>
      </c>
      <c r="P347" s="60">
        <f t="shared" si="65"/>
        <v>2.397648969050015E-5</v>
      </c>
      <c r="Q347" s="60">
        <f t="shared" si="66"/>
        <v>3.6259018943704718E-5</v>
      </c>
      <c r="R347" s="60">
        <f t="shared" si="67"/>
        <v>-5.2012383606990517E-6</v>
      </c>
    </row>
    <row r="348" spans="1:18" x14ac:dyDescent="0.3">
      <c r="A348">
        <f>'Parm VaR Eq Weights'!B347</f>
        <v>-1.7318869151060248E-3</v>
      </c>
      <c r="B348">
        <f>'Parm VaR Eq Weights'!C347</f>
        <v>1.3798363720679326E-3</v>
      </c>
      <c r="C348">
        <f>'Parm VaR Eq Weights'!D347</f>
        <v>-1.2165100019409676E-3</v>
      </c>
      <c r="D348">
        <f>'Parm VaR Eq Weights'!E347</f>
        <v>-1.3482459448458167E-2</v>
      </c>
      <c r="H348" s="60">
        <f t="shared" si="58"/>
        <v>5.7502340409434608E-5</v>
      </c>
      <c r="I348" s="60">
        <f t="shared" si="59"/>
        <v>1.1619021417347425E-4</v>
      </c>
      <c r="J348" s="60">
        <f t="shared" si="60"/>
        <v>8.7242436245262817E-5</v>
      </c>
      <c r="K348" s="60">
        <f t="shared" si="61"/>
        <v>1.8600877406276895E-4</v>
      </c>
      <c r="M348" s="60">
        <f t="shared" si="62"/>
        <v>3.1246064598389584E-5</v>
      </c>
      <c r="N348" s="60">
        <f t="shared" si="63"/>
        <v>2.0416520514231762E-5</v>
      </c>
      <c r="O348" s="60">
        <f t="shared" si="64"/>
        <v>-8.6271632553421314E-7</v>
      </c>
      <c r="P348" s="60">
        <f t="shared" si="65"/>
        <v>2.2355133950759751E-5</v>
      </c>
      <c r="Q348" s="60">
        <f t="shared" si="66"/>
        <v>3.3305867463776057E-5</v>
      </c>
      <c r="R348" s="60">
        <f t="shared" si="67"/>
        <v>-4.5611221745661734E-6</v>
      </c>
    </row>
    <row r="349" spans="1:18" x14ac:dyDescent="0.3">
      <c r="A349">
        <f>'Parm VaR Eq Weights'!B348</f>
        <v>-9.4963973956755168E-3</v>
      </c>
      <c r="B349">
        <f>'Parm VaR Eq Weights'!C348</f>
        <v>-1.1469137972153097E-2</v>
      </c>
      <c r="C349">
        <f>'Parm VaR Eq Weights'!D348</f>
        <v>-7.2853013586202445E-4</v>
      </c>
      <c r="D349">
        <f>'Parm VaR Eq Weights'!E348</f>
        <v>1.0986715880975616E-2</v>
      </c>
      <c r="H349" s="60">
        <f t="shared" si="58"/>
        <v>5.4232165922071457E-5</v>
      </c>
      <c r="I349" s="60">
        <f t="shared" si="59"/>
        <v>1.0933303822788668E-4</v>
      </c>
      <c r="J349" s="60">
        <f t="shared" si="60"/>
        <v>8.2096683865636382E-5</v>
      </c>
      <c r="K349" s="60">
        <f t="shared" si="61"/>
        <v>1.8575485038576194E-4</v>
      </c>
      <c r="M349" s="60">
        <f t="shared" si="62"/>
        <v>2.9227917489019898E-5</v>
      </c>
      <c r="N349" s="60">
        <f t="shared" si="63"/>
        <v>1.9317940748645286E-5</v>
      </c>
      <c r="O349" s="60">
        <f t="shared" si="64"/>
        <v>5.9005236013177848E-7</v>
      </c>
      <c r="P349" s="60">
        <f t="shared" si="65"/>
        <v>2.0913110828854409E-5</v>
      </c>
      <c r="Q349" s="60">
        <f t="shared" si="66"/>
        <v>3.0191300140034682E-5</v>
      </c>
      <c r="R349" s="60">
        <f t="shared" si="67"/>
        <v>-3.3033620379034308E-6</v>
      </c>
    </row>
    <row r="350" spans="1:18" x14ac:dyDescent="0.3">
      <c r="A350">
        <f>'Parm VaR Eq Weights'!B349</f>
        <v>-1.2339339216592693E-3</v>
      </c>
      <c r="B350">
        <f>'Parm VaR Eq Weights'!C349</f>
        <v>1.27723071544712E-3</v>
      </c>
      <c r="C350">
        <f>'Parm VaR Eq Weights'!D349</f>
        <v>1.6589747828935648E-3</v>
      </c>
      <c r="D350">
        <f>'Parm VaR Eq Weights'!E349</f>
        <v>-3.6745627088002435E-3</v>
      </c>
      <c r="H350" s="60">
        <f t="shared" si="58"/>
        <v>5.6389129776542734E-5</v>
      </c>
      <c r="I350" s="60">
        <f t="shared" si="59"/>
        <v>1.1066552348367053E-4</v>
      </c>
      <c r="J350" s="60">
        <f t="shared" si="60"/>
        <v>7.7202728203229742E-5</v>
      </c>
      <c r="K350" s="60">
        <f t="shared" si="61"/>
        <v>1.8185203491357315E-4</v>
      </c>
      <c r="M350" s="60">
        <f t="shared" si="62"/>
        <v>3.4009171957842577E-5</v>
      </c>
      <c r="N350" s="60">
        <f t="shared" si="63"/>
        <v>1.8573969004818846E-5</v>
      </c>
      <c r="O350" s="60">
        <f t="shared" si="64"/>
        <v>-5.7054039862235552E-6</v>
      </c>
      <c r="P350" s="60">
        <f t="shared" si="65"/>
        <v>2.0159660937827527E-5</v>
      </c>
      <c r="Q350" s="60">
        <f t="shared" si="66"/>
        <v>2.0819332513647298E-5</v>
      </c>
      <c r="R350" s="60">
        <f t="shared" si="67"/>
        <v>-3.5854095324359029E-6</v>
      </c>
    </row>
    <row r="351" spans="1:18" x14ac:dyDescent="0.3">
      <c r="A351">
        <f>'Parm VaR Eq Weights'!B350</f>
        <v>3.8231756993074061E-3</v>
      </c>
      <c r="B351">
        <f>'Parm VaR Eq Weights'!C350</f>
        <v>1.4153487684493373E-2</v>
      </c>
      <c r="C351">
        <f>'Parm VaR Eq Weights'!D350</f>
        <v>1.0234510564886225E-2</v>
      </c>
      <c r="D351">
        <f>'Parm VaR Eq Weights'!E350</f>
        <v>-9.9974231440876273E-3</v>
      </c>
      <c r="H351" s="60">
        <f t="shared" si="58"/>
        <v>5.3097137565331451E-5</v>
      </c>
      <c r="I351" s="60">
        <f t="shared" si="59"/>
        <v>1.0412347117267918E-4</v>
      </c>
      <c r="J351" s="60">
        <f t="shared" si="60"/>
        <v>7.2735696350852564E-5</v>
      </c>
      <c r="K351" s="60">
        <f t="shared" si="61"/>
        <v>1.7175105748481307E-4</v>
      </c>
      <c r="M351" s="60">
        <f t="shared" si="62"/>
        <v>3.1874060542037502E-5</v>
      </c>
      <c r="N351" s="60">
        <f t="shared" si="63"/>
        <v>1.7336706948942333E-5</v>
      </c>
      <c r="O351" s="60">
        <f t="shared" si="64"/>
        <v>-5.0910296926309741E-6</v>
      </c>
      <c r="P351" s="60">
        <f t="shared" si="65"/>
        <v>1.9077214894489705E-5</v>
      </c>
      <c r="Q351" s="60">
        <f t="shared" si="66"/>
        <v>1.9288576701377485E-5</v>
      </c>
      <c r="R351" s="60">
        <f t="shared" si="67"/>
        <v>-3.7360453728133894E-6</v>
      </c>
    </row>
    <row r="352" spans="1:18" x14ac:dyDescent="0.3">
      <c r="A352">
        <f>'Parm VaR Eq Weights'!B351</f>
        <v>5.7574526650579268E-3</v>
      </c>
      <c r="B352">
        <f>'Parm VaR Eq Weights'!C351</f>
        <v>-2.7532100508902862E-3</v>
      </c>
      <c r="C352">
        <f>'Parm VaR Eq Weights'!D351</f>
        <v>1.0508462479250608E-2</v>
      </c>
      <c r="D352">
        <f>'Parm VaR Eq Weights'!E351</f>
        <v>1.0605796817286461E-2</v>
      </c>
      <c r="H352" s="60">
        <f t="shared" si="58"/>
        <v>5.0788309657078044E-5</v>
      </c>
      <c r="I352" s="60">
        <f t="shared" si="59"/>
        <v>1.0989533572042477E-4</v>
      </c>
      <c r="J352" s="60">
        <f t="shared" si="60"/>
        <v>7.4656266959967476E-5</v>
      </c>
      <c r="K352" s="60">
        <f t="shared" si="61"/>
        <v>1.6744290220704062E-4</v>
      </c>
      <c r="M352" s="60">
        <f t="shared" si="62"/>
        <v>3.3208293120063355E-5</v>
      </c>
      <c r="N352" s="60">
        <f t="shared" si="63"/>
        <v>1.8644204457164469E-5</v>
      </c>
      <c r="O352" s="60">
        <f t="shared" si="64"/>
        <v>-7.0788822242832732E-6</v>
      </c>
      <c r="P352" s="60">
        <f t="shared" si="65"/>
        <v>2.6623823155036401E-5</v>
      </c>
      <c r="Q352" s="60">
        <f t="shared" si="66"/>
        <v>9.6413577785040342E-6</v>
      </c>
      <c r="R352" s="60">
        <f t="shared" si="67"/>
        <v>-9.6510066178327649E-6</v>
      </c>
    </row>
    <row r="353" spans="1:18" x14ac:dyDescent="0.3">
      <c r="A353">
        <f>'Parm VaR Eq Weights'!B352</f>
        <v>7.6723009094137465E-3</v>
      </c>
      <c r="B353">
        <f>'Parm VaR Eq Weights'!C352</f>
        <v>1.1664711088890469E-2</v>
      </c>
      <c r="C353">
        <f>'Parm VaR Eq Weights'!D352</f>
        <v>-7.1392009998316177E-3</v>
      </c>
      <c r="D353">
        <f>'Parm VaR Eq Weights'!E352</f>
        <v>-1.2358862855306656E-3</v>
      </c>
      <c r="H353" s="60">
        <f t="shared" si="58"/>
        <v>4.9729906749076314E-5</v>
      </c>
      <c r="I353" s="60">
        <f t="shared" si="59"/>
        <v>1.0375642551225868E-4</v>
      </c>
      <c r="J353" s="60">
        <f t="shared" si="60"/>
        <v>7.6802557963038498E-5</v>
      </c>
      <c r="K353" s="60">
        <f t="shared" si="61"/>
        <v>1.64145303642392E-4</v>
      </c>
      <c r="M353" s="60">
        <f t="shared" si="62"/>
        <v>3.0264706940161795E-5</v>
      </c>
      <c r="N353" s="60">
        <f t="shared" si="63"/>
        <v>2.1155670708143962E-5</v>
      </c>
      <c r="O353" s="60">
        <f t="shared" si="64"/>
        <v>-2.9904069017813444E-6</v>
      </c>
      <c r="P353" s="60">
        <f t="shared" si="65"/>
        <v>2.3290473494697639E-5</v>
      </c>
      <c r="Q353" s="60">
        <f t="shared" si="66"/>
        <v>7.3108771280905925E-6</v>
      </c>
      <c r="R353" s="60">
        <f t="shared" si="67"/>
        <v>-2.3849091457421739E-6</v>
      </c>
    </row>
    <row r="354" spans="1:18" x14ac:dyDescent="0.3">
      <c r="A354">
        <f>'Parm VaR Eq Weights'!B353</f>
        <v>2.9281260087797847E-3</v>
      </c>
      <c r="B354">
        <f>'Parm VaR Eq Weights'!C353</f>
        <v>-7.0716971768435965E-4</v>
      </c>
      <c r="C354">
        <f>'Parm VaR Eq Weights'!D353</f>
        <v>7.4140803207570025E-3</v>
      </c>
      <c r="D354">
        <f>'Parm VaR Eq Weights'!E353</f>
        <v>2.2490576186425779E-2</v>
      </c>
      <c r="H354" s="60">
        <f t="shared" si="58"/>
        <v>5.0277964418807198E-5</v>
      </c>
      <c r="I354" s="60">
        <f t="shared" si="59"/>
        <v>1.0569496906876021E-4</v>
      </c>
      <c r="J354" s="60">
        <f t="shared" si="60"/>
        <v>7.5252495940215995E-5</v>
      </c>
      <c r="K354" s="60">
        <f t="shared" si="61"/>
        <v>1.5438823031849424E-4</v>
      </c>
      <c r="M354" s="60">
        <f t="shared" si="62"/>
        <v>3.3818534933472668E-5</v>
      </c>
      <c r="N354" s="60">
        <f t="shared" si="63"/>
        <v>1.6599884566245584E-5</v>
      </c>
      <c r="O354" s="60">
        <f t="shared" si="64"/>
        <v>-3.3799079760189983E-6</v>
      </c>
      <c r="P354" s="60">
        <f t="shared" si="65"/>
        <v>1.6896442060902548E-5</v>
      </c>
      <c r="Q354" s="60">
        <f t="shared" si="66"/>
        <v>6.0072491128389236E-6</v>
      </c>
      <c r="R354" s="60">
        <f t="shared" si="67"/>
        <v>-1.7124201606773201E-6</v>
      </c>
    </row>
    <row r="355" spans="1:18" x14ac:dyDescent="0.3">
      <c r="A355">
        <f>'Parm VaR Eq Weights'!B354</f>
        <v>7.6723784727519388E-3</v>
      </c>
      <c r="B355">
        <f>'Parm VaR Eq Weights'!C354</f>
        <v>-2.0575569106240517E-3</v>
      </c>
      <c r="C355">
        <f>'Parm VaR Eq Weights'!D354</f>
        <v>4.6199987083176634E-4</v>
      </c>
      <c r="D355">
        <f>'Parm VaR Eq Weights'!E354</f>
        <v>-6.6149434826222511E-3</v>
      </c>
      <c r="H355" s="60">
        <f t="shared" si="58"/>
        <v>4.7775721869076324E-5</v>
      </c>
      <c r="I355" s="60">
        <f t="shared" si="59"/>
        <v>9.9383276265211181E-5</v>
      </c>
      <c r="J355" s="60">
        <f t="shared" si="60"/>
        <v>7.4035461403961213E-5</v>
      </c>
      <c r="K355" s="60">
        <f t="shared" si="61"/>
        <v>1.7547449753122995E-4</v>
      </c>
      <c r="M355" s="60">
        <f t="shared" si="62"/>
        <v>3.1665181914885922E-5</v>
      </c>
      <c r="N355" s="60">
        <f t="shared" si="63"/>
        <v>1.6906453177374303E-5</v>
      </c>
      <c r="O355" s="60">
        <f t="shared" si="64"/>
        <v>7.7420096757714024E-7</v>
      </c>
      <c r="P355" s="60">
        <f t="shared" si="65"/>
        <v>1.5568074752009261E-5</v>
      </c>
      <c r="Q355" s="60">
        <f t="shared" si="66"/>
        <v>4.6925349013297887E-6</v>
      </c>
      <c r="R355" s="60">
        <f t="shared" si="67"/>
        <v>8.3951413473392558E-6</v>
      </c>
    </row>
    <row r="356" spans="1:18" x14ac:dyDescent="0.3">
      <c r="A356">
        <f>'Parm VaR Eq Weights'!B355</f>
        <v>-1.8059015151773512E-3</v>
      </c>
      <c r="B356">
        <f>'Parm VaR Eq Weights'!C355</f>
        <v>-7.2717115538320401E-4</v>
      </c>
      <c r="C356">
        <f>'Parm VaR Eq Weights'!D355</f>
        <v>-4.7709073113113764E-3</v>
      </c>
      <c r="D356">
        <f>'Parm VaR Eq Weights'!E355</f>
        <v>-5.1521402512900265E-3</v>
      </c>
      <c r="H356" s="60">
        <f t="shared" si="58"/>
        <v>4.8441102042680586E-5</v>
      </c>
      <c r="I356" s="60">
        <f t="shared" si="59"/>
        <v>9.3674292115725907E-5</v>
      </c>
      <c r="J356" s="60">
        <f t="shared" si="60"/>
        <v>6.9606140352562455E-5</v>
      </c>
      <c r="K356" s="60">
        <f t="shared" si="61"/>
        <v>1.6757147631605334E-4</v>
      </c>
      <c r="M356" s="60">
        <f t="shared" si="62"/>
        <v>2.8818089679140725E-5</v>
      </c>
      <c r="N356" s="60">
        <f t="shared" si="63"/>
        <v>1.6104744258534871E-5</v>
      </c>
      <c r="O356" s="60">
        <f t="shared" si="64"/>
        <v>-2.3173920889499925E-6</v>
      </c>
      <c r="P356" s="60">
        <f t="shared" si="65"/>
        <v>1.4576954805272465E-5</v>
      </c>
      <c r="Q356" s="60">
        <f t="shared" si="66"/>
        <v>5.227620167813419E-6</v>
      </c>
      <c r="R356" s="60">
        <f t="shared" si="67"/>
        <v>7.708066684427045E-6</v>
      </c>
    </row>
    <row r="357" spans="1:18" x14ac:dyDescent="0.3">
      <c r="A357">
        <f>'Parm VaR Eq Weights'!B356</f>
        <v>-4.8354444459184969E-3</v>
      </c>
      <c r="B357">
        <f>'Parm VaR Eq Weights'!C356</f>
        <v>-1.5400286423891171E-2</v>
      </c>
      <c r="C357">
        <f>'Parm VaR Eq Weights'!D356</f>
        <v>-7.7401374208258857E-3</v>
      </c>
      <c r="D357">
        <f>'Parm VaR Eq Weights'!E356</f>
        <v>-4.5345075533364315E-3</v>
      </c>
      <c r="H357" s="60">
        <f t="shared" si="58"/>
        <v>4.5730312737070938E-5</v>
      </c>
      <c r="I357" s="60">
        <f t="shared" si="59"/>
        <v>8.8085561262135639E-5</v>
      </c>
      <c r="J357" s="60">
        <f t="shared" si="60"/>
        <v>6.6795465325796165E-5</v>
      </c>
      <c r="K357" s="60">
        <f t="shared" si="61"/>
        <v>1.5910986068722792E-4</v>
      </c>
      <c r="M357" s="60">
        <f t="shared" si="62"/>
        <v>2.716779626787027E-5</v>
      </c>
      <c r="N357" s="60">
        <f t="shared" si="63"/>
        <v>1.5655406927558854E-5</v>
      </c>
      <c r="O357" s="60">
        <f t="shared" si="64"/>
        <v>-1.6200930904403395E-6</v>
      </c>
      <c r="P357" s="60">
        <f t="shared" si="65"/>
        <v>1.3910493487863663E-5</v>
      </c>
      <c r="Q357" s="60">
        <f t="shared" si="66"/>
        <v>5.1387522244982258E-6</v>
      </c>
      <c r="R357" s="60">
        <f t="shared" si="67"/>
        <v>8.7204056989882957E-6</v>
      </c>
    </row>
    <row r="358" spans="1:18" x14ac:dyDescent="0.3">
      <c r="A358">
        <f>'Parm VaR Eq Weights'!B357</f>
        <v>1.2365570861712413E-3</v>
      </c>
      <c r="B358">
        <f>'Parm VaR Eq Weights'!C357</f>
        <v>-7.603152517866891E-3</v>
      </c>
      <c r="C358">
        <f>'Parm VaR Eq Weights'!D357</f>
        <v>-8.9690274629547102E-3</v>
      </c>
      <c r="D358">
        <f>'Parm VaR Eq Weights'!E357</f>
        <v>2.6727105492028295E-3</v>
      </c>
      <c r="H358" s="60">
        <f t="shared" si="58"/>
        <v>4.4389385352220522E-5</v>
      </c>
      <c r="I358" s="60">
        <f t="shared" si="59"/>
        <v>9.7030556902680707E-5</v>
      </c>
      <c r="J358" s="60">
        <f t="shared" si="60"/>
        <v>6.6382321043844547E-5</v>
      </c>
      <c r="K358" s="60">
        <f t="shared" si="61"/>
        <v>1.5079697457107016E-4</v>
      </c>
      <c r="M358" s="60">
        <f t="shared" si="62"/>
        <v>3.0005762259035573E-5</v>
      </c>
      <c r="N358" s="60">
        <f t="shared" si="63"/>
        <v>1.6961702782036033E-5</v>
      </c>
      <c r="O358" s="60">
        <f t="shared" si="64"/>
        <v>-2.0730594318855077E-7</v>
      </c>
      <c r="P358" s="60">
        <f t="shared" si="65"/>
        <v>2.0227883873051665E-5</v>
      </c>
      <c r="Q358" s="60">
        <f t="shared" si="66"/>
        <v>9.0203899977890765E-6</v>
      </c>
      <c r="R358" s="60">
        <f t="shared" si="67"/>
        <v>1.0303044052964814E-5</v>
      </c>
    </row>
    <row r="359" spans="1:18" x14ac:dyDescent="0.3">
      <c r="A359">
        <f>'Parm VaR Eq Weights'!B358</f>
        <v>4.510689423770935E-3</v>
      </c>
      <c r="B359">
        <f>'Parm VaR Eq Weights'!C358</f>
        <v>3.1444472103189553E-3</v>
      </c>
      <c r="C359">
        <f>'Parm VaR Eq Weights'!D358</f>
        <v>-5.4318602649537327E-3</v>
      </c>
      <c r="D359">
        <f>'Parm VaR Eq Weights'!E358</f>
        <v>-4.6894404276294939E-3</v>
      </c>
      <c r="H359" s="60">
        <f t="shared" si="58"/>
        <v>4.1817766636728908E-5</v>
      </c>
      <c r="I359" s="60">
        <f t="shared" si="59"/>
        <v>9.4677199181116602E-5</v>
      </c>
      <c r="J359" s="60">
        <f t="shared" si="60"/>
        <v>6.7225988999088023E-5</v>
      </c>
      <c r="K359" s="60">
        <f t="shared" si="61"/>
        <v>1.4217775899759514E-4</v>
      </c>
      <c r="M359" s="60">
        <f t="shared" si="62"/>
        <v>2.7641312596100896E-5</v>
      </c>
      <c r="N359" s="60">
        <f t="shared" si="63"/>
        <v>1.5278557747191004E-5</v>
      </c>
      <c r="O359" s="60">
        <f t="shared" si="64"/>
        <v>3.4299635368457991E-9</v>
      </c>
      <c r="P359" s="60">
        <f t="shared" si="65"/>
        <v>2.3105783864935451E-5</v>
      </c>
      <c r="Q359" s="60">
        <f t="shared" si="66"/>
        <v>7.2599050414196774E-6</v>
      </c>
      <c r="R359" s="60">
        <f t="shared" si="67"/>
        <v>8.2465645508071871E-6</v>
      </c>
    </row>
    <row r="360" spans="1:18" x14ac:dyDescent="0.3">
      <c r="A360">
        <f>'Parm VaR Eq Weights'!B359</f>
        <v>2.2852268221607449E-3</v>
      </c>
      <c r="B360">
        <f>'Parm VaR Eq Weights'!C359</f>
        <v>8.0522541607294506E-3</v>
      </c>
      <c r="C360">
        <f>'Parm VaR Eq Weights'!D359</f>
        <v>4.864041314180647E-4</v>
      </c>
      <c r="D360">
        <f>'Parm VaR Eq Weights'!E359</f>
        <v>2.1752826323823068E-3</v>
      </c>
      <c r="H360" s="60">
        <f t="shared" si="58"/>
        <v>4.0529479783188315E-5</v>
      </c>
      <c r="I360" s="60">
        <f t="shared" si="59"/>
        <v>8.9589820125758564E-5</v>
      </c>
      <c r="J360" s="60">
        <f t="shared" si="60"/>
        <v>6.4962736015421738E-5</v>
      </c>
      <c r="K360" s="60">
        <f t="shared" si="61"/>
        <v>1.349665445491966E-4</v>
      </c>
      <c r="M360" s="60">
        <f t="shared" si="62"/>
        <v>2.6833851326846345E-5</v>
      </c>
      <c r="N360" s="60">
        <f t="shared" si="63"/>
        <v>1.2891758203447838E-5</v>
      </c>
      <c r="O360" s="60">
        <f t="shared" si="64"/>
        <v>-1.2659323946940986E-6</v>
      </c>
      <c r="P360" s="60">
        <f t="shared" si="65"/>
        <v>2.0694624961620753E-5</v>
      </c>
      <c r="Q360" s="60">
        <f t="shared" si="66"/>
        <v>5.9395688666975064E-6</v>
      </c>
      <c r="R360" s="60">
        <f t="shared" si="67"/>
        <v>9.2801137851812547E-6</v>
      </c>
    </row>
    <row r="361" spans="1:18" x14ac:dyDescent="0.3">
      <c r="A361">
        <f>'Parm VaR Eq Weights'!B360</f>
        <v>4.6201747407673003E-3</v>
      </c>
      <c r="B361">
        <f>'Parm VaR Eq Weights'!C360</f>
        <v>1.4004867404180806E-3</v>
      </c>
      <c r="C361">
        <f>'Parm VaR Eq Weights'!D360</f>
        <v>-4.4713879773928926E-4</v>
      </c>
      <c r="D361">
        <f>'Parm VaR Eq Weights'!E360</f>
        <v>-5.9976854891789491E-3</v>
      </c>
      <c r="H361" s="60">
        <f t="shared" si="58"/>
        <v>3.8411046693920386E-5</v>
      </c>
      <c r="I361" s="60">
        <f t="shared" si="59"/>
        <v>8.8104758742352132E-5</v>
      </c>
      <c r="J361" s="60">
        <f t="shared" si="60"/>
        <v>6.1079167193240063E-5</v>
      </c>
      <c r="K361" s="60">
        <f t="shared" si="61"/>
        <v>1.2715246314808944E-4</v>
      </c>
      <c r="M361" s="60">
        <f t="shared" si="62"/>
        <v>2.6327893878452828E-5</v>
      </c>
      <c r="N361" s="60">
        <f t="shared" si="63"/>
        <v>1.218494533729255E-5</v>
      </c>
      <c r="O361" s="60">
        <f t="shared" si="64"/>
        <v>-8.9171559797442375E-7</v>
      </c>
      <c r="P361" s="60">
        <f t="shared" si="65"/>
        <v>1.9687946445383931E-5</v>
      </c>
      <c r="Q361" s="60">
        <f t="shared" si="66"/>
        <v>6.6341504523374327E-6</v>
      </c>
      <c r="R361" s="60">
        <f t="shared" si="67"/>
        <v>8.7867909456339414E-6</v>
      </c>
    </row>
    <row r="362" spans="1:18" x14ac:dyDescent="0.3">
      <c r="A362">
        <f>'Parm VaR Eq Weights'!B361</f>
        <v>1.7586909302389742E-4</v>
      </c>
      <c r="B362">
        <f>'Parm VaR Eq Weights'!C361</f>
        <v>2.9243759403940073E-3</v>
      </c>
      <c r="C362">
        <f>'Parm VaR Eq Weights'!D361</f>
        <v>6.6239659753456158E-3</v>
      </c>
      <c r="D362">
        <f>'Parm VaR Eq Weights'!E361</f>
        <v>9.9720698408555571E-3</v>
      </c>
      <c r="H362" s="60">
        <f t="shared" si="58"/>
        <v>3.7387144770398611E-5</v>
      </c>
      <c r="I362" s="60">
        <f t="shared" si="59"/>
        <v>8.293615500441621E-5</v>
      </c>
      <c r="J362" s="60">
        <f t="shared" si="60"/>
        <v>5.742641314791228E-5</v>
      </c>
      <c r="K362" s="60">
        <f t="shared" si="61"/>
        <v>1.2168164923283053E-4</v>
      </c>
      <c r="M362" s="60">
        <f t="shared" si="62"/>
        <v>2.5136449853517208E-5</v>
      </c>
      <c r="N362" s="60">
        <f t="shared" si="63"/>
        <v>1.1329897054319069E-5</v>
      </c>
      <c r="O362" s="60">
        <f t="shared" si="64"/>
        <v>-2.5008339621062289E-6</v>
      </c>
      <c r="P362" s="60">
        <f t="shared" si="65"/>
        <v>1.8469096941219275E-5</v>
      </c>
      <c r="Q362" s="60">
        <f t="shared" si="66"/>
        <v>5.7321206851496031E-6</v>
      </c>
      <c r="R362" s="60">
        <f t="shared" si="67"/>
        <v>8.4204913616268954E-6</v>
      </c>
    </row>
    <row r="363" spans="1:18" x14ac:dyDescent="0.3">
      <c r="A363">
        <f>'Parm VaR Eq Weights'!B362</f>
        <v>-3.4037785997461482E-3</v>
      </c>
      <c r="B363">
        <f>'Parm VaR Eq Weights'!C362</f>
        <v>2.2671529368189993E-3</v>
      </c>
      <c r="C363">
        <f>'Parm VaR Eq Weights'!D362</f>
        <v>2.3646700052116889E-3</v>
      </c>
      <c r="D363">
        <f>'Parm VaR Eq Weights'!E362</f>
        <v>7.1098553194690059E-3</v>
      </c>
      <c r="H363" s="60">
        <f t="shared" si="58"/>
        <v>3.5145771880447556E-5</v>
      </c>
      <c r="I363" s="60">
        <f t="shared" si="59"/>
        <v>7.8473104182596556E-5</v>
      </c>
      <c r="J363" s="60">
        <f t="shared" si="60"/>
        <v>5.6613443873589727E-5</v>
      </c>
      <c r="K363" s="60">
        <f t="shared" si="61"/>
        <v>1.2034728089351475E-4</v>
      </c>
      <c r="M363" s="60">
        <f t="shared" si="62"/>
        <v>2.3659121302964054E-5</v>
      </c>
      <c r="N363" s="60">
        <f t="shared" si="63"/>
        <v>1.0720000284358234E-5</v>
      </c>
      <c r="O363" s="60">
        <f t="shared" si="64"/>
        <v>-2.2455571916709212E-6</v>
      </c>
      <c r="P363" s="60">
        <f t="shared" si="65"/>
        <v>1.8523209128443473E-5</v>
      </c>
      <c r="Q363" s="60">
        <f t="shared" si="66"/>
        <v>7.1379183111522295E-6</v>
      </c>
      <c r="R363" s="60">
        <f t="shared" si="67"/>
        <v>1.1878540959705129E-5</v>
      </c>
    </row>
    <row r="364" spans="1:18" x14ac:dyDescent="0.3">
      <c r="A364">
        <f>'Parm VaR Eq Weights'!B363</f>
        <v>-6.5312435071708235E-3</v>
      </c>
      <c r="B364">
        <f>'Parm VaR Eq Weights'!C363</f>
        <v>-9.2416390552550937E-4</v>
      </c>
      <c r="C364">
        <f>'Parm VaR Eq Weights'!D363</f>
        <v>-1.2085179953075524E-2</v>
      </c>
      <c r="D364">
        <f>'Parm VaR Eq Weights'!E363</f>
        <v>-1.7328554265540447E-2</v>
      </c>
      <c r="H364" s="60">
        <f t="shared" si="58"/>
        <v>3.3732168092986092E-5</v>
      </c>
      <c r="I364" s="60">
        <f t="shared" si="59"/>
        <v>7.407311687797638E-5</v>
      </c>
      <c r="J364" s="60">
        <f t="shared" si="60"/>
        <v>5.3552137095187211E-5</v>
      </c>
      <c r="K364" s="60">
        <f t="shared" si="61"/>
        <v>1.1615944659973077E-4</v>
      </c>
      <c r="M364" s="60">
        <f t="shared" si="62"/>
        <v>2.177656082586444E-5</v>
      </c>
      <c r="N364" s="60">
        <f t="shared" si="63"/>
        <v>9.5938714777446702E-6</v>
      </c>
      <c r="O364" s="60">
        <f t="shared" si="64"/>
        <v>-3.5628461631926617E-6</v>
      </c>
      <c r="P364" s="60">
        <f t="shared" si="65"/>
        <v>1.7733480693552272E-5</v>
      </c>
      <c r="Q364" s="60">
        <f t="shared" si="66"/>
        <v>7.6767909745566374E-6</v>
      </c>
      <c r="R364" s="60">
        <f t="shared" si="67"/>
        <v>1.217457619904341E-5</v>
      </c>
    </row>
    <row r="365" spans="1:18" x14ac:dyDescent="0.3">
      <c r="A365">
        <f>'Parm VaR Eq Weights'!B364</f>
        <v>3.5819976006714006E-3</v>
      </c>
      <c r="B365">
        <f>'Parm VaR Eq Weights'!C364</f>
        <v>-4.5993419532967912E-3</v>
      </c>
      <c r="C365">
        <f>'Parm VaR Eq Weights'!D364</f>
        <v>-7.6675531270695898E-3</v>
      </c>
      <c r="D365">
        <f>'Parm VaR Eq Weights'!E364</f>
        <v>1.0067724275885405E-3</v>
      </c>
      <c r="H365" s="60">
        <f t="shared" si="58"/>
        <v>3.426766651240459E-5</v>
      </c>
      <c r="I365" s="60">
        <f t="shared" si="59"/>
        <v>6.9679974600754356E-5</v>
      </c>
      <c r="J365" s="60">
        <f t="shared" si="60"/>
        <v>5.9102103339369096E-5</v>
      </c>
      <c r="K365" s="60">
        <f t="shared" si="61"/>
        <v>1.2720660737977374E-4</v>
      </c>
      <c r="M365" s="60">
        <f t="shared" si="62"/>
        <v>2.083212354676408E-5</v>
      </c>
      <c r="N365" s="60">
        <f t="shared" si="63"/>
        <v>1.3754114375170926E-5</v>
      </c>
      <c r="O365" s="60">
        <f t="shared" si="64"/>
        <v>3.4415450587270035E-6</v>
      </c>
      <c r="P365" s="60">
        <f t="shared" si="65"/>
        <v>1.7339593078203909E-5</v>
      </c>
      <c r="Q365" s="60">
        <f t="shared" si="66"/>
        <v>8.1770489793123948E-6</v>
      </c>
      <c r="R365" s="60">
        <f t="shared" si="67"/>
        <v>2.4009223424642262E-5</v>
      </c>
    </row>
    <row r="366" spans="1:18" x14ac:dyDescent="0.3">
      <c r="A366">
        <f>'Parm VaR Eq Weights'!B365</f>
        <v>-6.1767345236366632E-3</v>
      </c>
      <c r="B366">
        <f>'Parm VaR Eq Weights'!C365</f>
        <v>1.067190857227506E-2</v>
      </c>
      <c r="C366">
        <f>'Parm VaR Eq Weights'!D365</f>
        <v>7.3711809509985349E-3</v>
      </c>
      <c r="D366">
        <f>'Parm VaR Eq Weights'!E365</f>
        <v>-9.3004883850248202E-3</v>
      </c>
      <c r="H366" s="60">
        <f t="shared" si="58"/>
        <v>3.2981448930333258E-5</v>
      </c>
      <c r="I366" s="60">
        <f t="shared" si="59"/>
        <v>6.6768412908910441E-5</v>
      </c>
      <c r="J366" s="60">
        <f t="shared" si="60"/>
        <v>5.9083459396393027E-5</v>
      </c>
      <c r="K366" s="60">
        <f t="shared" si="61"/>
        <v>1.1963502638024447E-4</v>
      </c>
      <c r="M366" s="60">
        <f t="shared" si="62"/>
        <v>1.8593706223475648E-5</v>
      </c>
      <c r="N366" s="60">
        <f t="shared" si="63"/>
        <v>1.1280958098409642E-5</v>
      </c>
      <c r="O366" s="60">
        <f t="shared" si="64"/>
        <v>3.4514277404060396E-6</v>
      </c>
      <c r="P366" s="60">
        <f t="shared" si="65"/>
        <v>1.8415159420099465E-5</v>
      </c>
      <c r="Q366" s="60">
        <f t="shared" si="66"/>
        <v>7.4085966007358252E-6</v>
      </c>
      <c r="R366" s="60">
        <f t="shared" si="67"/>
        <v>2.2105501154639488E-5</v>
      </c>
    </row>
    <row r="367" spans="1:18" x14ac:dyDescent="0.3">
      <c r="A367">
        <f>'Parm VaR Eq Weights'!B366</f>
        <v>2.8286949574615693E-3</v>
      </c>
      <c r="B367">
        <f>'Parm VaR Eq Weights'!C366</f>
        <v>-1.3701899491839418E-2</v>
      </c>
      <c r="C367">
        <f>'Parm VaR Eq Weights'!D366</f>
        <v>-2.6761002361319723E-3</v>
      </c>
      <c r="D367">
        <f>'Parm VaR Eq Weights'!E366</f>
        <v>2.7224310032779253E-2</v>
      </c>
      <c r="H367" s="60">
        <f t="shared" si="58"/>
        <v>3.3291684957042369E-5</v>
      </c>
      <c r="I367" s="60">
        <f t="shared" si="59"/>
        <v>6.9595686088875694E-5</v>
      </c>
      <c r="J367" s="60">
        <f t="shared" si="60"/>
        <v>5.8798510349351269E-5</v>
      </c>
      <c r="K367" s="60">
        <f t="shared" si="61"/>
        <v>1.176468698494287E-4</v>
      </c>
      <c r="M367" s="60">
        <f t="shared" si="62"/>
        <v>1.352303108337918E-5</v>
      </c>
      <c r="N367" s="60">
        <f t="shared" si="63"/>
        <v>7.8723109409047263E-6</v>
      </c>
      <c r="O367" s="60">
        <f t="shared" si="64"/>
        <v>6.6911409376495565E-6</v>
      </c>
      <c r="P367" s="60">
        <f t="shared" si="65"/>
        <v>2.2030124005618617E-5</v>
      </c>
      <c r="Q367" s="60">
        <f t="shared" si="66"/>
        <v>1.0088431013422106E-6</v>
      </c>
      <c r="R367" s="60">
        <f t="shared" si="67"/>
        <v>1.6665836116240429E-5</v>
      </c>
    </row>
    <row r="368" spans="1:18" x14ac:dyDescent="0.3">
      <c r="A368">
        <f>'Parm VaR Eq Weights'!B367</f>
        <v>6.8474828733456512E-3</v>
      </c>
      <c r="B368">
        <f>'Parm VaR Eq Weights'!C367</f>
        <v>3.3562381009993396E-3</v>
      </c>
      <c r="C368">
        <f>'Parm VaR Eq Weights'!D367</f>
        <v>1.5930116044890443E-2</v>
      </c>
      <c r="D368">
        <f>'Parm VaR Eq Weights'!E367</f>
        <v>1.3666223132531167E-2</v>
      </c>
      <c r="H368" s="60">
        <f t="shared" si="58"/>
        <v>3.1774274769361937E-5</v>
      </c>
      <c r="I368" s="60">
        <f t="shared" si="59"/>
        <v>7.668446790461131E-5</v>
      </c>
      <c r="J368" s="60">
        <f t="shared" si="60"/>
        <v>5.5700290476819727E-5</v>
      </c>
      <c r="K368" s="60">
        <f t="shared" si="61"/>
        <v>1.5505784106411612E-4</v>
      </c>
      <c r="M368" s="60">
        <f t="shared" si="62"/>
        <v>1.0386139578363741E-5</v>
      </c>
      <c r="N368" s="60">
        <f t="shared" si="63"/>
        <v>6.9457800098339483E-6</v>
      </c>
      <c r="O368" s="60">
        <f t="shared" si="64"/>
        <v>1.0910228591996171E-5</v>
      </c>
      <c r="P368" s="60">
        <f t="shared" si="65"/>
        <v>2.2908375953215582E-5</v>
      </c>
      <c r="Q368" s="60">
        <f t="shared" si="66"/>
        <v>-2.1433173072967351E-5</v>
      </c>
      <c r="R368" s="60">
        <f t="shared" si="67"/>
        <v>1.1294586998830964E-5</v>
      </c>
    </row>
    <row r="369" spans="1:18" x14ac:dyDescent="0.3">
      <c r="A369">
        <f>'Parm VaR Eq Weights'!B368</f>
        <v>4.6881479888191248E-3</v>
      </c>
      <c r="B369">
        <f>'Parm VaR Eq Weights'!C368</f>
        <v>2.0219778859801112E-3</v>
      </c>
      <c r="C369">
        <f>'Parm VaR Eq Weights'!D368</f>
        <v>-3.0600848356861911E-3</v>
      </c>
      <c r="D369">
        <f>'Parm VaR Eq Weights'!E368</f>
        <v>1.6462166581030443E-2</v>
      </c>
      <c r="H369" s="60">
        <f t="shared" si="58"/>
        <v>3.2681099585245941E-5</v>
      </c>
      <c r="I369" s="60">
        <f t="shared" si="59"/>
        <v>7.2759259881770616E-5</v>
      </c>
      <c r="J369" s="60">
        <f t="shared" si="60"/>
        <v>6.7584388880431107E-5</v>
      </c>
      <c r="K369" s="60">
        <f t="shared" si="61"/>
        <v>1.5696030988275695E-4</v>
      </c>
      <c r="M369" s="60">
        <f t="shared" si="62"/>
        <v>1.1141878178589705E-5</v>
      </c>
      <c r="N369" s="60">
        <f t="shared" si="63"/>
        <v>1.3073905016511681E-5</v>
      </c>
      <c r="O369" s="60">
        <f t="shared" si="64"/>
        <v>1.5870368607076044E-5</v>
      </c>
      <c r="P369" s="60">
        <f t="shared" si="65"/>
        <v>2.4741789141414781E-5</v>
      </c>
      <c r="Q369" s="60">
        <f t="shared" si="66"/>
        <v>-1.7395156762139726E-5</v>
      </c>
      <c r="R369" s="60">
        <f t="shared" si="67"/>
        <v>2.3679183002696379E-5</v>
      </c>
    </row>
    <row r="370" spans="1:18" x14ac:dyDescent="0.3">
      <c r="A370">
        <f>'Parm VaR Eq Weights'!B369</f>
        <v>-5.2624013728881647E-3</v>
      </c>
      <c r="B370">
        <f>'Parm VaR Eq Weights'!C369</f>
        <v>2.4632457501835001E-3</v>
      </c>
      <c r="C370">
        <f>'Parm VaR Eq Weights'!D369</f>
        <v>-1.3902296722307842E-2</v>
      </c>
      <c r="D370">
        <f>'Parm VaR Eq Weights'!E369</f>
        <v>9.9631156007052232E-3</v>
      </c>
      <c r="H370" s="60">
        <f t="shared" si="58"/>
        <v>3.2038957504035309E-5</v>
      </c>
      <c r="I370" s="60">
        <f t="shared" si="59"/>
        <v>6.8639007963147927E-5</v>
      </c>
      <c r="J370" s="60">
        <f t="shared" si="60"/>
        <v>6.4091172699701037E-5</v>
      </c>
      <c r="K370" s="60">
        <f t="shared" si="61"/>
        <v>1.6380286700228727E-4</v>
      </c>
      <c r="M370" s="60">
        <f t="shared" si="62"/>
        <v>1.1042125381449986E-5</v>
      </c>
      <c r="N370" s="60">
        <f t="shared" si="63"/>
        <v>1.1428702881438692E-5</v>
      </c>
      <c r="O370" s="60">
        <f t="shared" si="64"/>
        <v>1.9548770879559283E-5</v>
      </c>
      <c r="P370" s="60">
        <f t="shared" si="65"/>
        <v>2.2886036360911058E-5</v>
      </c>
      <c r="Q370" s="60">
        <f t="shared" si="66"/>
        <v>-1.4354279149481478E-5</v>
      </c>
      <c r="R370" s="60">
        <f t="shared" si="67"/>
        <v>1.9235894443505516E-5</v>
      </c>
    </row>
    <row r="371" spans="1:18" x14ac:dyDescent="0.3">
      <c r="A371">
        <f>'Parm VaR Eq Weights'!B370</f>
        <v>7.3876909168583164E-3</v>
      </c>
      <c r="B371">
        <f>'Parm VaR Eq Weights'!C370</f>
        <v>-6.8741162270562822E-3</v>
      </c>
      <c r="C371">
        <f>'Parm VaR Eq Weights'!D370</f>
        <v>5.7582690322722369E-3</v>
      </c>
      <c r="D371">
        <f>'Parm VaR Eq Weights'!E370</f>
        <v>-9.1146393307754078E-3</v>
      </c>
      <c r="H371" s="60">
        <f t="shared" si="58"/>
        <v>3.1778192146355704E-5</v>
      </c>
      <c r="I371" s="60">
        <f t="shared" si="59"/>
        <v>6.4884722262906869E-5</v>
      </c>
      <c r="J371" s="60">
        <f t="shared" si="60"/>
        <v>7.1842133587024466E-5</v>
      </c>
      <c r="K371" s="60">
        <f t="shared" si="61"/>
        <v>1.5993051533053096E-4</v>
      </c>
      <c r="M371" s="60">
        <f t="shared" si="62"/>
        <v>9.6018425895113906E-6</v>
      </c>
      <c r="N371" s="60">
        <f t="shared" si="63"/>
        <v>1.513254863001866E-5</v>
      </c>
      <c r="O371" s="60">
        <f t="shared" si="64"/>
        <v>1.5230049833862041E-5</v>
      </c>
      <c r="P371" s="60">
        <f t="shared" si="65"/>
        <v>1.9458187780115505E-5</v>
      </c>
      <c r="Q371" s="60">
        <f t="shared" si="66"/>
        <v>-1.2020526270791143E-5</v>
      </c>
      <c r="R371" s="60">
        <f t="shared" si="67"/>
        <v>9.7711294153156748E-6</v>
      </c>
    </row>
    <row r="372" spans="1:18" x14ac:dyDescent="0.3">
      <c r="A372">
        <f>'Parm VaR Eq Weights'!B371</f>
        <v>-1.6161143698240324E-3</v>
      </c>
      <c r="B372">
        <f>'Parm VaR Eq Weights'!C371</f>
        <v>-1.025891763215714E-2</v>
      </c>
      <c r="C372">
        <f>'Parm VaR Eq Weights'!D371</f>
        <v>-2.348138406500984E-3</v>
      </c>
      <c r="D372">
        <f>'Parm VaR Eq Weights'!E371</f>
        <v>3.8782653099185185E-3</v>
      </c>
      <c r="H372" s="60">
        <f t="shared" si="58"/>
        <v>3.314617924255622E-5</v>
      </c>
      <c r="I372" s="60">
        <f t="shared" si="59"/>
        <v>6.3826847361317163E-5</v>
      </c>
      <c r="J372" s="60">
        <f t="shared" si="60"/>
        <v>6.9521065306684513E-5</v>
      </c>
      <c r="K372" s="60">
        <f t="shared" si="61"/>
        <v>1.5531928341850617E-4</v>
      </c>
      <c r="M372" s="60">
        <f t="shared" si="62"/>
        <v>5.9787012734175804E-6</v>
      </c>
      <c r="N372" s="60">
        <f t="shared" si="63"/>
        <v>1.6777014421810191E-5</v>
      </c>
      <c r="O372" s="60">
        <f t="shared" si="64"/>
        <v>1.0276078552165772E-5</v>
      </c>
      <c r="P372" s="60">
        <f t="shared" si="65"/>
        <v>1.5915715877638675E-5</v>
      </c>
      <c r="Q372" s="60">
        <f t="shared" si="66"/>
        <v>-7.5399892868967531E-6</v>
      </c>
      <c r="R372" s="60">
        <f t="shared" si="67"/>
        <v>6.0357889264726568E-6</v>
      </c>
    </row>
    <row r="373" spans="1:18" x14ac:dyDescent="0.3">
      <c r="A373">
        <f>'Parm VaR Eq Weights'!B372</f>
        <v>-2.5786548938853981E-3</v>
      </c>
      <c r="B373">
        <f>'Parm VaR Eq Weights'!C372</f>
        <v>1.4263594595498321E-3</v>
      </c>
      <c r="C373">
        <f>'Parm VaR Eq Weights'!D372</f>
        <v>-1.9915314081470358E-2</v>
      </c>
      <c r="D373">
        <f>'Parm VaR Eq Weights'!E372</f>
        <v>-8.4306472867293658E-4</v>
      </c>
      <c r="H373" s="60">
        <f t="shared" si="58"/>
        <v>3.1314118027383947E-5</v>
      </c>
      <c r="I373" s="60">
        <f t="shared" si="59"/>
        <v>6.6311959978641212E-5</v>
      </c>
      <c r="J373" s="60">
        <f t="shared" si="60"/>
        <v>6.5680626626848536E-5</v>
      </c>
      <c r="K373" s="60">
        <f t="shared" si="61"/>
        <v>1.4690258292224286E-4</v>
      </c>
      <c r="M373" s="60">
        <f t="shared" si="62"/>
        <v>6.6147542492627438E-6</v>
      </c>
      <c r="N373" s="60">
        <f t="shared" si="63"/>
        <v>1.5998085169766498E-5</v>
      </c>
      <c r="O373" s="60">
        <f t="shared" si="64"/>
        <v>9.2834506211948613E-6</v>
      </c>
      <c r="P373" s="60">
        <f t="shared" si="65"/>
        <v>1.6406134435052254E-5</v>
      </c>
      <c r="Q373" s="60">
        <f t="shared" si="66"/>
        <v>-9.4747981918893382E-6</v>
      </c>
      <c r="R373" s="60">
        <f t="shared" si="67"/>
        <v>5.12723936739509E-6</v>
      </c>
    </row>
    <row r="374" spans="1:18" x14ac:dyDescent="0.3">
      <c r="A374">
        <f>'Parm VaR Eq Weights'!B373</f>
        <v>-1.0885526168438568E-2</v>
      </c>
      <c r="B374">
        <f>'Parm VaR Eq Weights'!C373</f>
        <v>-1.3101096051018805E-2</v>
      </c>
      <c r="C374">
        <f>'Parm VaR Eq Weights'!D373</f>
        <v>4.5215158812583244E-3</v>
      </c>
      <c r="D374">
        <f>'Parm VaR Eq Weights'!E373</f>
        <v>1.5720939773990149E-2</v>
      </c>
      <c r="H374" s="60">
        <f t="shared" si="58"/>
        <v>2.9834238609446457E-5</v>
      </c>
      <c r="I374" s="60">
        <f t="shared" si="59"/>
        <v>6.2455312458393575E-5</v>
      </c>
      <c r="J374" s="60">
        <f t="shared" si="60"/>
        <v>8.5536973127054323E-5</v>
      </c>
      <c r="K374" s="60">
        <f t="shared" si="61"/>
        <v>1.3813107343511224E-4</v>
      </c>
      <c r="M374" s="60">
        <f t="shared" si="62"/>
        <v>5.9971836662585041E-6</v>
      </c>
      <c r="N374" s="60">
        <f t="shared" si="63"/>
        <v>1.8119483386747409E-5</v>
      </c>
      <c r="O374" s="60">
        <f t="shared" si="64"/>
        <v>8.8568819632304478E-6</v>
      </c>
      <c r="P374" s="60">
        <f t="shared" si="65"/>
        <v>1.3717382571148444E-5</v>
      </c>
      <c r="Q374" s="60">
        <f t="shared" si="66"/>
        <v>-8.9784611014213048E-6</v>
      </c>
      <c r="R374" s="60">
        <f t="shared" si="67"/>
        <v>5.8269989371032526E-6</v>
      </c>
    </row>
    <row r="375" spans="1:18" x14ac:dyDescent="0.3">
      <c r="A375">
        <f>'Parm VaR Eq Weights'!B374</f>
        <v>-8.9987937957102873E-3</v>
      </c>
      <c r="B375">
        <f>'Parm VaR Eq Weights'!C374</f>
        <v>-7.6338357498357693E-3</v>
      </c>
      <c r="C375">
        <f>'Parm VaR Eq Weights'!D374</f>
        <v>-8.6721320586680812E-4</v>
      </c>
      <c r="D375">
        <f>'Parm VaR Eq Weights'!E374</f>
        <v>-1.8863947287284927E-2</v>
      </c>
      <c r="H375" s="60">
        <f t="shared" si="58"/>
        <v>3.5153865090705323E-5</v>
      </c>
      <c r="I375" s="60">
        <f t="shared" si="59"/>
        <v>6.9006316775171195E-5</v>
      </c>
      <c r="J375" s="60">
        <f t="shared" si="60"/>
        <v>8.1631401091299325E-5</v>
      </c>
      <c r="K375" s="60">
        <f t="shared" si="61"/>
        <v>1.4467208587165103E-4</v>
      </c>
      <c r="M375" s="60">
        <f t="shared" si="62"/>
        <v>1.4194092080198545E-5</v>
      </c>
      <c r="N375" s="60">
        <f t="shared" si="63"/>
        <v>1.4079169616755678E-5</v>
      </c>
      <c r="O375" s="60">
        <f t="shared" si="64"/>
        <v>-1.9423730326963795E-6</v>
      </c>
      <c r="P375" s="60">
        <f t="shared" si="65"/>
        <v>9.3401307854851982E-6</v>
      </c>
      <c r="Q375" s="60">
        <f t="shared" si="66"/>
        <v>-2.0797445954815645E-5</v>
      </c>
      <c r="R375" s="60">
        <f t="shared" si="67"/>
        <v>9.7423277322611878E-6</v>
      </c>
    </row>
    <row r="376" spans="1:18" x14ac:dyDescent="0.3">
      <c r="A376">
        <f>'Parm VaR Eq Weights'!B375</f>
        <v>-7.2827400053895319E-3</v>
      </c>
      <c r="B376">
        <f>'Parm VaR Eq Weights'!C375</f>
        <v>-2.3475520641027824E-2</v>
      </c>
      <c r="C376">
        <f>'Parm VaR Eq Weights'!D375</f>
        <v>-3.1769394028430972E-2</v>
      </c>
      <c r="D376">
        <f>'Parm VaR Eq Weights'!E375</f>
        <v>5.5959930662855912E-3</v>
      </c>
      <c r="H376" s="60">
        <f t="shared" si="58"/>
        <v>3.7903330571925844E-5</v>
      </c>
      <c r="I376" s="60">
        <f t="shared" si="59"/>
        <v>6.8362464663989164E-5</v>
      </c>
      <c r="J376" s="60">
        <f t="shared" si="60"/>
        <v>7.6778640550487153E-5</v>
      </c>
      <c r="K376" s="60">
        <f t="shared" si="61"/>
        <v>1.5734267115479983E-4</v>
      </c>
      <c r="M376" s="60">
        <f t="shared" si="62"/>
        <v>1.7464165382372247E-5</v>
      </c>
      <c r="N376" s="60">
        <f t="shared" si="63"/>
        <v>1.3702651808741072E-5</v>
      </c>
      <c r="O376" s="60">
        <f t="shared" si="64"/>
        <v>8.3593356579509434E-6</v>
      </c>
      <c r="P376" s="60">
        <f t="shared" si="65"/>
        <v>9.1769327287766304E-6</v>
      </c>
      <c r="Q376" s="60">
        <f t="shared" si="66"/>
        <v>-1.0909342686445108E-5</v>
      </c>
      <c r="R376" s="60">
        <f t="shared" si="67"/>
        <v>1.0139331920464047E-5</v>
      </c>
    </row>
    <row r="377" spans="1:18" x14ac:dyDescent="0.3">
      <c r="A377">
        <f>'Parm VaR Eq Weights'!B376</f>
        <v>-2.9777820139795273E-2</v>
      </c>
      <c r="B377">
        <f>'Parm VaR Eq Weights'!C376</f>
        <v>-2.8502980572406307E-2</v>
      </c>
      <c r="C377">
        <f>'Parm VaR Eq Weights'!D376</f>
        <v>-1.5449163018169038E-2</v>
      </c>
      <c r="D377">
        <f>'Parm VaR Eq Weights'!E376</f>
        <v>-3.4534702412894747E-3</v>
      </c>
      <c r="H377" s="60">
        <f t="shared" si="58"/>
        <v>3.8811428856776363E-5</v>
      </c>
      <c r="I377" s="60">
        <f t="shared" si="59"/>
        <v>9.7326720946189246E-5</v>
      </c>
      <c r="J377" s="60">
        <f t="shared" si="60"/>
        <v>1.3272958593348031E-4</v>
      </c>
      <c r="K377" s="60">
        <f t="shared" si="61"/>
        <v>1.4978101918938682E-4</v>
      </c>
      <c r="M377" s="60">
        <f t="shared" si="62"/>
        <v>2.6674282258615582E-5</v>
      </c>
      <c r="N377" s="60">
        <f t="shared" si="63"/>
        <v>2.6762586910486871E-5</v>
      </c>
      <c r="O377" s="60">
        <f t="shared" si="64"/>
        <v>5.4125257640506536E-6</v>
      </c>
      <c r="P377" s="60">
        <f t="shared" si="65"/>
        <v>5.3374500681092717E-5</v>
      </c>
      <c r="Q377" s="60">
        <f t="shared" si="66"/>
        <v>-1.8136913169336568E-5</v>
      </c>
      <c r="R377" s="60">
        <f t="shared" si="67"/>
        <v>-1.1359065169554802E-6</v>
      </c>
    </row>
    <row r="378" spans="1:18" x14ac:dyDescent="0.3">
      <c r="A378">
        <f>'Parm VaR Eq Weights'!B377</f>
        <v>1.3017017418171808E-2</v>
      </c>
      <c r="B378">
        <f>'Parm VaR Eq Weights'!C377</f>
        <v>-6.6948848817000948E-3</v>
      </c>
      <c r="C378">
        <f>'Parm VaR Eq Weights'!D377</f>
        <v>1.8174030753095101E-4</v>
      </c>
      <c r="D378">
        <f>'Parm VaR Eq Weights'!E377</f>
        <v>-1.3671779122061852E-2</v>
      </c>
      <c r="H378" s="60">
        <f t="shared" si="58"/>
        <v>8.9685857462049639E-5</v>
      </c>
      <c r="I378" s="60">
        <f t="shared" si="59"/>
        <v>1.4023231178007621E-4</v>
      </c>
      <c r="J378" s="60">
        <f t="shared" si="60"/>
        <v>1.3908640905518921E-4</v>
      </c>
      <c r="K378" s="60">
        <f t="shared" si="61"/>
        <v>1.4150974544047194E-4</v>
      </c>
      <c r="M378" s="60">
        <f t="shared" si="62"/>
        <v>7.5999223059090325E-5</v>
      </c>
      <c r="N378" s="60">
        <f t="shared" si="63"/>
        <v>5.2759375555782539E-5</v>
      </c>
      <c r="O378" s="60">
        <f t="shared" si="64"/>
        <v>1.125798316040282E-5</v>
      </c>
      <c r="P378" s="60">
        <f t="shared" si="65"/>
        <v>7.6592862242235782E-5</v>
      </c>
      <c r="Q378" s="60">
        <f t="shared" si="66"/>
        <v>-1.1142646667484934E-5</v>
      </c>
      <c r="R378" s="60">
        <f t="shared" si="67"/>
        <v>2.133441358226451E-6</v>
      </c>
    </row>
    <row r="379" spans="1:18" x14ac:dyDescent="0.3">
      <c r="A379">
        <f>'Parm VaR Eq Weights'!B378</f>
        <v>7.6687590774510779E-4</v>
      </c>
      <c r="B379">
        <f>'Parm VaR Eq Weights'!C378</f>
        <v>8.0031069980596365E-4</v>
      </c>
      <c r="C379">
        <f>'Parm VaR Eq Weights'!D378</f>
        <v>6.7452939615943279E-3</v>
      </c>
      <c r="D379">
        <f>'Parm VaR Eq Weights'!E378</f>
        <v>2.7316070244224205E-2</v>
      </c>
      <c r="H379" s="60">
        <f t="shared" si="58"/>
        <v>9.4471270562225968E-5</v>
      </c>
      <c r="I379" s="60">
        <f t="shared" si="59"/>
        <v>1.3450766208802461E-4</v>
      </c>
      <c r="J379" s="60">
        <f t="shared" si="60"/>
        <v>1.3074320628424072E-4</v>
      </c>
      <c r="K379" s="60">
        <f t="shared" si="61"/>
        <v>1.442342133757904E-4</v>
      </c>
      <c r="M379" s="60">
        <f t="shared" si="62"/>
        <v>6.6210423688480192E-5</v>
      </c>
      <c r="N379" s="60">
        <f t="shared" si="63"/>
        <v>4.9735756027358438E-5</v>
      </c>
      <c r="O379" s="60">
        <f t="shared" si="64"/>
        <v>-9.5443047377968072E-8</v>
      </c>
      <c r="P379" s="60">
        <f t="shared" si="65"/>
        <v>7.1924286681464562E-5</v>
      </c>
      <c r="Q379" s="60">
        <f t="shared" si="66"/>
        <v>-4.98222862642174E-6</v>
      </c>
      <c r="R379" s="60">
        <f t="shared" si="67"/>
        <v>1.8563520762045383E-6</v>
      </c>
    </row>
    <row r="380" spans="1:18" x14ac:dyDescent="0.3">
      <c r="A380">
        <f>'Parm VaR Eq Weights'!B379</f>
        <v>1.876230361349452E-2</v>
      </c>
      <c r="B380">
        <f>'Parm VaR Eq Weights'!C379</f>
        <v>4.7597836116712875E-3</v>
      </c>
      <c r="C380">
        <f>'Parm VaR Eq Weights'!D379</f>
        <v>1.8122619193344618E-2</v>
      </c>
      <c r="D380">
        <f>'Parm VaR Eq Weights'!E379</f>
        <v>-1.6832819186569328E-2</v>
      </c>
      <c r="H380" s="60">
        <f t="shared" si="58"/>
        <v>8.8838280247965207E-5</v>
      </c>
      <c r="I380" s="60">
        <f t="shared" si="59"/>
        <v>1.2647563219571656E-4</v>
      </c>
      <c r="J380" s="60">
        <f t="shared" si="60"/>
        <v>1.2562855334488551E-4</v>
      </c>
      <c r="K380" s="60">
        <f t="shared" si="61"/>
        <v>1.8035022218848646E-4</v>
      </c>
      <c r="M380" s="60">
        <f t="shared" si="62"/>
        <v>6.2274622606834883E-5</v>
      </c>
      <c r="N380" s="60">
        <f t="shared" si="63"/>
        <v>4.7061978871505244E-5</v>
      </c>
      <c r="O380" s="60">
        <f t="shared" si="64"/>
        <v>1.1671657053388251E-6</v>
      </c>
      <c r="P380" s="60">
        <f t="shared" si="65"/>
        <v>6.7932729336424709E-5</v>
      </c>
      <c r="Q380" s="60">
        <f t="shared" si="66"/>
        <v>-3.3716143112501978E-6</v>
      </c>
      <c r="R380" s="60">
        <f t="shared" si="67"/>
        <v>1.2800266372003398E-5</v>
      </c>
    </row>
    <row r="381" spans="1:18" x14ac:dyDescent="0.3">
      <c r="A381">
        <f>'Parm VaR Eq Weights'!B380</f>
        <v>-6.6166065089015109E-3</v>
      </c>
      <c r="B381">
        <f>'Parm VaR Eq Weights'!C380</f>
        <v>-6.9472972373433271E-3</v>
      </c>
      <c r="C381">
        <f>'Parm VaR Eq Weights'!D380</f>
        <v>-1.5088751968655875E-2</v>
      </c>
      <c r="D381">
        <f>'Parm VaR Eq Weights'!E380</f>
        <v>-7.471654395255301E-3</v>
      </c>
      <c r="H381" s="60">
        <f t="shared" si="58"/>
        <v>1.0462942564618428E-4</v>
      </c>
      <c r="I381" s="60">
        <f t="shared" si="59"/>
        <v>1.2024642666576964E-4</v>
      </c>
      <c r="J381" s="60">
        <f t="shared" si="60"/>
        <v>1.3779659972981134E-4</v>
      </c>
      <c r="K381" s="60">
        <f t="shared" si="61"/>
        <v>1.8652983696324147E-4</v>
      </c>
      <c r="M381" s="60">
        <f t="shared" si="62"/>
        <v>6.3896415565827517E-5</v>
      </c>
      <c r="N381" s="60">
        <f t="shared" si="63"/>
        <v>6.4639585153851442E-5</v>
      </c>
      <c r="O381" s="60">
        <f t="shared" si="64"/>
        <v>-1.7852212091949697E-5</v>
      </c>
      <c r="P381" s="60">
        <f t="shared" si="65"/>
        <v>6.90323503264617E-5</v>
      </c>
      <c r="Q381" s="60">
        <f t="shared" si="66"/>
        <v>-7.9765520667227126E-6</v>
      </c>
      <c r="R381" s="60">
        <f t="shared" si="67"/>
        <v>-6.2710359344340763E-6</v>
      </c>
    </row>
    <row r="382" spans="1:18" x14ac:dyDescent="0.3">
      <c r="A382">
        <f>'Parm VaR Eq Weights'!B381</f>
        <v>-1.2317322120534364E-2</v>
      </c>
      <c r="B382">
        <f>'Parm VaR Eq Weights'!C381</f>
        <v>-4.4172384971892858E-3</v>
      </c>
      <c r="C382">
        <f>'Parm VaR Eq Weights'!D381</f>
        <v>5.786221511251714E-4</v>
      </c>
      <c r="D382">
        <f>'Parm VaR Eq Weights'!E381</f>
        <v>-2.8848042025440696E-3</v>
      </c>
      <c r="H382" s="60">
        <f t="shared" si="58"/>
        <v>1.0097842900903149E-4</v>
      </c>
      <c r="I382" s="60">
        <f t="shared" si="59"/>
        <v>1.1592753740006335E-4</v>
      </c>
      <c r="J382" s="60">
        <f t="shared" si="60"/>
        <v>1.4318902990431966E-4</v>
      </c>
      <c r="K382" s="60">
        <f t="shared" si="61"/>
        <v>1.7868758390957525E-4</v>
      </c>
      <c r="M382" s="60">
        <f t="shared" si="62"/>
        <v>6.2820682559070623E-5</v>
      </c>
      <c r="N382" s="60">
        <f t="shared" si="63"/>
        <v>6.6751390113840901E-5</v>
      </c>
      <c r="O382" s="60">
        <f t="shared" si="64"/>
        <v>-1.3814859540198183E-5</v>
      </c>
      <c r="P382" s="60">
        <f t="shared" si="65"/>
        <v>7.1179971998882102E-5</v>
      </c>
      <c r="Q382" s="60">
        <f t="shared" si="66"/>
        <v>-4.3834907064068693E-6</v>
      </c>
      <c r="R382" s="60">
        <f t="shared" si="67"/>
        <v>8.695026195634592E-7</v>
      </c>
    </row>
    <row r="383" spans="1:18" x14ac:dyDescent="0.3">
      <c r="A383">
        <f>'Parm VaR Eq Weights'!B382</f>
        <v>1.5131688258040262E-2</v>
      </c>
      <c r="B383">
        <f>'Parm VaR Eq Weights'!C382</f>
        <v>-2.1042625329801477E-2</v>
      </c>
      <c r="C383">
        <f>'Parm VaR Eq Weights'!D382</f>
        <v>6.7501978316635014E-3</v>
      </c>
      <c r="D383">
        <f>'Parm VaR Eq Weights'!E382</f>
        <v>-1.6122308508028397E-3</v>
      </c>
      <c r="H383" s="60">
        <f t="shared" si="58"/>
        <v>1.0402270872174991E-4</v>
      </c>
      <c r="I383" s="60">
        <f t="shared" si="59"/>
        <v>1.1014260491252261E-4</v>
      </c>
      <c r="J383" s="60">
        <f t="shared" si="60"/>
        <v>1.3461777632568683E-4</v>
      </c>
      <c r="K383" s="60">
        <f t="shared" si="61"/>
        <v>1.6846565459222168E-4</v>
      </c>
      <c r="M383" s="60">
        <f t="shared" si="62"/>
        <v>6.231595457271272E-5</v>
      </c>
      <c r="N383" s="60">
        <f t="shared" si="63"/>
        <v>6.2318682181721331E-5</v>
      </c>
      <c r="O383" s="60">
        <f t="shared" si="64"/>
        <v>-1.0853984210741897E-5</v>
      </c>
      <c r="P383" s="60">
        <f t="shared" si="65"/>
        <v>6.6755818956472577E-5</v>
      </c>
      <c r="Q383" s="60">
        <f t="shared" si="66"/>
        <v>-3.35590917320259E-6</v>
      </c>
      <c r="R383" s="60">
        <f t="shared" si="67"/>
        <v>7.1717976559459242E-7</v>
      </c>
    </row>
    <row r="384" spans="1:18" x14ac:dyDescent="0.3">
      <c r="A384">
        <f>'Parm VaR Eq Weights'!B383</f>
        <v>-2.9292752675063875E-2</v>
      </c>
      <c r="B384">
        <f>'Parm VaR Eq Weights'!C383</f>
        <v>8.2980366325789711E-4</v>
      </c>
      <c r="C384">
        <f>'Parm VaR Eq Weights'!D383</f>
        <v>-2.5401507461341465E-2</v>
      </c>
      <c r="D384">
        <f>'Parm VaR Eq Weights'!E383</f>
        <v>2.1799485236579982E-3</v>
      </c>
      <c r="H384" s="60">
        <f t="shared" si="58"/>
        <v>1.1151942557075572E-4</v>
      </c>
      <c r="I384" s="60">
        <f t="shared" si="59"/>
        <v>1.3010157346399543E-4</v>
      </c>
      <c r="J384" s="60">
        <f t="shared" si="60"/>
        <v>1.2927461999214128E-4</v>
      </c>
      <c r="K384" s="60">
        <f t="shared" si="61"/>
        <v>1.585136726156652E-4</v>
      </c>
      <c r="M384" s="60">
        <f t="shared" si="62"/>
        <v>3.9472370501072074E-5</v>
      </c>
      <c r="N384" s="60">
        <f t="shared" si="63"/>
        <v>6.4708074606947943E-5</v>
      </c>
      <c r="O384" s="60">
        <f t="shared" si="64"/>
        <v>-1.1666491636157999E-5</v>
      </c>
      <c r="P384" s="60">
        <f t="shared" si="65"/>
        <v>5.4227956786660216E-5</v>
      </c>
      <c r="Q384" s="60">
        <f t="shared" si="66"/>
        <v>-1.1190204384949595E-6</v>
      </c>
      <c r="R384" s="60">
        <f t="shared" si="67"/>
        <v>2.1176348065096357E-8</v>
      </c>
    </row>
    <row r="385" spans="1:18" x14ac:dyDescent="0.3">
      <c r="A385">
        <f>'Parm VaR Eq Weights'!B384</f>
        <v>2.4642680273539862E-3</v>
      </c>
      <c r="B385">
        <f>'Parm VaR Eq Weights'!C384</f>
        <v>7.6349501454955511E-3</v>
      </c>
      <c r="C385">
        <f>'Parm VaR Eq Weights'!D384</f>
        <v>-1.0248914988918528E-2</v>
      </c>
      <c r="D385">
        <f>'Parm VaR Eq Weights'!E384</f>
        <v>-1.0493264596239945E-2</v>
      </c>
      <c r="H385" s="60">
        <f t="shared" si="58"/>
        <v>1.5631218159345813E-4</v>
      </c>
      <c r="I385" s="60">
        <f t="shared" si="59"/>
        <v>1.2233679350332906E-4</v>
      </c>
      <c r="J385" s="60">
        <f t="shared" si="60"/>
        <v>1.6023233767112799E-4</v>
      </c>
      <c r="K385" s="60">
        <f t="shared" si="61"/>
        <v>1.4928798279267321E-4</v>
      </c>
      <c r="M385" s="60">
        <f t="shared" si="62"/>
        <v>3.5645594262407216E-5</v>
      </c>
      <c r="N385" s="60">
        <f t="shared" si="63"/>
        <v>1.0547039466886303E-4</v>
      </c>
      <c r="O385" s="60">
        <f t="shared" si="64"/>
        <v>-1.4797903714861585E-5</v>
      </c>
      <c r="P385" s="60">
        <f t="shared" si="65"/>
        <v>4.9709583542838963E-5</v>
      </c>
      <c r="Q385" s="60">
        <f t="shared" si="66"/>
        <v>-9.4334345594655859E-7</v>
      </c>
      <c r="R385" s="60">
        <f t="shared" si="67"/>
        <v>-3.3025329541611498E-6</v>
      </c>
    </row>
    <row r="386" spans="1:18" x14ac:dyDescent="0.3">
      <c r="A386">
        <f>'Parm VaR Eq Weights'!B385</f>
        <v>1.4426124661553555E-2</v>
      </c>
      <c r="B386">
        <f>'Parm VaR Eq Weights'!C385</f>
        <v>9.3647949954941603E-3</v>
      </c>
      <c r="C386">
        <f>'Parm VaR Eq Weights'!D385</f>
        <v>1.0055862101855167E-2</v>
      </c>
      <c r="D386">
        <f>'Parm VaR Eq Weights'!E385</f>
        <v>2.6558694319317113E-3</v>
      </c>
      <c r="H386" s="60">
        <f t="shared" si="58"/>
        <v>1.4729780771248897E-4</v>
      </c>
      <c r="I386" s="60">
        <f t="shared" si="59"/>
        <v>1.1849413371658146E-4</v>
      </c>
      <c r="J386" s="60">
        <f t="shared" si="60"/>
        <v>1.5692081291786506E-4</v>
      </c>
      <c r="K386" s="60">
        <f t="shared" si="61"/>
        <v>1.4693721993831496E-4</v>
      </c>
      <c r="M386" s="60">
        <f t="shared" si="62"/>
        <v>3.4635732418701964E-5</v>
      </c>
      <c r="N386" s="60">
        <f t="shared" si="63"/>
        <v>9.7626806577395575E-5</v>
      </c>
      <c r="O386" s="60">
        <f t="shared" si="64"/>
        <v>-1.5461522478794668E-5</v>
      </c>
      <c r="P386" s="60">
        <f t="shared" si="65"/>
        <v>4.2032011231119713E-5</v>
      </c>
      <c r="Q386" s="60">
        <f t="shared" si="66"/>
        <v>-5.6936759719368985E-6</v>
      </c>
      <c r="R386" s="60">
        <f t="shared" si="67"/>
        <v>3.3482936312740267E-6</v>
      </c>
    </row>
    <row r="387" spans="1:18" x14ac:dyDescent="0.3">
      <c r="A387">
        <f>'Parm VaR Eq Weights'!B386</f>
        <v>1.2105865247517531E-2</v>
      </c>
      <c r="B387">
        <f>'Parm VaR Eq Weights'!C386</f>
        <v>2.1668390406514082E-2</v>
      </c>
      <c r="C387">
        <f>'Parm VaR Eq Weights'!D386</f>
        <v>1.3017605914111489E-2</v>
      </c>
      <c r="D387">
        <f>'Parm VaR Eq Weights'!E386</f>
        <v>-1.6065669281798915E-2</v>
      </c>
      <c r="H387" s="60">
        <f t="shared" si="58"/>
        <v>1.5094672361478067E-4</v>
      </c>
      <c r="I387" s="60">
        <f t="shared" si="59"/>
        <v>1.1664644881204452E-4</v>
      </c>
      <c r="J387" s="60">
        <f t="shared" si="60"/>
        <v>1.5357278589948477E-4</v>
      </c>
      <c r="K387" s="60">
        <f t="shared" si="61"/>
        <v>1.3854420528838421E-4</v>
      </c>
      <c r="M387" s="60">
        <f t="shared" si="62"/>
        <v>4.0663450475673345E-5</v>
      </c>
      <c r="N387" s="60">
        <f t="shared" si="63"/>
        <v>1.0047322539839712E-4</v>
      </c>
      <c r="O387" s="60">
        <f t="shared" si="64"/>
        <v>-1.2234996919475607E-5</v>
      </c>
      <c r="P387" s="60">
        <f t="shared" si="65"/>
        <v>4.5160355782462493E-5</v>
      </c>
      <c r="Q387" s="60">
        <f t="shared" si="66"/>
        <v>-3.859755047730283E-6</v>
      </c>
      <c r="R387" s="60">
        <f t="shared" si="67"/>
        <v>4.7498194194798485E-6</v>
      </c>
    </row>
    <row r="388" spans="1:18" x14ac:dyDescent="0.3">
      <c r="A388">
        <f>'Parm VaR Eq Weights'!B387</f>
        <v>-7.9147274043211164E-3</v>
      </c>
      <c r="B388">
        <f>'Parm VaR Eq Weights'!C387</f>
        <v>-2.2935169755249722E-3</v>
      </c>
      <c r="C388">
        <f>'Parm VaR Eq Weights'!D387</f>
        <v>-7.1816498972723823E-3</v>
      </c>
      <c r="D388">
        <f>'Parm VaR Eq Weights'!E387</f>
        <v>-2.5805719975438425E-3</v>
      </c>
      <c r="H388" s="60">
        <f t="shared" si="58"/>
        <v>1.5068303860135698E-4</v>
      </c>
      <c r="I388" s="60">
        <f t="shared" si="59"/>
        <v>1.3781881045186854E-4</v>
      </c>
      <c r="J388" s="60">
        <f t="shared" si="60"/>
        <v>1.5452590256962231E-4</v>
      </c>
      <c r="K388" s="60">
        <f t="shared" si="61"/>
        <v>1.4571789673940941E-4</v>
      </c>
      <c r="M388" s="60">
        <f t="shared" si="62"/>
        <v>5.3962520310644622E-5</v>
      </c>
      <c r="N388" s="60">
        <f t="shared" si="63"/>
        <v>1.0390019485698456E-4</v>
      </c>
      <c r="O388" s="60">
        <f t="shared" si="64"/>
        <v>-2.3170226750505447E-5</v>
      </c>
      <c r="P388" s="60">
        <f t="shared" si="65"/>
        <v>5.937496846182162E-5</v>
      </c>
      <c r="Q388" s="60">
        <f t="shared" si="66"/>
        <v>-2.451520139326406E-5</v>
      </c>
      <c r="R388" s="60">
        <f t="shared" si="67"/>
        <v>-8.0833628331032437E-6</v>
      </c>
    </row>
    <row r="389" spans="1:18" x14ac:dyDescent="0.3">
      <c r="A389">
        <f>'Parm VaR Eq Weights'!B388</f>
        <v>8.2467986380091972E-3</v>
      </c>
      <c r="B389">
        <f>'Parm VaR Eq Weights'!C388</f>
        <v>1.4676988608077759E-3</v>
      </c>
      <c r="C389">
        <f>'Parm VaR Eq Weights'!D388</f>
        <v>1.438897283409514E-2</v>
      </c>
      <c r="D389">
        <f>'Parm VaR Eq Weights'!E388</f>
        <v>1.2586538498234559E-3</v>
      </c>
      <c r="H389" s="60">
        <f t="shared" si="58"/>
        <v>1.4540063087835825E-4</v>
      </c>
      <c r="I389" s="60">
        <f t="shared" si="59"/>
        <v>1.2986529503177769E-4</v>
      </c>
      <c r="J389" s="60">
        <f t="shared" si="60"/>
        <v>1.4834891413026454E-4</v>
      </c>
      <c r="K389" s="60">
        <f t="shared" si="61"/>
        <v>1.3737438404511529E-4</v>
      </c>
      <c r="M389" s="60">
        <f t="shared" si="62"/>
        <v>5.1813922791513735E-5</v>
      </c>
      <c r="N389" s="60">
        <f t="shared" si="63"/>
        <v>1.0107663124057638E-4</v>
      </c>
      <c r="O389" s="60">
        <f t="shared" si="64"/>
        <v>-2.0554541711008079E-5</v>
      </c>
      <c r="P389" s="60">
        <f t="shared" si="65"/>
        <v>5.6800744511212607E-5</v>
      </c>
      <c r="Q389" s="60">
        <f t="shared" si="66"/>
        <v>-2.2689174168692343E-5</v>
      </c>
      <c r="R389" s="60">
        <f t="shared" si="67"/>
        <v>-6.4863951858531647E-6</v>
      </c>
    </row>
    <row r="390" spans="1:18" x14ac:dyDescent="0.3">
      <c r="A390">
        <f>'Parm VaR Eq Weights'!B389</f>
        <v>-5.0607504177328756E-4</v>
      </c>
      <c r="B390">
        <f>'Parm VaR Eq Weights'!C389</f>
        <v>-8.4247442293193028E-3</v>
      </c>
      <c r="C390">
        <f>'Parm VaR Eq Weights'!D389</f>
        <v>-5.5358232570248541E-3</v>
      </c>
      <c r="D390">
        <f>'Parm VaR Eq Weights'!E389</f>
        <v>7.3527670839619187E-3</v>
      </c>
      <c r="H390" s="60">
        <f t="shared" ref="H390:H453" si="68">H389*$F$3+A389^2*(1-$F$3)</f>
        <v>1.4075717429220898E-4</v>
      </c>
      <c r="I390" s="60">
        <f t="shared" ref="I390:I453" si="69">I389*$F$3+B389^2*(1-$F$3)</f>
        <v>1.2220262572663199E-4</v>
      </c>
      <c r="J390" s="60">
        <f t="shared" ref="J390:J453" si="70">J389*$F$3+C389^2*(1-$F$3)</f>
        <v>1.5187053163566834E-4</v>
      </c>
      <c r="K390" s="60">
        <f t="shared" ref="K390:K453" si="71">K389*$F$3+D389^2*(1-$F$3)</f>
        <v>1.292269735732289E-4</v>
      </c>
      <c r="M390" s="60">
        <f t="shared" ref="M390:M453" si="72">M389*$F$3+A389*B389*(1-$F$3)</f>
        <v>4.9431316442001937E-5</v>
      </c>
      <c r="N390" s="60">
        <f t="shared" ref="N390:N453" si="73">N389*$F$3+A389*C389*(1-$F$3)</f>
        <v>1.0213181106037583E-4</v>
      </c>
      <c r="O390" s="60">
        <f t="shared" ref="O390:O453" si="74">O389*$F$3+A389*D389*(1-$F$3)</f>
        <v>-1.8698477317080646E-5</v>
      </c>
      <c r="P390" s="60">
        <f t="shared" ref="P390:P453" si="75">P389*$F$3+B389*C389*(1-$F$3)</f>
        <v>5.4659820582747578E-5</v>
      </c>
      <c r="Q390" s="60">
        <f t="shared" ref="Q390:Q453" si="76">Q389*$F$3+B389*D389*(1-$F$3)</f>
        <v>-2.1216984229278568E-5</v>
      </c>
      <c r="R390" s="60">
        <f t="shared" ref="R390:R453" si="77">R389*$F$3+C389*D389*(1-$F$3)</f>
        <v>-5.0105673115436347E-6</v>
      </c>
    </row>
    <row r="391" spans="1:18" x14ac:dyDescent="0.3">
      <c r="A391">
        <f>'Parm VaR Eq Weights'!B390</f>
        <v>-2.5946336841673853E-2</v>
      </c>
      <c r="B391">
        <f>'Parm VaR Eq Weights'!C390</f>
        <v>5.0140418214456514E-3</v>
      </c>
      <c r="C391">
        <f>'Parm VaR Eq Weights'!D390</f>
        <v>-1.2161539723529844E-2</v>
      </c>
      <c r="D391">
        <f>'Parm VaR Eq Weights'!E390</f>
        <v>-5.3819155727104573E-3</v>
      </c>
      <c r="H391" s="60">
        <f t="shared" si="68"/>
        <v>1.3232711055155081E-4</v>
      </c>
      <c r="I391" s="60">
        <f t="shared" si="69"/>
        <v>1.1912904710280101E-4</v>
      </c>
      <c r="J391" s="60">
        <f t="shared" si="70"/>
        <v>1.4459702008550929E-4</v>
      </c>
      <c r="K391" s="60">
        <f t="shared" si="71"/>
        <v>1.2471714618629478E-4</v>
      </c>
      <c r="M391" s="60">
        <f t="shared" si="72"/>
        <v>4.6721250622748739E-5</v>
      </c>
      <c r="N391" s="60">
        <f t="shared" si="73"/>
        <v>9.6171994915916184E-5</v>
      </c>
      <c r="O391" s="60">
        <f t="shared" si="74"/>
        <v>-1.7799831792605724E-5</v>
      </c>
      <c r="P391" s="60">
        <f t="shared" si="75"/>
        <v>5.4178505050131825E-5</v>
      </c>
      <c r="Q391" s="60">
        <f t="shared" si="76"/>
        <v>-2.3660676099130085E-5</v>
      </c>
      <c r="R391" s="60">
        <f t="shared" si="77"/>
        <v>-7.1521504144640112E-6</v>
      </c>
    </row>
    <row r="392" spans="1:18" x14ac:dyDescent="0.3">
      <c r="A392">
        <f>'Parm VaR Eq Weights'!B391</f>
        <v>1.0982987950876637E-2</v>
      </c>
      <c r="B392">
        <f>'Parm VaR Eq Weights'!C391</f>
        <v>-1.906083916254743E-2</v>
      </c>
      <c r="C392">
        <f>'Parm VaR Eq Weights'!D391</f>
        <v>9.9883427846987356E-3</v>
      </c>
      <c r="D392">
        <f>'Parm VaR Eq Weights'!E391</f>
        <v>-2.2198291400174069E-2</v>
      </c>
      <c r="H392" s="60">
        <f t="shared" si="68"/>
        <v>1.647802276485539E-4</v>
      </c>
      <c r="I392" s="60">
        <f t="shared" si="69"/>
        <v>1.134897411998653E-4</v>
      </c>
      <c r="J392" s="60">
        <f t="shared" si="70"/>
        <v>1.447953817871984E-4</v>
      </c>
      <c r="K392" s="60">
        <f t="shared" si="71"/>
        <v>1.1897201832902409E-4</v>
      </c>
      <c r="M392" s="60">
        <f t="shared" si="72"/>
        <v>3.6112214503135681E-5</v>
      </c>
      <c r="N392" s="60">
        <f t="shared" si="73"/>
        <v>1.0933451959176736E-4</v>
      </c>
      <c r="O392" s="60">
        <f t="shared" si="74"/>
        <v>-8.3533822268696361E-6</v>
      </c>
      <c r="P392" s="60">
        <f t="shared" si="75"/>
        <v>4.7269086619906835E-5</v>
      </c>
      <c r="Q392" s="60">
        <f t="shared" si="76"/>
        <v>-2.386014451884587E-5</v>
      </c>
      <c r="R392" s="60">
        <f t="shared" si="77"/>
        <v>-2.7958785880240409E-6</v>
      </c>
    </row>
    <row r="393" spans="1:18" x14ac:dyDescent="0.3">
      <c r="A393">
        <f>'Parm VaR Eq Weights'!B392</f>
        <v>-3.2031807387391982E-3</v>
      </c>
      <c r="B393">
        <f>'Parm VaR Eq Weights'!C392</f>
        <v>-6.3316028067447608E-4</v>
      </c>
      <c r="C393">
        <f>'Parm VaR Eq Weights'!D392</f>
        <v>1.9310607947617944E-3</v>
      </c>
      <c r="D393">
        <f>'Parm VaR Eq Weights'!E392</f>
        <v>1.2488775678631051E-2</v>
      </c>
      <c r="H393" s="60">
        <f t="shared" si="68"/>
        <v>1.6213097544938676E-4</v>
      </c>
      <c r="I393" s="60">
        <f t="shared" si="69"/>
        <v>1.2847929210270352E-4</v>
      </c>
      <c r="J393" s="60">
        <f t="shared" si="70"/>
        <v>1.4209367837504509E-4</v>
      </c>
      <c r="K393" s="60">
        <f t="shared" si="71"/>
        <v>1.4139954569450519E-4</v>
      </c>
      <c r="M393" s="60">
        <f t="shared" si="72"/>
        <v>2.1384783621596171E-5</v>
      </c>
      <c r="N393" s="60">
        <f t="shared" si="73"/>
        <v>1.0935655932347564E-4</v>
      </c>
      <c r="O393" s="60">
        <f t="shared" si="74"/>
        <v>-2.2480393311947086E-5</v>
      </c>
      <c r="P393" s="60">
        <f t="shared" si="75"/>
        <v>3.3009769703540388E-5</v>
      </c>
      <c r="Q393" s="60">
        <f t="shared" si="76"/>
        <v>2.9585478760095725E-6</v>
      </c>
      <c r="R393" s="60">
        <f t="shared" si="77"/>
        <v>-1.5931574497116729E-5</v>
      </c>
    </row>
    <row r="394" spans="1:18" x14ac:dyDescent="0.3">
      <c r="A394">
        <f>'Parm VaR Eq Weights'!B393</f>
        <v>6.5454800624580919E-3</v>
      </c>
      <c r="B394">
        <f>'Parm VaR Eq Weights'!C393</f>
        <v>-1.8933023252896784E-3</v>
      </c>
      <c r="C394">
        <f>'Parm VaR Eq Weights'!D393</f>
        <v>-3.1014740446682659E-3</v>
      </c>
      <c r="D394">
        <f>'Parm VaR Eq Weights'!E393</f>
        <v>1.4028222327953643E-2</v>
      </c>
      <c r="H394" s="60">
        <f t="shared" si="68"/>
        <v>1.5301873893312535E-4</v>
      </c>
      <c r="I394" s="60">
        <f t="shared" si="69"/>
        <v>1.2079458809300273E-4</v>
      </c>
      <c r="J394" s="60">
        <f t="shared" si="70"/>
        <v>1.3379179742012632E-4</v>
      </c>
      <c r="K394" s="60">
        <f t="shared" si="71"/>
        <v>1.4227374402990485E-4</v>
      </c>
      <c r="M394" s="60">
        <f t="shared" si="72"/>
        <v>2.0223384213235872E-5</v>
      </c>
      <c r="N394" s="60">
        <f t="shared" si="73"/>
        <v>1.0242403355948018E-4</v>
      </c>
      <c r="O394" s="60">
        <f t="shared" si="74"/>
        <v>-2.3531798055483794E-5</v>
      </c>
      <c r="P394" s="60">
        <f t="shared" si="75"/>
        <v>3.0955823261639311E-5</v>
      </c>
      <c r="Q394" s="60">
        <f t="shared" si="76"/>
        <v>2.3065912006112413E-6</v>
      </c>
      <c r="R394" s="60">
        <f t="shared" si="77"/>
        <v>-1.352868492203498E-5</v>
      </c>
    </row>
    <row r="395" spans="1:18" x14ac:dyDescent="0.3">
      <c r="A395">
        <f>'Parm VaR Eq Weights'!B394</f>
        <v>1.2687291892681319E-2</v>
      </c>
      <c r="B395">
        <f>'Parm VaR Eq Weights'!C394</f>
        <v>3.4361850485889766E-3</v>
      </c>
      <c r="C395">
        <f>'Parm VaR Eq Weights'!D394</f>
        <v>1.0595978030062715E-2</v>
      </c>
      <c r="D395">
        <f>'Parm VaR Eq Weights'!E394</f>
        <v>-1.9899183317508683E-3</v>
      </c>
      <c r="H395" s="60">
        <f t="shared" si="68"/>
        <v>1.4640821315202001E-4</v>
      </c>
      <c r="I395" s="60">
        <f t="shared" si="69"/>
        <v>1.1376198842911939E-4</v>
      </c>
      <c r="J395" s="60">
        <f t="shared" si="70"/>
        <v>1.2634143804990378E-4</v>
      </c>
      <c r="K395" s="60">
        <f t="shared" si="71"/>
        <v>1.4554478068906041E-4</v>
      </c>
      <c r="M395" s="60">
        <f t="shared" si="72"/>
        <v>1.8266426803098371E-5</v>
      </c>
      <c r="N395" s="60">
        <f t="shared" si="73"/>
        <v>9.5060553354494917E-5</v>
      </c>
      <c r="O395" s="60">
        <f t="shared" si="74"/>
        <v>-1.6610603198593761E-5</v>
      </c>
      <c r="P395" s="60">
        <f t="shared" si="75"/>
        <v>2.9450795547176713E-5</v>
      </c>
      <c r="Q395" s="60">
        <f t="shared" si="76"/>
        <v>5.7461577138285201E-7</v>
      </c>
      <c r="R395" s="60">
        <f t="shared" si="77"/>
        <v>-1.5327453873291927E-5</v>
      </c>
    </row>
    <row r="396" spans="1:18" x14ac:dyDescent="0.3">
      <c r="A396">
        <f>'Parm VaR Eq Weights'!B395</f>
        <v>6.4278732326099894E-4</v>
      </c>
      <c r="B396">
        <f>'Parm VaR Eq Weights'!C395</f>
        <v>8.2597580096079948E-4</v>
      </c>
      <c r="C396">
        <f>'Parm VaR Eq Weights'!D395</f>
        <v>6.0226325568678851E-3</v>
      </c>
      <c r="D396">
        <f>'Parm VaR Eq Weights'!E395</f>
        <v>1.5715494776555063E-2</v>
      </c>
      <c r="H396" s="60">
        <f t="shared" si="68"/>
        <v>1.4728176289710465E-4</v>
      </c>
      <c r="I396" s="60">
        <f t="shared" si="69"/>
        <v>1.0764471118466101E-4</v>
      </c>
      <c r="J396" s="60">
        <f t="shared" si="70"/>
        <v>1.2549743679172385E-4</v>
      </c>
      <c r="K396" s="60">
        <f t="shared" si="71"/>
        <v>1.3704968034573906E-4</v>
      </c>
      <c r="M396" s="60">
        <f t="shared" si="72"/>
        <v>1.9786194157435412E-5</v>
      </c>
      <c r="N396" s="60">
        <f t="shared" si="73"/>
        <v>9.7422976122575866E-5</v>
      </c>
      <c r="O396" s="60">
        <f t="shared" si="74"/>
        <v>-1.7128767489729379E-5</v>
      </c>
      <c r="P396" s="60">
        <f t="shared" si="75"/>
        <v>2.9868332291270837E-5</v>
      </c>
      <c r="Q396" s="60">
        <f t="shared" si="76"/>
        <v>1.2987516793135337E-7</v>
      </c>
      <c r="R396" s="60">
        <f t="shared" si="77"/>
        <v>-1.5672914496385487E-5</v>
      </c>
    </row>
    <row r="397" spans="1:18" x14ac:dyDescent="0.3">
      <c r="A397">
        <f>'Parm VaR Eq Weights'!B396</f>
        <v>-6.8991003700939035E-3</v>
      </c>
      <c r="B397">
        <f>'Parm VaR Eq Weights'!C396</f>
        <v>-3.8165487532827169E-3</v>
      </c>
      <c r="C397">
        <f>'Parm VaR Eq Weights'!D396</f>
        <v>-5.6710793343937816E-3</v>
      </c>
      <c r="D397">
        <f>'Parm VaR Eq Weights'!E396</f>
        <v>-1.0256603000929621E-2</v>
      </c>
      <c r="H397" s="60">
        <f t="shared" si="68"/>
        <v>1.3846964765585506E-4</v>
      </c>
      <c r="I397" s="60">
        <f t="shared" si="69"/>
        <v>1.0122696267500771E-4</v>
      </c>
      <c r="J397" s="60">
        <f t="shared" si="70"/>
        <v>1.2014391675912311E-4</v>
      </c>
      <c r="K397" s="60">
        <f t="shared" si="71"/>
        <v>1.436453060893105E-4</v>
      </c>
      <c r="M397" s="60">
        <f t="shared" si="72"/>
        <v>1.8630878114439963E-5</v>
      </c>
      <c r="N397" s="60">
        <f t="shared" si="73"/>
        <v>9.1809873866834134E-5</v>
      </c>
      <c r="O397" s="60">
        <f t="shared" si="74"/>
        <v>-1.5494938191076972E-5</v>
      </c>
      <c r="P397" s="60">
        <f t="shared" si="75"/>
        <v>2.8374705278797677E-5</v>
      </c>
      <c r="Q397" s="60">
        <f t="shared" si="76"/>
        <v>9.0091976098909268E-7</v>
      </c>
      <c r="R397" s="60">
        <f t="shared" si="77"/>
        <v>-9.0536205972882886E-6</v>
      </c>
    </row>
    <row r="398" spans="1:18" x14ac:dyDescent="0.3">
      <c r="A398">
        <f>'Parm VaR Eq Weights'!B397</f>
        <v>1.0842078947640275E-2</v>
      </c>
      <c r="B398">
        <f>'Parm VaR Eq Weights'!C397</f>
        <v>-3.851519966283478E-3</v>
      </c>
      <c r="C398">
        <f>'Parm VaR Eq Weights'!D397</f>
        <v>-4.0444344772211467E-3</v>
      </c>
      <c r="D398">
        <f>'Parm VaR Eq Weights'!E397</f>
        <v>6.3598293989956052E-4</v>
      </c>
      <c r="H398" s="60">
        <f t="shared" si="68"/>
        <v>1.3301732395150153E-4</v>
      </c>
      <c r="I398" s="60">
        <f t="shared" si="69"/>
        <v>9.6027307577678287E-5</v>
      </c>
      <c r="J398" s="60">
        <f t="shared" si="70"/>
        <v>1.1486495020259502E-4</v>
      </c>
      <c r="K398" s="60">
        <f t="shared" si="71"/>
        <v>1.4133846203107258E-4</v>
      </c>
      <c r="M398" s="60">
        <f t="shared" si="72"/>
        <v>1.9092870602548819E-5</v>
      </c>
      <c r="N398" s="60">
        <f t="shared" si="73"/>
        <v>8.864880216690897E-5</v>
      </c>
      <c r="O398" s="60">
        <f t="shared" si="74"/>
        <v>-1.0319561886035162E-5</v>
      </c>
      <c r="P398" s="60">
        <f t="shared" si="75"/>
        <v>2.7970860007876696E-5</v>
      </c>
      <c r="Q398" s="60">
        <f t="shared" si="76"/>
        <v>3.1955540990965723E-6</v>
      </c>
      <c r="R398" s="60">
        <f t="shared" si="77"/>
        <v>-5.0204428022717945E-6</v>
      </c>
    </row>
    <row r="399" spans="1:18" x14ac:dyDescent="0.3">
      <c r="A399">
        <f>'Parm VaR Eq Weights'!B398</f>
        <v>1.3009813744635538E-2</v>
      </c>
      <c r="B399">
        <f>'Parm VaR Eq Weights'!C398</f>
        <v>3.899195879190185E-2</v>
      </c>
      <c r="C399">
        <f>'Parm VaR Eq Weights'!D398</f>
        <v>9.218056769189225E-3</v>
      </c>
      <c r="D399">
        <f>'Parm VaR Eq Weights'!E398</f>
        <v>-9.203954781055932E-3</v>
      </c>
      <c r="H399" s="60">
        <f t="shared" si="68"/>
        <v>1.3208932506882332E-4</v>
      </c>
      <c r="I399" s="60">
        <f t="shared" si="69"/>
        <v>9.1155721486058415E-5</v>
      </c>
      <c r="J399" s="60">
        <f t="shared" si="70"/>
        <v>1.0895450020487143E-4</v>
      </c>
      <c r="K399" s="60">
        <f t="shared" si="71"/>
        <v>1.3288242276719879E-4</v>
      </c>
      <c r="M399" s="60">
        <f t="shared" si="72"/>
        <v>1.544178935382439E-5</v>
      </c>
      <c r="N399" s="60">
        <f t="shared" si="73"/>
        <v>8.0698869362859038E-5</v>
      </c>
      <c r="O399" s="60">
        <f t="shared" si="74"/>
        <v>-9.286665538248448E-6</v>
      </c>
      <c r="P399" s="60">
        <f t="shared" si="75"/>
        <v>2.7227241615884644E-5</v>
      </c>
      <c r="Q399" s="60">
        <f t="shared" si="76"/>
        <v>2.8568507936764484E-6</v>
      </c>
      <c r="R399" s="60">
        <f t="shared" si="77"/>
        <v>-4.8735477138787414E-6</v>
      </c>
    </row>
    <row r="400" spans="1:18" x14ac:dyDescent="0.3">
      <c r="A400">
        <f>'Parm VaR Eq Weights'!B399</f>
        <v>9.106051747311899E-4</v>
      </c>
      <c r="B400">
        <f>'Parm VaR Eq Weights'!C399</f>
        <v>-2.9035573208159219E-4</v>
      </c>
      <c r="C400">
        <f>'Parm VaR Eq Weights'!D399</f>
        <v>1.4346297700512585E-2</v>
      </c>
      <c r="D400">
        <f>'Parm VaR Eq Weights'!E399</f>
        <v>7.2247818630602218E-4</v>
      </c>
      <c r="H400" s="60">
        <f t="shared" si="68"/>
        <v>1.3431928078490036E-4</v>
      </c>
      <c r="I400" s="60">
        <f t="shared" si="69"/>
        <v>1.7690874922265731E-4</v>
      </c>
      <c r="J400" s="60">
        <f t="shared" si="70"/>
        <v>1.0751558442857886E-4</v>
      </c>
      <c r="K400" s="60">
        <f t="shared" si="71"/>
        <v>1.2999224441787022E-4</v>
      </c>
      <c r="M400" s="60">
        <f t="shared" si="72"/>
        <v>4.4951969277863786E-5</v>
      </c>
      <c r="N400" s="60">
        <f t="shared" si="73"/>
        <v>8.3052449300365214E-5</v>
      </c>
      <c r="O400" s="60">
        <f t="shared" si="74"/>
        <v>-1.5913969850888674E-5</v>
      </c>
      <c r="P400" s="60">
        <f t="shared" si="75"/>
        <v>4.7159412500069869E-5</v>
      </c>
      <c r="Q400" s="60">
        <f t="shared" si="76"/>
        <v>-1.8847373786671812E-5</v>
      </c>
      <c r="R400" s="60">
        <f t="shared" si="77"/>
        <v>-9.6716895114154703E-6</v>
      </c>
    </row>
    <row r="401" spans="1:18" x14ac:dyDescent="0.3">
      <c r="A401">
        <f>'Parm VaR Eq Weights'!B400</f>
        <v>-9.4010159990871696E-5</v>
      </c>
      <c r="B401">
        <f>'Parm VaR Eq Weights'!C400</f>
        <v>6.6085978159155338E-3</v>
      </c>
      <c r="C401">
        <f>'Parm VaR Eq Weights'!D400</f>
        <v>5.5382256222852666E-3</v>
      </c>
      <c r="D401">
        <f>'Parm VaR Eq Weights'!E400</f>
        <v>1.8354781923187149E-2</v>
      </c>
      <c r="H401" s="60">
        <f t="shared" si="68"/>
        <v>1.2630987604486118E-4</v>
      </c>
      <c r="I401" s="60">
        <f t="shared" si="69"/>
        <v>1.6629928265636702E-4</v>
      </c>
      <c r="J401" s="60">
        <f t="shared" si="70"/>
        <v>1.134136248255681E-4</v>
      </c>
      <c r="K401" s="60">
        <f t="shared" si="71"/>
        <v>1.2222402823657929E-4</v>
      </c>
      <c r="M401" s="60">
        <f t="shared" si="72"/>
        <v>4.2238987155263177E-5</v>
      </c>
      <c r="N401" s="60">
        <f t="shared" si="73"/>
        <v>7.8853131117802554E-5</v>
      </c>
      <c r="O401" s="60">
        <f t="shared" si="74"/>
        <v>-1.4919658117330513E-5</v>
      </c>
      <c r="P401" s="60">
        <f t="shared" si="75"/>
        <v>4.4079915963776102E-5</v>
      </c>
      <c r="Q401" s="60">
        <f t="shared" si="76"/>
        <v>-1.7729117900433376E-5</v>
      </c>
      <c r="R401" s="60">
        <f t="shared" si="77"/>
        <v>-8.4694949121581844E-6</v>
      </c>
    </row>
    <row r="402" spans="1:18" x14ac:dyDescent="0.3">
      <c r="A402">
        <f>'Parm VaR Eq Weights'!B401</f>
        <v>3.2230437576734008E-4</v>
      </c>
      <c r="B402">
        <f>'Parm VaR Eq Weights'!C401</f>
        <v>-3.5065974449794264E-4</v>
      </c>
      <c r="C402">
        <f>'Parm VaR Eq Weights'!D401</f>
        <v>2.637251604256772E-3</v>
      </c>
      <c r="D402">
        <f>'Parm VaR Eq Weights'!E401</f>
        <v>5.0215158191412746E-3</v>
      </c>
      <c r="H402" s="60">
        <f t="shared" si="68"/>
        <v>1.187318137567804E-4</v>
      </c>
      <c r="I402" s="60">
        <f t="shared" si="69"/>
        <v>1.589417396025364E-4</v>
      </c>
      <c r="J402" s="60">
        <f t="shared" si="70"/>
        <v>1.0844912391863423E-4</v>
      </c>
      <c r="K402" s="60">
        <f t="shared" si="71"/>
        <v>1.3510446770925E-4</v>
      </c>
      <c r="M402" s="60">
        <f t="shared" si="72"/>
        <v>3.9667371405668012E-5</v>
      </c>
      <c r="N402" s="60">
        <f t="shared" si="73"/>
        <v>7.4090704282125407E-5</v>
      </c>
      <c r="O402" s="60">
        <f t="shared" si="74"/>
        <v>-1.4128010789402464E-5</v>
      </c>
      <c r="P402" s="60">
        <f t="shared" si="75"/>
        <v>4.363111535103845E-5</v>
      </c>
      <c r="Q402" s="60">
        <f t="shared" si="76"/>
        <v>-9.3874085226565364E-6</v>
      </c>
      <c r="R402" s="60">
        <f t="shared" si="77"/>
        <v>-1.8621498051214769E-6</v>
      </c>
    </row>
    <row r="403" spans="1:18" x14ac:dyDescent="0.3">
      <c r="A403">
        <f>'Parm VaR Eq Weights'!B402</f>
        <v>7.2296811674792032E-3</v>
      </c>
      <c r="B403">
        <f>'Parm VaR Eq Weights'!C402</f>
        <v>8.5426438140392529E-5</v>
      </c>
      <c r="C403">
        <f>'Parm VaR Eq Weights'!D402</f>
        <v>5.2137741877599196E-3</v>
      </c>
      <c r="D403">
        <f>'Parm VaR Eq Weights'!E402</f>
        <v>-7.0796888971743016E-4</v>
      </c>
      <c r="H403" s="60">
        <f t="shared" si="68"/>
        <v>1.1161413773801191E-4</v>
      </c>
      <c r="I403" s="60">
        <f t="shared" si="69"/>
        <v>1.4941261296176891E-4</v>
      </c>
      <c r="J403" s="60">
        <f t="shared" si="70"/>
        <v>1.0235948224496546E-4</v>
      </c>
      <c r="K403" s="60">
        <f t="shared" si="71"/>
        <v>1.2851113691400817E-4</v>
      </c>
      <c r="M403" s="60">
        <f t="shared" si="72"/>
        <v>3.7280547971124499E-5</v>
      </c>
      <c r="N403" s="60">
        <f t="shared" si="73"/>
        <v>6.9696261889120963E-5</v>
      </c>
      <c r="O403" s="60">
        <f t="shared" si="74"/>
        <v>-1.3183222750748667E-5</v>
      </c>
      <c r="P403" s="60">
        <f t="shared" si="75"/>
        <v>4.0957761751552618E-5</v>
      </c>
      <c r="Q403" s="60">
        <f t="shared" si="76"/>
        <v>-8.9298146185450902E-6</v>
      </c>
      <c r="R403" s="60">
        <f t="shared" si="77"/>
        <v>-9.5584077782432233E-7</v>
      </c>
    </row>
    <row r="404" spans="1:18" x14ac:dyDescent="0.3">
      <c r="A404">
        <f>'Parm VaR Eq Weights'!B403</f>
        <v>2.8791528612071519E-3</v>
      </c>
      <c r="B404">
        <f>'Parm VaR Eq Weights'!C403</f>
        <v>1.7815416185414084E-2</v>
      </c>
      <c r="C404">
        <f>'Parm VaR Eq Weights'!D403</f>
        <v>6.3622085632862929E-3</v>
      </c>
      <c r="D404">
        <f>'Parm VaR Eq Weights'!E403</f>
        <v>5.7314533894106401E-3</v>
      </c>
      <c r="H404" s="60">
        <f t="shared" si="68"/>
        <v>1.080533868607354E-4</v>
      </c>
      <c r="I404" s="60">
        <f t="shared" si="69"/>
        <v>1.4044829404464274E-4</v>
      </c>
      <c r="J404" s="60">
        <f t="shared" si="70"/>
        <v>9.7848919787124627E-5</v>
      </c>
      <c r="K404" s="60">
        <f t="shared" si="71"/>
        <v>1.2083054189609614E-4</v>
      </c>
      <c r="M404" s="60">
        <f t="shared" si="72"/>
        <v>3.5080771447518736E-5</v>
      </c>
      <c r="N404" s="60">
        <f t="shared" si="73"/>
        <v>6.7776121679177919E-5</v>
      </c>
      <c r="O404" s="60">
        <f t="shared" si="74"/>
        <v>-1.2699332746652822E-5</v>
      </c>
      <c r="P404" s="60">
        <f t="shared" si="75"/>
        <v>3.8527019695947177E-5</v>
      </c>
      <c r="Q404" s="60">
        <f t="shared" si="76"/>
        <v>-8.3976544970661504E-6</v>
      </c>
      <c r="R404" s="60">
        <f t="shared" si="77"/>
        <v>-1.1199617265316103E-6</v>
      </c>
    </row>
    <row r="405" spans="1:18" x14ac:dyDescent="0.3">
      <c r="A405">
        <f>'Parm VaR Eq Weights'!B404</f>
        <v>-7.2441410259266401E-4</v>
      </c>
      <c r="B405">
        <f>'Parm VaR Eq Weights'!C404</f>
        <v>-2.6300500297640225E-3</v>
      </c>
      <c r="C405">
        <f>'Parm VaR Eq Weights'!D404</f>
        <v>1.3209529669320182E-3</v>
      </c>
      <c r="D405">
        <f>'Parm VaR Eq Weights'!E404</f>
        <v>6.4295265735198536E-3</v>
      </c>
      <c r="H405" s="60">
        <f t="shared" si="68"/>
        <v>1.0206755492098312E-4</v>
      </c>
      <c r="I405" s="60">
        <f t="shared" si="69"/>
        <v>1.5106473963353504E-4</v>
      </c>
      <c r="J405" s="60">
        <f t="shared" si="70"/>
        <v>9.4406646468062354E-5</v>
      </c>
      <c r="K405" s="60">
        <f t="shared" si="71"/>
        <v>1.1555168285962956E-4</v>
      </c>
      <c r="M405" s="60">
        <f t="shared" si="72"/>
        <v>3.605352354969748E-5</v>
      </c>
      <c r="N405" s="60">
        <f t="shared" si="73"/>
        <v>6.4808620637742175E-5</v>
      </c>
      <c r="O405" s="60">
        <f t="shared" si="74"/>
        <v>-1.0947268956353827E-5</v>
      </c>
      <c r="P405" s="60">
        <f t="shared" si="75"/>
        <v>4.3016122118991388E-5</v>
      </c>
      <c r="Q405" s="60">
        <f t="shared" si="76"/>
        <v>-1.7673015784630115E-6</v>
      </c>
      <c r="R405" s="60">
        <f t="shared" si="77"/>
        <v>1.1351180871113658E-6</v>
      </c>
    </row>
    <row r="406" spans="1:18" x14ac:dyDescent="0.3">
      <c r="A406">
        <f>'Parm VaR Eq Weights'!B405</f>
        <v>-3.1355867830603259E-3</v>
      </c>
      <c r="B406">
        <f>'Parm VaR Eq Weights'!C405</f>
        <v>9.785226156533107E-3</v>
      </c>
      <c r="C406">
        <f>'Parm VaR Eq Weights'!D405</f>
        <v>9.8989819528691163E-3</v>
      </c>
      <c r="D406">
        <f>'Parm VaR Eq Weights'!E405</f>
        <v>7.0278517488005666E-3</v>
      </c>
      <c r="H406" s="60">
        <f t="shared" si="68"/>
        <v>9.5974988173246233E-5</v>
      </c>
      <c r="I406" s="60">
        <f t="shared" si="69"/>
        <v>1.4241588504506665E-4</v>
      </c>
      <c r="J406" s="60">
        <f t="shared" si="70"/>
        <v>8.8846942684429387E-5</v>
      </c>
      <c r="K406" s="60">
        <f t="shared" si="71"/>
        <v>1.1109891060562767E-4</v>
      </c>
      <c r="M406" s="60">
        <f t="shared" si="72"/>
        <v>3.4004626856640748E-5</v>
      </c>
      <c r="N406" s="60">
        <f t="shared" si="73"/>
        <v>6.0862688381991208E-5</v>
      </c>
      <c r="O406" s="60">
        <f t="shared" si="74"/>
        <v>-1.0569891202343722E-5</v>
      </c>
      <c r="P406" s="60">
        <f t="shared" si="75"/>
        <v>4.0226704448452117E-5</v>
      </c>
      <c r="Q406" s="60">
        <f t="shared" si="76"/>
        <v>-2.6758620771184995E-6</v>
      </c>
      <c r="R406" s="60">
        <f t="shared" si="77"/>
        <v>1.5765971340802427E-6</v>
      </c>
    </row>
    <row r="407" spans="1:18" x14ac:dyDescent="0.3">
      <c r="A407">
        <f>'Parm VaR Eq Weights'!B406</f>
        <v>2.5817522917878735E-3</v>
      </c>
      <c r="B407">
        <f>'Parm VaR Eq Weights'!C406</f>
        <v>-8.3406303570992268E-3</v>
      </c>
      <c r="C407">
        <f>'Parm VaR Eq Weights'!D406</f>
        <v>-6.2677757966722895E-3</v>
      </c>
      <c r="D407">
        <f>'Parm VaR Eq Weights'!E406</f>
        <v>4.0116235848342577E-4</v>
      </c>
      <c r="H407" s="60">
        <f t="shared" si="68"/>
        <v>9.0806403151297608E-5</v>
      </c>
      <c r="I407" s="60">
        <f t="shared" si="69"/>
        <v>1.3961597099843264E-4</v>
      </c>
      <c r="J407" s="60">
        <f t="shared" si="70"/>
        <v>8.9395516745557335E-5</v>
      </c>
      <c r="K407" s="60">
        <f t="shared" si="71"/>
        <v>1.0739641798147716E-4</v>
      </c>
      <c r="M407" s="60">
        <f t="shared" si="72"/>
        <v>3.0123403696901414E-5</v>
      </c>
      <c r="N407" s="60">
        <f t="shared" si="73"/>
        <v>5.534858006044158E-5</v>
      </c>
      <c r="O407" s="60">
        <f t="shared" si="74"/>
        <v>-1.1257884073613886E-5</v>
      </c>
      <c r="P407" s="60">
        <f t="shared" si="75"/>
        <v>4.3624928809240837E-5</v>
      </c>
      <c r="Q407" s="60">
        <f t="shared" si="76"/>
        <v>1.6108367729046289E-6</v>
      </c>
      <c r="R407" s="60">
        <f t="shared" si="77"/>
        <v>5.6561159637644196E-6</v>
      </c>
    </row>
    <row r="408" spans="1:18" x14ac:dyDescent="0.3">
      <c r="A408">
        <f>'Parm VaR Eq Weights'!B407</f>
        <v>3.4269189100439689E-4</v>
      </c>
      <c r="B408">
        <f>'Parm VaR Eq Weights'!C407</f>
        <v>-1.2325016908083658E-2</v>
      </c>
      <c r="C408">
        <f>'Parm VaR Eq Weights'!D407</f>
        <v>-7.3909121697303499E-3</v>
      </c>
      <c r="D408">
        <f>'Parm VaR Eq Weights'!E407</f>
        <v>-9.5224213181498776E-3</v>
      </c>
      <c r="H408" s="60">
        <f t="shared" si="68"/>
        <v>8.5757945655988871E-5</v>
      </c>
      <c r="I408" s="60">
        <f t="shared" si="69"/>
        <v>1.354129796237526E-4</v>
      </c>
      <c r="J408" s="60">
        <f t="shared" si="70"/>
        <v>8.6388886547064954E-5</v>
      </c>
      <c r="K408" s="60">
        <f t="shared" si="71"/>
        <v>1.0096228877686036E-4</v>
      </c>
      <c r="M408" s="60">
        <f t="shared" si="72"/>
        <v>2.7023992982723542E-5</v>
      </c>
      <c r="N408" s="60">
        <f t="shared" si="73"/>
        <v>5.1056754585166806E-5</v>
      </c>
      <c r="O408" s="60">
        <f t="shared" si="74"/>
        <v>-1.0520268918893434E-5</v>
      </c>
      <c r="P408" s="60">
        <f t="shared" si="75"/>
        <v>4.4144065145559387E-5</v>
      </c>
      <c r="Q408" s="60">
        <f t="shared" si="76"/>
        <v>1.313429749812808E-6</v>
      </c>
      <c r="R408" s="60">
        <f t="shared" si="77"/>
        <v>5.1658852626762508E-6</v>
      </c>
    </row>
    <row r="409" spans="1:18" x14ac:dyDescent="0.3">
      <c r="A409">
        <f>'Parm VaR Eq Weights'!B408</f>
        <v>1.9974856538301507E-5</v>
      </c>
      <c r="B409">
        <f>'Parm VaR Eq Weights'!C408</f>
        <v>-1.348292985971883E-3</v>
      </c>
      <c r="C409">
        <f>'Parm VaR Eq Weights'!D408</f>
        <v>7.7483358066954538E-3</v>
      </c>
      <c r="D409">
        <f>'Parm VaR Eq Weights'!E408</f>
        <v>3.6225098179969656E-3</v>
      </c>
      <c r="H409" s="60">
        <f t="shared" si="68"/>
        <v>8.0619515180559137E-5</v>
      </c>
      <c r="I409" s="60">
        <f t="shared" si="69"/>
        <v>1.3640256335340032E-4</v>
      </c>
      <c r="J409" s="60">
        <f t="shared" si="70"/>
        <v>8.4483088316281152E-5</v>
      </c>
      <c r="K409" s="60">
        <f t="shared" si="71"/>
        <v>1.0034514191587005E-4</v>
      </c>
      <c r="M409" s="60">
        <f t="shared" si="72"/>
        <v>2.5149132402706589E-5</v>
      </c>
      <c r="N409" s="60">
        <f t="shared" si="73"/>
        <v>4.7841380969995261E-5</v>
      </c>
      <c r="O409" s="60">
        <f t="shared" si="74"/>
        <v>-1.008484817786727E-5</v>
      </c>
      <c r="P409" s="60">
        <f t="shared" si="75"/>
        <v>4.6961008284311103E-5</v>
      </c>
      <c r="Q409" s="60">
        <f t="shared" si="76"/>
        <v>8.2764641899496568E-6</v>
      </c>
      <c r="R409" s="60">
        <f t="shared" si="77"/>
        <v>9.0786949232524975E-6</v>
      </c>
    </row>
    <row r="410" spans="1:18" x14ac:dyDescent="0.3">
      <c r="A410">
        <f>'Parm VaR Eq Weights'!B409</f>
        <v>-4.8955766146197436E-3</v>
      </c>
      <c r="B410">
        <f>'Parm VaR Eq Weights'!C409</f>
        <v>-1.0658916501683127E-2</v>
      </c>
      <c r="C410">
        <f>'Parm VaR Eq Weights'!D409</f>
        <v>1.0434241336246439E-3</v>
      </c>
      <c r="D410">
        <f>'Parm VaR Eq Weights'!E409</f>
        <v>1.8196594947597438E-2</v>
      </c>
      <c r="H410" s="60">
        <f t="shared" si="68"/>
        <v>7.5782368209419213E-5</v>
      </c>
      <c r="I410" s="60">
        <f t="shared" si="69"/>
        <v>1.2832748319075755E-4</v>
      </c>
      <c r="J410" s="60">
        <f t="shared" si="70"/>
        <v>8.3016305483703416E-5</v>
      </c>
      <c r="K410" s="60">
        <f t="shared" si="71"/>
        <v>9.5111788043806904E-5</v>
      </c>
      <c r="M410" s="60">
        <f t="shared" si="72"/>
        <v>2.3638568541006212E-5</v>
      </c>
      <c r="N410" s="60">
        <f t="shared" si="73"/>
        <v>4.4980184425564501E-5</v>
      </c>
      <c r="O410" s="60">
        <f t="shared" si="74"/>
        <v>-9.4754157403598474E-6</v>
      </c>
      <c r="P410" s="60">
        <f t="shared" si="75"/>
        <v>4.3516526177985096E-5</v>
      </c>
      <c r="Q410" s="60">
        <f t="shared" si="76"/>
        <v>7.4868240637995006E-6</v>
      </c>
      <c r="R410" s="60">
        <f t="shared" si="77"/>
        <v>1.0218078579830852E-5</v>
      </c>
    </row>
    <row r="411" spans="1:18" x14ac:dyDescent="0.3">
      <c r="A411">
        <f>'Parm VaR Eq Weights'!B410</f>
        <v>-9.6935898360779585E-5</v>
      </c>
      <c r="B411">
        <f>'Parm VaR Eq Weights'!C410</f>
        <v>-1.2572957363984568E-3</v>
      </c>
      <c r="C411">
        <f>'Parm VaR Eq Weights'!D410</f>
        <v>2.825769840510077E-3</v>
      </c>
      <c r="D411">
        <f>'Parm VaR Eq Weights'!E410</f>
        <v>4.6758624691077763E-3</v>
      </c>
      <c r="H411" s="60">
        <f t="shared" si="68"/>
        <v>7.2673426340230765E-5</v>
      </c>
      <c r="I411" s="60">
        <f t="shared" si="69"/>
        <v>1.2744458425870326E-4</v>
      </c>
      <c r="J411" s="60">
        <f t="shared" si="70"/>
        <v>7.8100651190039026E-5</v>
      </c>
      <c r="K411" s="60">
        <f t="shared" si="71"/>
        <v>1.0927204482239422E-4</v>
      </c>
      <c r="M411" s="60">
        <f t="shared" si="72"/>
        <v>2.5351146970315307E-5</v>
      </c>
      <c r="N411" s="60">
        <f t="shared" si="73"/>
        <v>4.1974883592768466E-5</v>
      </c>
      <c r="O411" s="60">
        <f t="shared" si="74"/>
        <v>-1.4251860277408209E-5</v>
      </c>
      <c r="P411" s="60">
        <f t="shared" si="75"/>
        <v>4.0238228364337223E-5</v>
      </c>
      <c r="Q411" s="60">
        <f t="shared" si="76"/>
        <v>-4.5997445497118896E-6</v>
      </c>
      <c r="R411" s="60">
        <f t="shared" si="77"/>
        <v>1.0744199844127928E-5</v>
      </c>
    </row>
    <row r="412" spans="1:18" x14ac:dyDescent="0.3">
      <c r="A412">
        <f>'Parm VaR Eq Weights'!B411</f>
        <v>-8.4163711088132698E-3</v>
      </c>
      <c r="B412">
        <f>'Parm VaR Eq Weights'!C411</f>
        <v>-8.0674910690466863E-3</v>
      </c>
      <c r="C412">
        <f>'Parm VaR Eq Weights'!D411</f>
        <v>-1.2500952710698799E-2</v>
      </c>
      <c r="D412">
        <f>'Parm VaR Eq Weights'!E411</f>
        <v>-7.7899193204062226E-3</v>
      </c>
      <c r="H412" s="60">
        <f t="shared" si="68"/>
        <v>6.8313584553920373E-5</v>
      </c>
      <c r="I412" s="60">
        <f t="shared" si="69"/>
        <v>1.19892756757307E-4</v>
      </c>
      <c r="J412" s="60">
        <f t="shared" si="70"/>
        <v>7.3893710630128858E-5</v>
      </c>
      <c r="K412" s="60">
        <f t="shared" si="71"/>
        <v>1.0402754352285121E-4</v>
      </c>
      <c r="M412" s="60">
        <f t="shared" si="72"/>
        <v>2.3837390777599165E-5</v>
      </c>
      <c r="N412" s="60">
        <f t="shared" si="73"/>
        <v>3.9439955464919321E-5</v>
      </c>
      <c r="O412" s="60">
        <f t="shared" si="74"/>
        <v>-1.3423944196506981E-5</v>
      </c>
      <c r="P412" s="60">
        <f t="shared" si="75"/>
        <v>3.7610764960125985E-5</v>
      </c>
      <c r="Q412" s="60">
        <f t="shared" si="76"/>
        <v>-4.6764963935128623E-6</v>
      </c>
      <c r="R412" s="60">
        <f t="shared" si="77"/>
        <v>1.0892322522094916E-5</v>
      </c>
    </row>
    <row r="413" spans="1:18" x14ac:dyDescent="0.3">
      <c r="A413">
        <f>'Parm VaR Eq Weights'!B412</f>
        <v>6.1585715622126461E-3</v>
      </c>
      <c r="B413">
        <f>'Parm VaR Eq Weights'!C412</f>
        <v>2.2347156677583837E-3</v>
      </c>
      <c r="C413">
        <f>'Parm VaR Eq Weights'!D412</f>
        <v>-4.4799532322786322E-3</v>
      </c>
      <c r="D413">
        <f>'Parm VaR Eq Weights'!E412</f>
        <v>-6.2015713400277624E-3</v>
      </c>
      <c r="H413" s="60">
        <f t="shared" si="68"/>
        <v>6.8464887639161162E-5</v>
      </c>
      <c r="I413" s="60">
        <f t="shared" si="69"/>
        <v>1.1660425608081746E-4</v>
      </c>
      <c r="J413" s="60">
        <f t="shared" si="70"/>
        <v>7.8836517112828796E-5</v>
      </c>
      <c r="K413" s="60">
        <f t="shared" si="71"/>
        <v>1.0142686149258642E-4</v>
      </c>
      <c r="M413" s="60">
        <f t="shared" si="72"/>
        <v>2.6481087256191238E-5</v>
      </c>
      <c r="N413" s="60">
        <f t="shared" si="73"/>
        <v>4.3386317570642148E-5</v>
      </c>
      <c r="O413" s="60">
        <f t="shared" si="74"/>
        <v>-8.6847364302213647E-6</v>
      </c>
      <c r="P413" s="60">
        <f t="shared" si="75"/>
        <v>4.1405198523406679E-5</v>
      </c>
      <c r="Q413" s="60">
        <f t="shared" si="76"/>
        <v>-6.2520033714380101E-7</v>
      </c>
      <c r="R413" s="60">
        <f t="shared" si="77"/>
        <v>1.6081667953442652E-5</v>
      </c>
    </row>
    <row r="414" spans="1:18" x14ac:dyDescent="0.3">
      <c r="A414">
        <f>'Parm VaR Eq Weights'!B413</f>
        <v>-2.4289164070183224E-3</v>
      </c>
      <c r="B414">
        <f>'Parm VaR Eq Weights'!C413</f>
        <v>-1.2771598911761359E-2</v>
      </c>
      <c r="C414">
        <f>'Parm VaR Eq Weights'!D413</f>
        <v>-4.1210716261120411E-3</v>
      </c>
      <c r="D414">
        <f>'Parm VaR Eq Weights'!E413</f>
        <v>-1.5316552650930721E-2</v>
      </c>
      <c r="H414" s="60">
        <f t="shared" si="68"/>
        <v>6.6632674602025156E-5</v>
      </c>
      <c r="I414" s="60">
        <f t="shared" si="69"/>
        <v>1.099076379629119E-4</v>
      </c>
      <c r="J414" s="60">
        <f t="shared" si="70"/>
        <v>7.531052494386329E-5</v>
      </c>
      <c r="K414" s="60">
        <f t="shared" si="71"/>
        <v>9.7648819028158456E-5</v>
      </c>
      <c r="M414" s="60">
        <f t="shared" si="72"/>
        <v>2.5717981402485033E-5</v>
      </c>
      <c r="N414" s="60">
        <f t="shared" si="73"/>
        <v>3.9127731761822381E-5</v>
      </c>
      <c r="O414" s="60">
        <f t="shared" si="74"/>
        <v>-1.045522149815176E-5</v>
      </c>
      <c r="P414" s="60">
        <f t="shared" si="75"/>
        <v>3.8320201311262398E-5</v>
      </c>
      <c r="Q414" s="60">
        <f t="shared" si="76"/>
        <v>-1.4192132352120574E-6</v>
      </c>
      <c r="R414" s="60">
        <f t="shared" si="77"/>
        <v>1.6783732850433928E-5</v>
      </c>
    </row>
    <row r="415" spans="1:18" x14ac:dyDescent="0.3">
      <c r="A415">
        <f>'Parm VaR Eq Weights'!B414</f>
        <v>-5.3163524485954289E-3</v>
      </c>
      <c r="B415">
        <f>'Parm VaR Eq Weights'!C414</f>
        <v>3.7224427674120231E-3</v>
      </c>
      <c r="C415">
        <f>'Parm VaR Eq Weights'!D414</f>
        <v>-2.0304905892868084E-3</v>
      </c>
      <c r="D415">
        <f>'Parm VaR Eq Weights'!E414</f>
        <v>-1.355287891114561E-3</v>
      </c>
      <c r="H415" s="60">
        <f t="shared" si="68"/>
        <v>6.2988692220640618E-5</v>
      </c>
      <c r="I415" s="60">
        <f t="shared" si="69"/>
        <v>1.1310000401091142E-4</v>
      </c>
      <c r="J415" s="60">
        <f t="shared" si="70"/>
        <v>7.1810887328084238E-5</v>
      </c>
      <c r="K415" s="60">
        <f t="shared" si="71"/>
        <v>1.0586569699299293E-4</v>
      </c>
      <c r="M415" s="60">
        <f t="shared" si="72"/>
        <v>2.6036171286774003E-5</v>
      </c>
      <c r="N415" s="60">
        <f t="shared" si="73"/>
        <v>3.738065216534271E-5</v>
      </c>
      <c r="O415" s="60">
        <f t="shared" si="74"/>
        <v>-7.5957506462943152E-6</v>
      </c>
      <c r="P415" s="60">
        <f t="shared" si="75"/>
        <v>3.9178949666307246E-5</v>
      </c>
      <c r="Q415" s="60">
        <f t="shared" si="76"/>
        <v>1.0402951589014419E-5</v>
      </c>
      <c r="R415" s="60">
        <f t="shared" si="77"/>
        <v>1.9563945511783999E-5</v>
      </c>
    </row>
    <row r="416" spans="1:18" x14ac:dyDescent="0.3">
      <c r="A416">
        <f>'Parm VaR Eq Weights'!B415</f>
        <v>5.0476066173305327E-3</v>
      </c>
      <c r="B416">
        <f>'Parm VaR Eq Weights'!C415</f>
        <v>-3.3453412263892974E-3</v>
      </c>
      <c r="C416">
        <f>'Parm VaR Eq Weights'!D415</f>
        <v>5.8622800125977693E-3</v>
      </c>
      <c r="D416">
        <f>'Parm VaR Eq Weights'!E415</f>
        <v>1.3003398956404769E-2</v>
      </c>
      <c r="H416" s="60">
        <f t="shared" si="68"/>
        <v>6.0905186888863374E-5</v>
      </c>
      <c r="I416" s="60">
        <f t="shared" si="69"/>
        <v>1.0714539857965621E-4</v>
      </c>
      <c r="J416" s="60">
        <f t="shared" si="70"/>
        <v>6.7749607610390121E-5</v>
      </c>
      <c r="K416" s="60">
        <f t="shared" si="71"/>
        <v>9.9623963489481454E-5</v>
      </c>
      <c r="M416" s="60">
        <f t="shared" si="72"/>
        <v>2.3286611946290326E-5</v>
      </c>
      <c r="N416" s="60">
        <f t="shared" si="73"/>
        <v>3.578550125239444E-5</v>
      </c>
      <c r="O416" s="60">
        <f t="shared" si="74"/>
        <v>-6.7076943216079378E-6</v>
      </c>
      <c r="P416" s="60">
        <f t="shared" si="75"/>
        <v>3.6374709585825476E-5</v>
      </c>
      <c r="Q416" s="60">
        <f t="shared" si="76"/>
        <v>9.4760755971911238E-6</v>
      </c>
      <c r="R416" s="60">
        <f t="shared" si="77"/>
        <v>1.8555222739597909E-5</v>
      </c>
    </row>
    <row r="417" spans="1:18" x14ac:dyDescent="0.3">
      <c r="A417">
        <f>'Parm VaR Eq Weights'!B416</f>
        <v>-1.225837329514293E-2</v>
      </c>
      <c r="B417">
        <f>'Parm VaR Eq Weights'!C416</f>
        <v>5.2960888984754902E-3</v>
      </c>
      <c r="C417">
        <f>'Parm VaR Eq Weights'!D416</f>
        <v>5.0935449658316648E-3</v>
      </c>
      <c r="D417">
        <f>'Parm VaR Eq Weights'!E416</f>
        <v>-8.6821032242982987E-3</v>
      </c>
      <c r="H417" s="60">
        <f t="shared" si="68"/>
        <v>5.8779575629330708E-5</v>
      </c>
      <c r="I417" s="60">
        <f t="shared" si="69"/>
        <v>1.0138815314013564E-4</v>
      </c>
      <c r="J417" s="60">
        <f t="shared" si="70"/>
        <v>6.5746610770532908E-5</v>
      </c>
      <c r="K417" s="60">
        <f t="shared" si="71"/>
        <v>1.0379182874527829E-4</v>
      </c>
      <c r="M417" s="60">
        <f t="shared" si="72"/>
        <v>2.0876257238819829E-5</v>
      </c>
      <c r="N417" s="60">
        <f t="shared" si="73"/>
        <v>3.5413800180304756E-5</v>
      </c>
      <c r="O417" s="60">
        <f t="shared" si="74"/>
        <v>-2.3670701051031983E-6</v>
      </c>
      <c r="P417" s="60">
        <f t="shared" si="75"/>
        <v>3.3015547390269066E-5</v>
      </c>
      <c r="Q417" s="60">
        <f t="shared" si="76"/>
        <v>6.2974626646367464E-6</v>
      </c>
      <c r="R417" s="60">
        <f t="shared" si="77"/>
        <v>2.201568332310002E-5</v>
      </c>
    </row>
    <row r="418" spans="1:18" x14ac:dyDescent="0.3">
      <c r="A418">
        <f>'Parm VaR Eq Weights'!B417</f>
        <v>-1.7903203128985641E-2</v>
      </c>
      <c r="B418">
        <f>'Parm VaR Eq Weights'!C417</f>
        <v>-1.9001826552917341E-3</v>
      </c>
      <c r="C418">
        <f>'Parm VaR Eq Weights'!D417</f>
        <v>-1.6823695185805898E-2</v>
      </c>
      <c r="D418">
        <f>'Parm VaR Eq Weights'!E417</f>
        <v>-1.4019857116699159E-2</v>
      </c>
      <c r="H418" s="60">
        <f t="shared" si="68"/>
        <v>6.4268864042155277E-5</v>
      </c>
      <c r="I418" s="60">
        <f t="shared" si="69"/>
        <v>9.6987777408960813E-5</v>
      </c>
      <c r="J418" s="60">
        <f t="shared" si="70"/>
        <v>6.3358466143437881E-5</v>
      </c>
      <c r="K418" s="60">
        <f t="shared" si="71"/>
        <v>1.0208705400440384E-4</v>
      </c>
      <c r="M418" s="60">
        <f t="shared" si="72"/>
        <v>1.5728395721184143E-5</v>
      </c>
      <c r="N418" s="60">
        <f t="shared" si="73"/>
        <v>2.9542657634280832E-5</v>
      </c>
      <c r="O418" s="60">
        <f t="shared" si="74"/>
        <v>4.1606618398277553E-6</v>
      </c>
      <c r="P418" s="60">
        <f t="shared" si="75"/>
        <v>3.265316656369853E-5</v>
      </c>
      <c r="Q418" s="60">
        <f t="shared" si="76"/>
        <v>3.1607434746610707E-6</v>
      </c>
      <c r="R418" s="60">
        <f t="shared" si="77"/>
        <v>1.8041381333456689E-5</v>
      </c>
    </row>
    <row r="419" spans="1:18" x14ac:dyDescent="0.3">
      <c r="A419">
        <f>'Parm VaR Eq Weights'!B418</f>
        <v>7.9719128092108783E-3</v>
      </c>
      <c r="B419">
        <f>'Parm VaR Eq Weights'!C418</f>
        <v>2.5965480301887067E-3</v>
      </c>
      <c r="C419">
        <f>'Parm VaR Eq Weights'!D418</f>
        <v>-2.4931958283958229E-2</v>
      </c>
      <c r="D419">
        <f>'Parm VaR Eq Weights'!E418</f>
        <v>8.7449680104007121E-3</v>
      </c>
      <c r="H419" s="60">
        <f t="shared" si="68"/>
        <v>7.9644213136289242E-5</v>
      </c>
      <c r="I419" s="60">
        <f t="shared" si="69"/>
        <v>9.138515241183144E-5</v>
      </c>
      <c r="J419" s="60">
        <f t="shared" si="70"/>
        <v>7.6539161357126127E-5</v>
      </c>
      <c r="K419" s="60">
        <f t="shared" si="71"/>
        <v>1.0775521437849922E-4</v>
      </c>
      <c r="M419" s="60">
        <f t="shared" si="72"/>
        <v>1.6825853341504889E-5</v>
      </c>
      <c r="N419" s="60">
        <f t="shared" si="73"/>
        <v>4.5841980113721245E-5</v>
      </c>
      <c r="O419" s="60">
        <f t="shared" si="74"/>
        <v>1.8971043117415303E-5</v>
      </c>
      <c r="P419" s="60">
        <f t="shared" si="75"/>
        <v>3.2612062197275629E-5</v>
      </c>
      <c r="Q419" s="60">
        <f t="shared" si="76"/>
        <v>4.5695162255506145E-6</v>
      </c>
      <c r="R419" s="60">
        <f t="shared" si="77"/>
        <v>3.1110846614243194E-5</v>
      </c>
    </row>
    <row r="420" spans="1:18" x14ac:dyDescent="0.3">
      <c r="A420">
        <f>'Parm VaR Eq Weights'!B419</f>
        <v>1.4216897600648972E-2</v>
      </c>
      <c r="B420">
        <f>'Parm VaR Eq Weights'!C419</f>
        <v>-1.1079196070045969E-2</v>
      </c>
      <c r="C420">
        <f>'Parm VaR Eq Weights'!D419</f>
        <v>9.9226975796774825E-3</v>
      </c>
      <c r="D420">
        <f>'Parm VaR Eq Weights'!E419</f>
        <v>-8.1632913566432441E-3</v>
      </c>
      <c r="H420" s="60">
        <f t="shared" si="68"/>
        <v>7.8678643978371518E-5</v>
      </c>
      <c r="I420" s="60">
        <f t="shared" si="69"/>
        <v>8.6306566967506171E-5</v>
      </c>
      <c r="J420" s="60">
        <f t="shared" si="70"/>
        <v>1.0924296430808059E-4</v>
      </c>
      <c r="K420" s="60">
        <f t="shared" si="71"/>
        <v>1.0587836944596517E-4</v>
      </c>
      <c r="M420" s="60">
        <f t="shared" si="72"/>
        <v>1.7058269411110156E-5</v>
      </c>
      <c r="N420" s="60">
        <f t="shared" si="73"/>
        <v>3.1166137450742079E-5</v>
      </c>
      <c r="O420" s="60">
        <f t="shared" si="74"/>
        <v>2.2015627880265553E-5</v>
      </c>
      <c r="P420" s="60">
        <f t="shared" si="75"/>
        <v>2.6771116835181563E-5</v>
      </c>
      <c r="Q420" s="60">
        <f t="shared" si="76"/>
        <v>5.6577490197057319E-6</v>
      </c>
      <c r="R420" s="60">
        <f t="shared" si="77"/>
        <v>1.6162445159597002E-5</v>
      </c>
    </row>
    <row r="421" spans="1:18" x14ac:dyDescent="0.3">
      <c r="A421">
        <f>'Parm VaR Eq Weights'!B420</f>
        <v>-4.4782947738039635E-3</v>
      </c>
      <c r="B421">
        <f>'Parm VaR Eq Weights'!C420</f>
        <v>2.8027966339981849E-3</v>
      </c>
      <c r="C421">
        <f>'Parm VaR Eq Weights'!D420</f>
        <v>7.7792929169511358E-3</v>
      </c>
      <c r="D421">
        <f>'Parm VaR Eq Weights'!E420</f>
        <v>1.5609475091878502E-2</v>
      </c>
      <c r="H421" s="60">
        <f t="shared" si="68"/>
        <v>8.6085135982909544E-5</v>
      </c>
      <c r="I421" s="60">
        <f t="shared" si="69"/>
        <v>8.8493088082967116E-5</v>
      </c>
      <c r="J421" s="60">
        <f t="shared" si="70"/>
        <v>1.0859598208506E-4</v>
      </c>
      <c r="K421" s="60">
        <f t="shared" si="71"/>
        <v>1.0352402682561403E-4</v>
      </c>
      <c r="M421" s="60">
        <f t="shared" si="72"/>
        <v>6.584065484922174E-6</v>
      </c>
      <c r="N421" s="60">
        <f t="shared" si="73"/>
        <v>3.7760367728446493E-5</v>
      </c>
      <c r="O421" s="60">
        <f t="shared" si="74"/>
        <v>1.3731289569350024E-5</v>
      </c>
      <c r="P421" s="60">
        <f t="shared" si="75"/>
        <v>1.8568719103329616E-5</v>
      </c>
      <c r="Q421" s="60">
        <f t="shared" si="76"/>
        <v>1.0744846409553117E-5</v>
      </c>
      <c r="R421" s="60">
        <f t="shared" si="77"/>
        <v>1.0332586166815214E-5</v>
      </c>
    </row>
    <row r="422" spans="1:18" x14ac:dyDescent="0.3">
      <c r="A422">
        <f>'Parm VaR Eq Weights'!B421</f>
        <v>-1.5560819042234431E-2</v>
      </c>
      <c r="B422">
        <f>'Parm VaR Eq Weights'!C421</f>
        <v>-8.1329543752467013E-3</v>
      </c>
      <c r="C422">
        <f>'Parm VaR Eq Weights'!D421</f>
        <v>-9.5246078811882171E-3</v>
      </c>
      <c r="D422">
        <f>'Parm VaR Eq Weights'!E421</f>
        <v>-1.3056509762050587E-2</v>
      </c>
      <c r="H422" s="60">
        <f t="shared" si="68"/>
        <v>8.2123335268799756E-5</v>
      </c>
      <c r="I422" s="60">
        <f t="shared" si="69"/>
        <v>8.3654842936282172E-5</v>
      </c>
      <c r="J422" s="60">
        <f t="shared" si="70"/>
        <v>1.0571126705721997E-4</v>
      </c>
      <c r="K422" s="60">
        <f t="shared" si="71"/>
        <v>1.1193192797471572E-4</v>
      </c>
      <c r="M422" s="60">
        <f t="shared" si="72"/>
        <v>5.4359165847426776E-6</v>
      </c>
      <c r="N422" s="60">
        <f t="shared" si="73"/>
        <v>3.3404467655907354E-5</v>
      </c>
      <c r="O422" s="60">
        <f t="shared" si="74"/>
        <v>8.713182351642061E-6</v>
      </c>
      <c r="P422" s="60">
        <f t="shared" si="75"/>
        <v>1.8762822517280835E-5</v>
      </c>
      <c r="Q422" s="60">
        <f t="shared" si="76"/>
        <v>1.2725166679739666E-5</v>
      </c>
      <c r="R422" s="60">
        <f t="shared" si="77"/>
        <v>1.6998471737980844E-5</v>
      </c>
    </row>
    <row r="423" spans="1:18" x14ac:dyDescent="0.3">
      <c r="A423">
        <f>'Parm VaR Eq Weights'!B422</f>
        <v>9.1044922894219817E-3</v>
      </c>
      <c r="B423">
        <f>'Parm VaR Eq Weights'!C422</f>
        <v>9.7805265331176719E-4</v>
      </c>
      <c r="C423">
        <f>'Parm VaR Eq Weights'!D422</f>
        <v>9.6277519952753278E-3</v>
      </c>
      <c r="D423">
        <f>'Parm VaR Eq Weights'!E422</f>
        <v>-1.7773654333903149E-3</v>
      </c>
      <c r="H423" s="60">
        <f t="shared" si="68"/>
        <v>9.1724280508581726E-5</v>
      </c>
      <c r="I423" s="60">
        <f t="shared" si="69"/>
        <v>8.2604249172295912E-5</v>
      </c>
      <c r="J423" s="60">
        <f t="shared" si="70"/>
        <v>1.0481168035121034E-4</v>
      </c>
      <c r="K423" s="60">
        <f t="shared" si="71"/>
        <v>1.1544435912622411E-4</v>
      </c>
      <c r="M423" s="60">
        <f t="shared" si="72"/>
        <v>1.2703087468375886E-5</v>
      </c>
      <c r="N423" s="60">
        <f t="shared" si="73"/>
        <v>4.0292841577797508E-5</v>
      </c>
      <c r="O423" s="60">
        <f t="shared" si="74"/>
        <v>2.038059055436974E-5</v>
      </c>
      <c r="P423" s="60">
        <f t="shared" si="75"/>
        <v>2.2284845246633125E-5</v>
      </c>
      <c r="Q423" s="60">
        <f t="shared" si="76"/>
        <v>1.8332936570638528E-5</v>
      </c>
      <c r="R423" s="60">
        <f t="shared" si="77"/>
        <v>2.3440051580528273E-5</v>
      </c>
    </row>
    <row r="424" spans="1:18" x14ac:dyDescent="0.3">
      <c r="A424">
        <f>'Parm VaR Eq Weights'!B423</f>
        <v>6.4156955637247777E-3</v>
      </c>
      <c r="B424">
        <f>'Parm VaR Eq Weights'!C423</f>
        <v>2.3358931360400716E-2</v>
      </c>
      <c r="C424">
        <f>'Parm VaR Eq Weights'!D423</f>
        <v>4.4076712286686857E-3</v>
      </c>
      <c r="D424">
        <f>'Parm VaR Eq Weights'!E423</f>
        <v>5.1225066816227224E-3</v>
      </c>
      <c r="H424" s="60">
        <f t="shared" si="68"/>
        <v>9.1194330468955486E-5</v>
      </c>
      <c r="I424" s="60">
        <f t="shared" si="69"/>
        <v>7.7705389441517163E-5</v>
      </c>
      <c r="J424" s="60">
        <f t="shared" si="70"/>
        <v>1.0408459603908941E-4</v>
      </c>
      <c r="K424" s="60">
        <f t="shared" si="71"/>
        <v>1.087072392516793E-4</v>
      </c>
      <c r="M424" s="60">
        <f t="shared" si="72"/>
        <v>1.2475182590716874E-5</v>
      </c>
      <c r="N424" s="60">
        <f t="shared" si="73"/>
        <v>4.313461871145674E-5</v>
      </c>
      <c r="O424" s="60">
        <f t="shared" si="74"/>
        <v>1.8186834528080319E-5</v>
      </c>
      <c r="P424" s="60">
        <f t="shared" si="75"/>
        <v>2.1512741434899536E-5</v>
      </c>
      <c r="Q424" s="60">
        <f t="shared" si="76"/>
        <v>1.7128658957718293E-5</v>
      </c>
      <c r="R424" s="60">
        <f t="shared" si="77"/>
        <v>2.1006926469837156E-5</v>
      </c>
    </row>
    <row r="425" spans="1:18" x14ac:dyDescent="0.3">
      <c r="A425">
        <f>'Parm VaR Eq Weights'!B424</f>
        <v>1.0938977608159015E-2</v>
      </c>
      <c r="B425">
        <f>'Parm VaR Eq Weights'!C424</f>
        <v>8.1118515745206878E-3</v>
      </c>
      <c r="C425">
        <f>'Parm VaR Eq Weights'!D424</f>
        <v>3.0253358178244722E-2</v>
      </c>
      <c r="D425">
        <f>'Parm VaR Eq Weights'!E424</f>
        <v>1.7188274477500893E-2</v>
      </c>
      <c r="H425" s="60">
        <f t="shared" si="68"/>
        <v>8.8192339614802018E-5</v>
      </c>
      <c r="I425" s="60">
        <f t="shared" si="69"/>
        <v>1.0578144653302088E-4</v>
      </c>
      <c r="J425" s="60">
        <f t="shared" si="70"/>
        <v>9.9005174216346066E-5</v>
      </c>
      <c r="K425" s="60">
        <f t="shared" si="71"/>
        <v>1.0375920937877471E-4</v>
      </c>
      <c r="M425" s="60">
        <f t="shared" si="72"/>
        <v>2.0718499173410337E-5</v>
      </c>
      <c r="N425" s="60">
        <f t="shared" si="73"/>
        <v>4.2243238193656959E-5</v>
      </c>
      <c r="O425" s="60">
        <f t="shared" si="74"/>
        <v>1.9067491059941745E-5</v>
      </c>
      <c r="P425" s="60">
        <f t="shared" si="75"/>
        <v>2.6399486330186662E-5</v>
      </c>
      <c r="Q425" s="60">
        <f t="shared" si="76"/>
        <v>2.3280316338408353E-5</v>
      </c>
      <c r="R425" s="60">
        <f t="shared" si="77"/>
        <v>2.1101210400802023E-5</v>
      </c>
    </row>
    <row r="426" spans="1:18" x14ac:dyDescent="0.3">
      <c r="A426">
        <f>'Parm VaR Eq Weights'!B425</f>
        <v>-1.3871190067762998E-3</v>
      </c>
      <c r="B426">
        <f>'Parm VaR Eq Weights'!C425</f>
        <v>-6.7566633791326324E-4</v>
      </c>
      <c r="C426">
        <f>'Parm VaR Eq Weights'!D425</f>
        <v>9.0500415136215734E-4</v>
      </c>
      <c r="D426">
        <f>'Parm VaR Eq Weights'!E425</f>
        <v>2.183781586048639E-2</v>
      </c>
      <c r="H426" s="60">
        <f t="shared" si="68"/>
        <v>9.0080473104622161E-5</v>
      </c>
      <c r="I426" s="60">
        <f t="shared" si="69"/>
        <v>1.0338268789906285E-4</v>
      </c>
      <c r="J426" s="60">
        <f t="shared" si="70"/>
        <v>1.4798080462703536E-4</v>
      </c>
      <c r="K426" s="60">
        <f t="shared" si="71"/>
        <v>1.1525986358688275E-4</v>
      </c>
      <c r="M426" s="60">
        <f t="shared" si="72"/>
        <v>2.4799510987069197E-5</v>
      </c>
      <c r="N426" s="60">
        <f t="shared" si="73"/>
        <v>5.9565092363043561E-5</v>
      </c>
      <c r="O426" s="60">
        <f t="shared" si="74"/>
        <v>2.920477057428165E-5</v>
      </c>
      <c r="P426" s="60">
        <f t="shared" si="75"/>
        <v>3.9540162220739436E-5</v>
      </c>
      <c r="Q426" s="60">
        <f t="shared" si="76"/>
        <v>3.0249221241120416E-5</v>
      </c>
      <c r="R426" s="60">
        <f t="shared" si="77"/>
        <v>5.1035319230782923E-5</v>
      </c>
    </row>
    <row r="427" spans="1:18" x14ac:dyDescent="0.3">
      <c r="A427">
        <f>'Parm VaR Eq Weights'!B426</f>
        <v>9.9556768793406369E-3</v>
      </c>
      <c r="B427">
        <f>'Parm VaR Eq Weights'!C426</f>
        <v>6.0500314816561256E-3</v>
      </c>
      <c r="C427">
        <f>'Parm VaR Eq Weights'!D426</f>
        <v>1.4687625172033829E-2</v>
      </c>
      <c r="D427">
        <f>'Parm VaR Eq Weights'!E426</f>
        <v>-7.6760333037785115E-3</v>
      </c>
      <c r="H427" s="60">
        <f t="shared" si="68"/>
        <v>8.4791090666682436E-5</v>
      </c>
      <c r="I427" s="60">
        <f t="shared" si="69"/>
        <v>9.7207118125130411E-5</v>
      </c>
      <c r="J427" s="60">
        <f t="shared" si="70"/>
        <v>1.3915109830025217E-4</v>
      </c>
      <c r="K427" s="60">
        <f t="shared" si="71"/>
        <v>1.3695768386506047E-4</v>
      </c>
      <c r="M427" s="60">
        <f t="shared" si="72"/>
        <v>2.3367774105018552E-5</v>
      </c>
      <c r="N427" s="60">
        <f t="shared" si="73"/>
        <v>5.5915865913686988E-5</v>
      </c>
      <c r="O427" s="60">
        <f t="shared" si="74"/>
        <v>2.5634985373031053E-5</v>
      </c>
      <c r="P427" s="60">
        <f t="shared" si="75"/>
        <v>3.713106363705024E-5</v>
      </c>
      <c r="Q427" s="60">
        <f t="shared" si="76"/>
        <v>2.7548963342424448E-5</v>
      </c>
      <c r="R427" s="60">
        <f t="shared" si="77"/>
        <v>4.9158998917561297E-5</v>
      </c>
    </row>
    <row r="428" spans="1:18" x14ac:dyDescent="0.3">
      <c r="A428">
        <f>'Parm VaR Eq Weights'!B427</f>
        <v>-1.999543053987357E-3</v>
      </c>
      <c r="B428">
        <f>'Parm VaR Eq Weights'!C427</f>
        <v>6.9085286329387445E-3</v>
      </c>
      <c r="C428">
        <f>'Parm VaR Eq Weights'!D427</f>
        <v>1.829443647188478E-3</v>
      </c>
      <c r="D428">
        <f>'Parm VaR Eq Weights'!E427</f>
        <v>4.0119581092024972E-3</v>
      </c>
      <c r="H428" s="60">
        <f t="shared" si="68"/>
        <v>8.5650555354231753E-5</v>
      </c>
      <c r="I428" s="60">
        <f t="shared" si="69"/>
        <v>9.3570863893364397E-5</v>
      </c>
      <c r="J428" s="60">
        <f t="shared" si="70"/>
        <v>1.4374561239388674E-4</v>
      </c>
      <c r="K428" s="60">
        <f t="shared" si="71"/>
        <v>1.3227551206999985E-4</v>
      </c>
      <c r="M428" s="60">
        <f t="shared" si="72"/>
        <v>2.5579637171189854E-5</v>
      </c>
      <c r="N428" s="60">
        <f t="shared" si="73"/>
        <v>6.1334428979124107E-5</v>
      </c>
      <c r="O428" s="60">
        <f t="shared" si="74"/>
        <v>1.95116798134006E-5</v>
      </c>
      <c r="P428" s="60">
        <f t="shared" si="75"/>
        <v>4.0234835499721404E-5</v>
      </c>
      <c r="Q428" s="60">
        <f t="shared" si="76"/>
        <v>2.3109610953352926E-5</v>
      </c>
      <c r="R428" s="60">
        <f t="shared" si="77"/>
        <v>3.9444896984070777E-5</v>
      </c>
    </row>
    <row r="429" spans="1:18" x14ac:dyDescent="0.3">
      <c r="A429">
        <f>'Parm VaR Eq Weights'!B428</f>
        <v>2.7628316524479237E-3</v>
      </c>
      <c r="B429">
        <f>'Parm VaR Eq Weights'!C428</f>
        <v>-4.8013931091274468E-3</v>
      </c>
      <c r="C429">
        <f>'Parm VaR Eq Weights'!D428</f>
        <v>-7.4355710413143063E-4</v>
      </c>
      <c r="D429">
        <f>'Parm VaR Eq Weights'!E428</f>
        <v>-7.7040462450342958E-3</v>
      </c>
      <c r="H429" s="60">
        <f t="shared" si="68"/>
        <v>8.0751412378462785E-5</v>
      </c>
      <c r="I429" s="60">
        <f t="shared" si="69"/>
        <v>9.0820278132090602E-5</v>
      </c>
      <c r="J429" s="60">
        <f t="shared" si="70"/>
        <v>1.3532168749374782E-4</v>
      </c>
      <c r="K429" s="60">
        <f t="shared" si="71"/>
        <v>1.2530472981799959E-4</v>
      </c>
      <c r="M429" s="60">
        <f t="shared" si="72"/>
        <v>2.3216024914442535E-5</v>
      </c>
      <c r="N429" s="60">
        <f t="shared" si="73"/>
        <v>5.7434880160132832E-5</v>
      </c>
      <c r="O429" s="60">
        <f t="shared" si="74"/>
        <v>1.7859654046387917E-5</v>
      </c>
      <c r="P429" s="60">
        <f t="shared" si="75"/>
        <v>3.8579071198875088E-5</v>
      </c>
      <c r="Q429" s="60">
        <f t="shared" si="76"/>
        <v>2.3386037944446324E-5</v>
      </c>
      <c r="R429" s="60">
        <f t="shared" si="77"/>
        <v>3.751858224156654E-5</v>
      </c>
    </row>
    <row r="430" spans="1:18" x14ac:dyDescent="0.3">
      <c r="A430">
        <f>'Parm VaR Eq Weights'!B429</f>
        <v>-3.9193449497316171E-3</v>
      </c>
      <c r="B430">
        <f>'Parm VaR Eq Weights'!C429</f>
        <v>2.7929703085728913E-3</v>
      </c>
      <c r="C430">
        <f>'Parm VaR Eq Weights'!D429</f>
        <v>2.2047483787340466E-3</v>
      </c>
      <c r="D430">
        <f>'Parm VaR Eq Weights'!E429</f>
        <v>1.091815133708365E-2</v>
      </c>
      <c r="H430" s="60">
        <f t="shared" si="68"/>
        <v>7.63643219601411E-5</v>
      </c>
      <c r="I430" s="60">
        <f t="shared" si="69"/>
        <v>8.6754263991467754E-5</v>
      </c>
      <c r="J430" s="60">
        <f t="shared" si="70"/>
        <v>1.2723555887414923E-4</v>
      </c>
      <c r="K430" s="60">
        <f t="shared" si="71"/>
        <v>1.2134758574165723E-4</v>
      </c>
      <c r="M430" s="60">
        <f t="shared" si="72"/>
        <v>2.102713696811142E-5</v>
      </c>
      <c r="N430" s="60">
        <f t="shared" si="73"/>
        <v>5.3865527964363045E-5</v>
      </c>
      <c r="O430" s="60">
        <f t="shared" si="74"/>
        <v>1.551097583454244E-5</v>
      </c>
      <c r="P430" s="60">
        <f t="shared" si="75"/>
        <v>3.6478533524303742E-5</v>
      </c>
      <c r="Q430" s="60">
        <f t="shared" si="76"/>
        <v>2.4202284940977954E-5</v>
      </c>
      <c r="R430" s="60">
        <f t="shared" si="77"/>
        <v>3.5611171206035685E-5</v>
      </c>
    </row>
    <row r="431" spans="1:18" x14ac:dyDescent="0.3">
      <c r="A431">
        <f>'Parm VaR Eq Weights'!B430</f>
        <v>6.871616213485073E-3</v>
      </c>
      <c r="B431">
        <f>'Parm VaR Eq Weights'!C430</f>
        <v>2.2644711643075807E-3</v>
      </c>
      <c r="C431">
        <f>'Parm VaR Eq Weights'!D430</f>
        <v>1.3790697004589332E-2</v>
      </c>
      <c r="D431">
        <f>'Parm VaR Eq Weights'!E430</f>
        <v>-1.575497989280545E-3</v>
      </c>
      <c r="H431" s="60">
        <f t="shared" si="68"/>
        <v>7.2704138532631832E-5</v>
      </c>
      <c r="I431" s="60">
        <f t="shared" si="69"/>
        <v>8.2017049140653878E-5</v>
      </c>
      <c r="J431" s="60">
        <f t="shared" si="70"/>
        <v>1.1989308026651209E-4</v>
      </c>
      <c r="K431" s="60">
        <f t="shared" si="71"/>
        <v>1.2121909231432549E-4</v>
      </c>
      <c r="M431" s="60">
        <f t="shared" si="72"/>
        <v>1.9108711905605403E-5</v>
      </c>
      <c r="N431" s="60">
        <f t="shared" si="73"/>
        <v>5.0115126121084046E-5</v>
      </c>
      <c r="O431" s="60">
        <f t="shared" si="74"/>
        <v>1.2012797206265633E-5</v>
      </c>
      <c r="P431" s="60">
        <f t="shared" si="75"/>
        <v>3.4659289318426219E-5</v>
      </c>
      <c r="Q431" s="60">
        <f t="shared" si="76"/>
        <v>2.457979219505808E-5</v>
      </c>
      <c r="R431" s="60">
        <f t="shared" si="77"/>
        <v>3.4918807521226028E-5</v>
      </c>
    </row>
    <row r="432" spans="1:18" x14ac:dyDescent="0.3">
      <c r="A432">
        <f>'Parm VaR Eq Weights'!B431</f>
        <v>-3.5686665547477927E-3</v>
      </c>
      <c r="B432">
        <f>'Parm VaR Eq Weights'!C431</f>
        <v>-8.1933516661193556E-3</v>
      </c>
      <c r="C432">
        <f>'Parm VaR Eq Weights'!D431</f>
        <v>3.855563020651937E-3</v>
      </c>
      <c r="D432">
        <f>'Parm VaR Eq Weights'!E431</f>
        <v>-8.3082760008848858E-3</v>
      </c>
      <c r="H432" s="60">
        <f t="shared" si="68"/>
        <v>7.117503678379977E-5</v>
      </c>
      <c r="I432" s="60">
        <f t="shared" si="69"/>
        <v>7.7403695971453473E-5</v>
      </c>
      <c r="J432" s="60">
        <f t="shared" si="70"/>
        <v>1.2411049488286473E-4</v>
      </c>
      <c r="K432" s="60">
        <f t="shared" si="71"/>
        <v>1.1409487841031958E-4</v>
      </c>
      <c r="M432" s="60">
        <f t="shared" si="72"/>
        <v>1.8895823797326603E-5</v>
      </c>
      <c r="N432" s="60">
        <f t="shared" si="73"/>
        <v>5.279408118173877E-5</v>
      </c>
      <c r="O432" s="60">
        <f t="shared" si="74"/>
        <v>1.0642456322242495E-5</v>
      </c>
      <c r="P432" s="60">
        <f t="shared" si="75"/>
        <v>3.4453450101476371E-5</v>
      </c>
      <c r="Q432" s="60">
        <f t="shared" si="76"/>
        <v>2.2890944477385572E-5</v>
      </c>
      <c r="R432" s="60">
        <f t="shared" si="77"/>
        <v>3.1520046145862003E-5</v>
      </c>
    </row>
    <row r="433" spans="1:18" x14ac:dyDescent="0.3">
      <c r="A433">
        <f>'Parm VaR Eq Weights'!B432</f>
        <v>2.8471490320299423E-3</v>
      </c>
      <c r="B433">
        <f>'Parm VaR Eq Weights'!C432</f>
        <v>8.7033197506106684E-3</v>
      </c>
      <c r="C433">
        <f>'Parm VaR Eq Weights'!D432</f>
        <v>1.8822912200313114E-3</v>
      </c>
      <c r="D433">
        <f>'Parm VaR Eq Weights'!E432</f>
        <v>6.9040800029732136E-3</v>
      </c>
      <c r="H433" s="60">
        <f t="shared" si="68"/>
        <v>6.7668657435510305E-5</v>
      </c>
      <c r="I433" s="60">
        <f t="shared" si="69"/>
        <v>7.678733490464832E-5</v>
      </c>
      <c r="J433" s="60">
        <f t="shared" si="70"/>
        <v>1.1755578716226596E-4</v>
      </c>
      <c r="K433" s="60">
        <f t="shared" si="71"/>
        <v>1.1139083271211319E-4</v>
      </c>
      <c r="M433" s="60">
        <f t="shared" si="72"/>
        <v>1.9516434773217043E-5</v>
      </c>
      <c r="N433" s="60">
        <f t="shared" si="73"/>
        <v>4.8800883182743065E-5</v>
      </c>
      <c r="O433" s="60">
        <f t="shared" si="74"/>
        <v>1.1782876944426245E-5</v>
      </c>
      <c r="P433" s="60">
        <f t="shared" si="75"/>
        <v>3.0490844073442578E-5</v>
      </c>
      <c r="Q433" s="60">
        <f t="shared" si="76"/>
        <v>2.5601845429608219E-5</v>
      </c>
      <c r="R433" s="60">
        <f t="shared" si="77"/>
        <v>2.7706858474247377E-5</v>
      </c>
    </row>
    <row r="434" spans="1:18" x14ac:dyDescent="0.3">
      <c r="A434">
        <f>'Parm VaR Eq Weights'!B433</f>
        <v>1.9204461816167387E-3</v>
      </c>
      <c r="B434">
        <f>'Parm VaR Eq Weights'!C433</f>
        <v>-4.8719621390815575E-3</v>
      </c>
      <c r="C434">
        <f>'Parm VaR Eq Weights'!D433</f>
        <v>3.4286139891358518E-3</v>
      </c>
      <c r="D434">
        <f>'Parm VaR Eq Weights'!E433</f>
        <v>-7.0448186191967126E-3</v>
      </c>
      <c r="H434" s="60">
        <f t="shared" si="68"/>
        <v>6.4094913446015021E-5</v>
      </c>
      <c r="I434" s="60">
        <f t="shared" si="69"/>
        <v>7.6724961291251603E-5</v>
      </c>
      <c r="J434" s="60">
        <f t="shared" si="70"/>
        <v>1.1071502114675042E-4</v>
      </c>
      <c r="K434" s="60">
        <f t="shared" si="71"/>
        <v>1.0756736199063367E-4</v>
      </c>
      <c r="M434" s="60">
        <f t="shared" si="72"/>
        <v>1.9832227591027915E-5</v>
      </c>
      <c r="N434" s="60">
        <f t="shared" si="73"/>
        <v>4.6194380009285119E-5</v>
      </c>
      <c r="O434" s="60">
        <f t="shared" si="74"/>
        <v>1.225532100961202E-5</v>
      </c>
      <c r="P434" s="60">
        <f t="shared" si="75"/>
        <v>2.9644324370137998E-5</v>
      </c>
      <c r="Q434" s="60">
        <f t="shared" si="76"/>
        <v>2.7671039654812101E-5</v>
      </c>
      <c r="R434" s="60">
        <f t="shared" si="77"/>
        <v>2.6824176316111948E-5</v>
      </c>
    </row>
    <row r="435" spans="1:18" x14ac:dyDescent="0.3">
      <c r="A435">
        <f>'Parm VaR Eq Weights'!B434</f>
        <v>4.0727005840515843E-3</v>
      </c>
      <c r="B435">
        <f>'Parm VaR Eq Weights'!C434</f>
        <v>8.3948648800354474E-3</v>
      </c>
      <c r="C435">
        <f>'Parm VaR Eq Weights'!D434</f>
        <v>3.0022850377916291E-3</v>
      </c>
      <c r="D435">
        <f>'Parm VaR Eq Weights'!E434</f>
        <v>-5.6105280665569154E-3</v>
      </c>
      <c r="H435" s="60">
        <f t="shared" si="68"/>
        <v>6.0470505451443296E-5</v>
      </c>
      <c r="I435" s="60">
        <f t="shared" si="69"/>
        <v>7.3545624518855156E-5</v>
      </c>
      <c r="J435" s="60">
        <f t="shared" si="70"/>
        <v>1.0477744351113528E-4</v>
      </c>
      <c r="K435" s="60">
        <f t="shared" si="71"/>
        <v>1.0409108843383849E-4</v>
      </c>
      <c r="M435" s="60">
        <f t="shared" si="72"/>
        <v>1.8080913470347411E-5</v>
      </c>
      <c r="N435" s="60">
        <f t="shared" si="73"/>
        <v>4.381778532734843E-5</v>
      </c>
      <c r="O435" s="60">
        <f t="shared" si="74"/>
        <v>1.0708250047990168E-5</v>
      </c>
      <c r="P435" s="60">
        <f t="shared" si="75"/>
        <v>2.6863420255253998E-5</v>
      </c>
      <c r="Q435" s="60">
        <f t="shared" si="76"/>
        <v>2.8070102650888766E-5</v>
      </c>
      <c r="R435" s="60">
        <f t="shared" si="77"/>
        <v>2.3765487917023076E-5</v>
      </c>
    </row>
    <row r="436" spans="1:18" x14ac:dyDescent="0.3">
      <c r="A436">
        <f>'Parm VaR Eq Weights'!B435</f>
        <v>5.5813378526457938E-3</v>
      </c>
      <c r="B436">
        <f>'Parm VaR Eq Weights'!C435</f>
        <v>-3.8860209937848348E-3</v>
      </c>
      <c r="C436">
        <f>'Parm VaR Eq Weights'!D435</f>
        <v>1.1362360934788912E-3</v>
      </c>
      <c r="D436">
        <f>'Parm VaR Eq Weights'!E435</f>
        <v>1.263747106924041E-3</v>
      </c>
      <c r="H436" s="60">
        <f t="shared" si="68"/>
        <v>5.7837488527196746E-5</v>
      </c>
      <c r="I436" s="60">
        <f t="shared" si="69"/>
        <v>7.3361312428966993E-5</v>
      </c>
      <c r="J436" s="60">
        <f t="shared" si="70"/>
        <v>9.9031619827356007E-5</v>
      </c>
      <c r="K436" s="60">
        <f t="shared" si="71"/>
        <v>9.9734304638945557E-5</v>
      </c>
      <c r="M436" s="60">
        <f t="shared" si="72"/>
        <v>1.9047444928123837E-5</v>
      </c>
      <c r="N436" s="60">
        <f t="shared" si="73"/>
        <v>4.1922362689321714E-5</v>
      </c>
      <c r="O436" s="60">
        <f t="shared" si="74"/>
        <v>8.6947549891005058E-6</v>
      </c>
      <c r="P436" s="60">
        <f t="shared" si="75"/>
        <v>2.6763841673355528E-5</v>
      </c>
      <c r="Q436" s="60">
        <f t="shared" si="76"/>
        <v>2.3559918990371925E-5</v>
      </c>
      <c r="R436" s="60">
        <f t="shared" si="77"/>
        <v>2.132889437390166E-5</v>
      </c>
    </row>
    <row r="437" spans="1:18" x14ac:dyDescent="0.3">
      <c r="A437">
        <f>'Parm VaR Eq Weights'!B436</f>
        <v>-8.3240521708997776E-4</v>
      </c>
      <c r="B437">
        <f>'Parm VaR Eq Weights'!C436</f>
        <v>-4.4443161113912289E-3</v>
      </c>
      <c r="C437">
        <f>'Parm VaR Eq Weights'!D436</f>
        <v>-2.5924259085180821E-3</v>
      </c>
      <c r="D437">
        <f>'Parm VaR Eq Weights'!E436</f>
        <v>-2.0363079732989057E-3</v>
      </c>
      <c r="H437" s="60">
        <f t="shared" si="68"/>
        <v>5.6236319149087544E-5</v>
      </c>
      <c r="I437" s="60">
        <f t="shared" si="69"/>
        <v>6.9865703233077154E-5</v>
      </c>
      <c r="J437" s="60">
        <f t="shared" si="70"/>
        <v>9.3167184585322095E-5</v>
      </c>
      <c r="K437" s="60">
        <f t="shared" si="71"/>
        <v>9.3846069765624358E-5</v>
      </c>
      <c r="M437" s="60">
        <f t="shared" si="72"/>
        <v>1.6603246468309151E-5</v>
      </c>
      <c r="N437" s="60">
        <f t="shared" si="73"/>
        <v>3.9787523979046977E-5</v>
      </c>
      <c r="O437" s="60">
        <f t="shared" si="74"/>
        <v>8.5962736635972819E-6</v>
      </c>
      <c r="P437" s="60">
        <f t="shared" si="75"/>
        <v>2.4893084934164892E-5</v>
      </c>
      <c r="Q437" s="60">
        <f t="shared" si="76"/>
        <v>2.1851666983649109E-5</v>
      </c>
      <c r="R437" s="60">
        <f t="shared" si="77"/>
        <v>2.0135315616022557E-5</v>
      </c>
    </row>
    <row r="438" spans="1:18" x14ac:dyDescent="0.3">
      <c r="A438">
        <f>'Parm VaR Eq Weights'!B437</f>
        <v>3.2533701741289645E-3</v>
      </c>
      <c r="B438">
        <f>'Parm VaR Eq Weights'!C437</f>
        <v>8.9625152138358092E-3</v>
      </c>
      <c r="C438">
        <f>'Parm VaR Eq Weights'!D437</f>
        <v>-4.700119200829122E-4</v>
      </c>
      <c r="D438">
        <f>'Parm VaR Eq Weights'!E437</f>
        <v>1.9821637942494984E-2</v>
      </c>
      <c r="H438" s="60">
        <f t="shared" si="68"/>
        <v>5.2903713906868603E-5</v>
      </c>
      <c r="I438" s="60">
        <f t="shared" si="69"/>
        <v>6.6858877780970823E-5</v>
      </c>
      <c r="J438" s="60">
        <f t="shared" si="70"/>
        <v>8.7980393835672117E-5</v>
      </c>
      <c r="K438" s="60">
        <f t="shared" si="71"/>
        <v>8.8464098589414124E-5</v>
      </c>
      <c r="M438" s="60">
        <f t="shared" si="72"/>
        <v>1.5829019995261747E-5</v>
      </c>
      <c r="N438" s="60">
        <f t="shared" si="73"/>
        <v>3.7529749471374338E-5</v>
      </c>
      <c r="O438" s="60">
        <f t="shared" si="74"/>
        <v>8.182199246615999E-6</v>
      </c>
      <c r="P438" s="60">
        <f t="shared" si="75"/>
        <v>2.4090793452083894E-5</v>
      </c>
      <c r="Q438" s="60">
        <f t="shared" si="76"/>
        <v>2.1083566744639366E-5</v>
      </c>
      <c r="R438" s="60">
        <f t="shared" si="77"/>
        <v>1.9243935331923328E-5</v>
      </c>
    </row>
    <row r="439" spans="1:18" x14ac:dyDescent="0.3">
      <c r="A439">
        <f>'Parm VaR Eq Weights'!B438</f>
        <v>-3.022860583353128E-3</v>
      </c>
      <c r="B439">
        <f>'Parm VaR Eq Weights'!C438</f>
        <v>7.2115463323021807E-3</v>
      </c>
      <c r="C439">
        <f>'Parm VaR Eq Weights'!D438</f>
        <v>-2.3769722154408889E-3</v>
      </c>
      <c r="D439">
        <f>'Parm VaR Eq Weights'!E438</f>
        <v>1.4865304972242195E-3</v>
      </c>
      <c r="H439" s="60">
        <f t="shared" si="68"/>
        <v>5.03645561218512E-5</v>
      </c>
      <c r="I439" s="60">
        <f t="shared" si="69"/>
        <v>6.7666945851606875E-5</v>
      </c>
      <c r="J439" s="60">
        <f t="shared" si="70"/>
        <v>8.2714824877832998E-5</v>
      </c>
      <c r="K439" s="60">
        <f t="shared" si="71"/>
        <v>1.0673009251745071E-4</v>
      </c>
      <c r="M439" s="60">
        <f t="shared" si="72"/>
        <v>1.6628781576458271E-5</v>
      </c>
      <c r="N439" s="60">
        <f t="shared" si="73"/>
        <v>3.5186217137354909E-5</v>
      </c>
      <c r="O439" s="60">
        <f t="shared" si="74"/>
        <v>1.1560494832888814E-5</v>
      </c>
      <c r="P439" s="60">
        <f t="shared" si="75"/>
        <v>2.2392596505893222E-5</v>
      </c>
      <c r="Q439" s="60">
        <f t="shared" si="76"/>
        <v>3.0477656637326398E-5</v>
      </c>
      <c r="R439" s="60">
        <f t="shared" si="77"/>
        <v>1.7530314845495503E-5</v>
      </c>
    </row>
    <row r="440" spans="1:18" x14ac:dyDescent="0.3">
      <c r="A440">
        <f>'Parm VaR Eq Weights'!B439</f>
        <v>9.6623119971041751E-3</v>
      </c>
      <c r="B440">
        <f>'Parm VaR Eq Weights'!C439</f>
        <v>1.6477066283588956E-2</v>
      </c>
      <c r="C440">
        <f>'Parm VaR Eq Weights'!D439</f>
        <v>1.0318144527792715E-2</v>
      </c>
      <c r="D440">
        <f>'Parm VaR Eq Weights'!E439</f>
        <v>6.6373939696618336E-3</v>
      </c>
      <c r="H440" s="60">
        <f t="shared" si="68"/>
        <v>4.7890943920923531E-5</v>
      </c>
      <c r="I440" s="60">
        <f t="shared" si="69"/>
        <v>6.6727313130686934E-5</v>
      </c>
      <c r="J440" s="60">
        <f t="shared" si="70"/>
        <v>7.8090935199941691E-5</v>
      </c>
      <c r="K440" s="60">
        <f t="shared" si="71"/>
        <v>1.0045887334155431E-4</v>
      </c>
      <c r="M440" s="60">
        <f t="shared" si="72"/>
        <v>1.4323084732694307E-5</v>
      </c>
      <c r="N440" s="60">
        <f t="shared" si="73"/>
        <v>3.3506159446180516E-5</v>
      </c>
      <c r="O440" s="60">
        <f t="shared" si="74"/>
        <v>1.05972506761548E-5</v>
      </c>
      <c r="P440" s="60">
        <f t="shared" si="75"/>
        <v>2.002054199980481E-5</v>
      </c>
      <c r="Q440" s="60">
        <f t="shared" si="76"/>
        <v>2.9292208252393571E-5</v>
      </c>
      <c r="R440" s="60">
        <f t="shared" si="77"/>
        <v>1.6266489453407322E-5</v>
      </c>
    </row>
    <row r="441" spans="1:18" x14ac:dyDescent="0.3">
      <c r="A441">
        <f>'Parm VaR Eq Weights'!B440</f>
        <v>3.7040892383407753E-3</v>
      </c>
      <c r="B441">
        <f>'Parm VaR Eq Weights'!C440</f>
        <v>4.9405787914389388E-3</v>
      </c>
      <c r="C441">
        <f>'Parm VaR Eq Weights'!D440</f>
        <v>1.3610738195827305E-2</v>
      </c>
      <c r="D441">
        <f>'Parm VaR Eq Weights'!E440</f>
        <v>-2.2858537039113095E-3</v>
      </c>
      <c r="H441" s="60">
        <f t="shared" si="68"/>
        <v>5.0619103673431118E-5</v>
      </c>
      <c r="I441" s="60">
        <f t="shared" si="69"/>
        <v>7.9013297141672769E-5</v>
      </c>
      <c r="J441" s="60">
        <f t="shared" si="70"/>
        <v>7.9793325477730311E-5</v>
      </c>
      <c r="K441" s="60">
        <f t="shared" si="71"/>
        <v>9.7074640863571249E-5</v>
      </c>
      <c r="M441" s="60">
        <f t="shared" si="72"/>
        <v>2.3016092962472794E-5</v>
      </c>
      <c r="N441" s="60">
        <f t="shared" si="73"/>
        <v>3.7477617778934468E-5</v>
      </c>
      <c r="O441" s="60">
        <f t="shared" si="74"/>
        <v>1.380936991853974E-5</v>
      </c>
      <c r="P441" s="60">
        <f t="shared" si="75"/>
        <v>2.9020074558302003E-5</v>
      </c>
      <c r="Q441" s="60">
        <f t="shared" si="76"/>
        <v>3.4096562580554658E-5</v>
      </c>
      <c r="R441" s="60">
        <f t="shared" si="77"/>
        <v>1.939963550221512E-5</v>
      </c>
    </row>
    <row r="442" spans="1:18" x14ac:dyDescent="0.3">
      <c r="A442">
        <f>'Parm VaR Eq Weights'!B441</f>
        <v>-1.1856994273686215E-3</v>
      </c>
      <c r="B442">
        <f>'Parm VaR Eq Weights'!C441</f>
        <v>1.8929155833410704E-4</v>
      </c>
      <c r="C442">
        <f>'Parm VaR Eq Weights'!D441</f>
        <v>2.8165716572106044E-3</v>
      </c>
      <c r="D442">
        <f>'Parm VaR Eq Weights'!E441</f>
        <v>-6.2156993570513012E-4</v>
      </c>
      <c r="H442" s="60">
        <f t="shared" si="68"/>
        <v>4.8405174078160762E-5</v>
      </c>
      <c r="I442" s="60">
        <f t="shared" si="69"/>
        <v>7.5737058440837385E-5</v>
      </c>
      <c r="J442" s="60">
        <f t="shared" si="70"/>
        <v>8.6120857603187638E-5</v>
      </c>
      <c r="K442" s="60">
        <f t="shared" si="71"/>
        <v>9.1563670041098076E-5</v>
      </c>
      <c r="M442" s="60">
        <f t="shared" si="72"/>
        <v>2.2733148068677044E-5</v>
      </c>
      <c r="N442" s="60">
        <f t="shared" si="73"/>
        <v>3.825388404482066E-5</v>
      </c>
      <c r="O442" s="60">
        <f t="shared" si="74"/>
        <v>1.2472787357122599E-5</v>
      </c>
      <c r="P442" s="60">
        <f t="shared" si="75"/>
        <v>3.131356555277182E-5</v>
      </c>
      <c r="Q442" s="60">
        <f t="shared" si="76"/>
        <v>3.1373162405928792E-5</v>
      </c>
      <c r="R442" s="60">
        <f t="shared" si="77"/>
        <v>1.6368927993008273E-5</v>
      </c>
    </row>
    <row r="443" spans="1:18" x14ac:dyDescent="0.3">
      <c r="A443">
        <f>'Parm VaR Eq Weights'!B442</f>
        <v>7.0249719243610758E-4</v>
      </c>
      <c r="B443">
        <f>'Parm VaR Eq Weights'!C442</f>
        <v>5.7276139391548107E-3</v>
      </c>
      <c r="C443">
        <f>'Parm VaR Eq Weights'!D442</f>
        <v>-1.0246060763301093E-3</v>
      </c>
      <c r="D443">
        <f>'Parm VaR Eq Weights'!E442</f>
        <v>3.7780793414722517E-3</v>
      </c>
      <c r="H443" s="60">
        <f t="shared" si="68"/>
        <v>4.5585216621394851E-5</v>
      </c>
      <c r="I443" s="60">
        <f t="shared" si="69"/>
        <v>7.1194984812030532E-5</v>
      </c>
      <c r="J443" s="60">
        <f t="shared" si="70"/>
        <v>8.1429590701008502E-5</v>
      </c>
      <c r="K443" s="60">
        <f t="shared" si="71"/>
        <v>8.6093030789730537E-5</v>
      </c>
      <c r="M443" s="60">
        <f t="shared" si="72"/>
        <v>2.1355692611017074E-5</v>
      </c>
      <c r="N443" s="60">
        <f t="shared" si="73"/>
        <v>3.5758274558065579E-5</v>
      </c>
      <c r="O443" s="60">
        <f t="shared" si="74"/>
        <v>1.1768639822705349E-5</v>
      </c>
      <c r="P443" s="60">
        <f t="shared" si="75"/>
        <v>2.9466740813894694E-5</v>
      </c>
      <c r="Q443" s="60">
        <f t="shared" si="76"/>
        <v>2.9483713185068468E-5</v>
      </c>
      <c r="R443" s="60">
        <f t="shared" si="77"/>
        <v>1.5281750537594898E-5</v>
      </c>
    </row>
    <row r="444" spans="1:18" x14ac:dyDescent="0.3">
      <c r="A444">
        <f>'Parm VaR Eq Weights'!B443</f>
        <v>2.7300953987048891E-3</v>
      </c>
      <c r="B444">
        <f>'Parm VaR Eq Weights'!C443</f>
        <v>-7.0416282228959607E-3</v>
      </c>
      <c r="C444">
        <f>'Parm VaR Eq Weights'!D443</f>
        <v>3.5102280914138528E-3</v>
      </c>
      <c r="D444">
        <f>'Parm VaR Eq Weights'!E443</f>
        <v>5.5546892024469407E-4</v>
      </c>
      <c r="H444" s="60">
        <f t="shared" si="68"/>
        <v>4.2879713762433991E-5</v>
      </c>
      <c r="I444" s="60">
        <f t="shared" si="69"/>
        <v>6.8891619409468732E-5</v>
      </c>
      <c r="J444" s="60">
        <f t="shared" si="70"/>
        <v>7.6606804315647144E-5</v>
      </c>
      <c r="K444" s="60">
        <f t="shared" si="71"/>
        <v>8.1783881952974261E-5</v>
      </c>
      <c r="M444" s="60">
        <f t="shared" si="72"/>
        <v>2.0315769017052899E-5</v>
      </c>
      <c r="N444" s="60">
        <f t="shared" si="73"/>
        <v>3.356959111106315E-5</v>
      </c>
      <c r="O444" s="60">
        <f t="shared" si="74"/>
        <v>1.1221766841154134E-5</v>
      </c>
      <c r="P444" s="60">
        <f t="shared" si="75"/>
        <v>2.7346623482365148E-5</v>
      </c>
      <c r="Q444" s="60">
        <f t="shared" si="76"/>
        <v>2.9013053187931318E-5</v>
      </c>
      <c r="R444" s="60">
        <f t="shared" si="77"/>
        <v>1.413258292233142E-5</v>
      </c>
    </row>
    <row r="445" spans="1:18" x14ac:dyDescent="0.3">
      <c r="A445">
        <f>'Parm VaR Eq Weights'!B444</f>
        <v>2.560675932725453E-3</v>
      </c>
      <c r="B445">
        <f>'Parm VaR Eq Weights'!C444</f>
        <v>-2.6204699973384839E-2</v>
      </c>
      <c r="C445">
        <f>'Parm VaR Eq Weights'!D444</f>
        <v>-4.9421920442142527E-3</v>
      </c>
      <c r="D445">
        <f>'Parm VaR Eq Weights'!E444</f>
        <v>2.1703218822542603E-3</v>
      </c>
      <c r="H445" s="60">
        <f t="shared" si="68"/>
        <v>4.0754136189849725E-5</v>
      </c>
      <c r="I445" s="60">
        <f t="shared" si="69"/>
        <v>6.7733193926669709E-5</v>
      </c>
      <c r="J445" s="60">
        <f t="shared" si="70"/>
        <v>7.2749698131933371E-5</v>
      </c>
      <c r="K445" s="60">
        <f t="shared" si="71"/>
        <v>7.6895361779077265E-5</v>
      </c>
      <c r="M445" s="60">
        <f t="shared" si="72"/>
        <v>1.7943363867386597E-5</v>
      </c>
      <c r="N445" s="60">
        <f t="shared" si="73"/>
        <v>3.2130411098045775E-5</v>
      </c>
      <c r="O445" s="60">
        <f t="shared" si="74"/>
        <v>1.0639449819281902E-5</v>
      </c>
      <c r="P445" s="60">
        <f t="shared" si="75"/>
        <v>2.4222762801585114E-5</v>
      </c>
      <c r="Q445" s="60">
        <f t="shared" si="76"/>
        <v>2.7037585659111243E-5</v>
      </c>
      <c r="R445" s="60">
        <f t="shared" si="77"/>
        <v>1.3401617303456549E-5</v>
      </c>
    </row>
    <row r="446" spans="1:18" x14ac:dyDescent="0.3">
      <c r="A446">
        <f>'Parm VaR Eq Weights'!B445</f>
        <v>-1.96246713532387E-3</v>
      </c>
      <c r="B446">
        <f>'Parm VaR Eq Weights'!C445</f>
        <v>5.1521086799534814E-3</v>
      </c>
      <c r="C446">
        <f>'Parm VaR Eq Weights'!D445</f>
        <v>-4.0848665913113874E-3</v>
      </c>
      <c r="D446">
        <f>'Parm VaR Eq Weights'!E445</f>
        <v>8.2253078738063895E-3</v>
      </c>
      <c r="H446" s="60">
        <f t="shared" si="68"/>
        <v>3.8702311692405105E-5</v>
      </c>
      <c r="I446" s="60">
        <f t="shared" si="69"/>
        <v>1.0487038033277648E-4</v>
      </c>
      <c r="J446" s="60">
        <f t="shared" si="70"/>
        <v>6.9850231976131057E-5</v>
      </c>
      <c r="K446" s="60">
        <f t="shared" si="71"/>
        <v>7.2564257896688128E-5</v>
      </c>
      <c r="M446" s="60">
        <f t="shared" si="72"/>
        <v>1.2840657362575124E-5</v>
      </c>
      <c r="N446" s="60">
        <f t="shared" si="73"/>
        <v>2.9443265298811425E-5</v>
      </c>
      <c r="O446" s="60">
        <f t="shared" si="74"/>
        <v>1.0334532290734342E-5</v>
      </c>
      <c r="P446" s="60">
        <f t="shared" si="75"/>
        <v>3.0539916617259051E-5</v>
      </c>
      <c r="Q446" s="60">
        <f t="shared" si="76"/>
        <v>2.2002972493355881E-5</v>
      </c>
      <c r="R446" s="60">
        <f t="shared" si="77"/>
        <v>1.1953951412857488E-5</v>
      </c>
    </row>
    <row r="447" spans="1:18" x14ac:dyDescent="0.3">
      <c r="A447">
        <f>'Parm VaR Eq Weights'!B446</f>
        <v>1.5646460440210746E-3</v>
      </c>
      <c r="B447">
        <f>'Parm VaR Eq Weights'!C446</f>
        <v>-1.8245455869163561E-2</v>
      </c>
      <c r="C447">
        <f>'Parm VaR Eq Weights'!D446</f>
        <v>3.9002566146504338E-3</v>
      </c>
      <c r="D447">
        <f>'Parm VaR Eq Weights'!E446</f>
        <v>4.8679523551291891E-3</v>
      </c>
      <c r="H447" s="60">
        <f t="shared" si="68"/>
        <v>3.6611249626294372E-5</v>
      </c>
      <c r="I447" s="60">
        <f t="shared" si="69"/>
        <v>1.0017081094381301E-4</v>
      </c>
      <c r="J447" s="60">
        <f t="shared" si="70"/>
        <v>6.6660386161691913E-5</v>
      </c>
      <c r="K447" s="60">
        <f t="shared" si="71"/>
        <v>7.2269743800020933E-5</v>
      </c>
      <c r="M447" s="60">
        <f t="shared" si="72"/>
        <v>1.1463567283099083E-5</v>
      </c>
      <c r="N447" s="60">
        <f t="shared" si="73"/>
        <v>2.8157654367140601E-5</v>
      </c>
      <c r="O447" s="60">
        <f t="shared" si="74"/>
        <v>8.7459465704743382E-6</v>
      </c>
      <c r="P447" s="60">
        <f t="shared" si="75"/>
        <v>2.7444781022930662E-5</v>
      </c>
      <c r="Q447" s="60">
        <f t="shared" si="76"/>
        <v>2.3225454949270187E-5</v>
      </c>
      <c r="R447" s="60">
        <f t="shared" si="77"/>
        <v>9.220757207868303E-6</v>
      </c>
    </row>
    <row r="448" spans="1:18" x14ac:dyDescent="0.3">
      <c r="A448">
        <f>'Parm VaR Eq Weights'!B447</f>
        <v>7.1153453522336747E-4</v>
      </c>
      <c r="B448">
        <f>'Parm VaR Eq Weights'!C447</f>
        <v>-9.3247219480378576E-3</v>
      </c>
      <c r="C448">
        <f>'Parm VaR Eq Weights'!D447</f>
        <v>-2.8481710639335573E-3</v>
      </c>
      <c r="D448">
        <f>'Parm VaR Eq Weights'!E447</f>
        <v>-6.2374468187531154E-3</v>
      </c>
      <c r="H448" s="60">
        <f t="shared" si="68"/>
        <v>3.4561461683300954E-5</v>
      </c>
      <c r="I448" s="60">
        <f t="shared" si="69"/>
        <v>1.1413436187959995E-4</v>
      </c>
      <c r="J448" s="60">
        <f t="shared" si="70"/>
        <v>6.3573483091597862E-5</v>
      </c>
      <c r="K448" s="60">
        <f t="shared" si="71"/>
        <v>6.9355376779928142E-5</v>
      </c>
      <c r="M448" s="60">
        <f t="shared" si="72"/>
        <v>9.062892425290263E-6</v>
      </c>
      <c r="N448" s="60">
        <f t="shared" si="73"/>
        <v>2.6834346370078951E-5</v>
      </c>
      <c r="O448" s="60">
        <f t="shared" si="74"/>
        <v>8.6781871199420359E-6</v>
      </c>
      <c r="P448" s="60">
        <f t="shared" si="75"/>
        <v>2.1528376565093751E-5</v>
      </c>
      <c r="Q448" s="60">
        <f t="shared" si="76"/>
        <v>1.6502847060191943E-5</v>
      </c>
      <c r="R448" s="60">
        <f t="shared" si="77"/>
        <v>9.8066875777699519E-6</v>
      </c>
    </row>
    <row r="449" spans="1:18" x14ac:dyDescent="0.3">
      <c r="A449">
        <f>'Parm VaR Eq Weights'!B448</f>
        <v>8.3704282018183822E-4</v>
      </c>
      <c r="B449">
        <f>'Parm VaR Eq Weights'!C448</f>
        <v>1.1285283566753701E-4</v>
      </c>
      <c r="C449">
        <f>'Parm VaR Eq Weights'!D448</f>
        <v>-5.8437776240834348E-3</v>
      </c>
      <c r="D449">
        <f>'Parm VaR Eq Weights'!E448</f>
        <v>-1.1495677199729711E-2</v>
      </c>
      <c r="H449" s="60">
        <f t="shared" si="68"/>
        <v>3.2518150865991828E-5</v>
      </c>
      <c r="I449" s="60">
        <f t="shared" si="69"/>
        <v>1.1250332653131708E-4</v>
      </c>
      <c r="J449" s="60">
        <f t="shared" si="70"/>
        <v>6.0245798810667695E-5</v>
      </c>
      <c r="K449" s="60">
        <f t="shared" si="71"/>
        <v>6.7528398742138857E-5</v>
      </c>
      <c r="M449" s="60">
        <f t="shared" si="72"/>
        <v>8.1210271779297902E-6</v>
      </c>
      <c r="N449" s="60">
        <f t="shared" si="73"/>
        <v>2.5102691263421454E-5</v>
      </c>
      <c r="O449" s="60">
        <f t="shared" si="74"/>
        <v>7.8912063633557956E-6</v>
      </c>
      <c r="P449" s="60">
        <f t="shared" si="75"/>
        <v>2.1830178165085779E-5</v>
      </c>
      <c r="Q449" s="60">
        <f t="shared" si="76"/>
        <v>1.9002423671613192E-5</v>
      </c>
      <c r="R449" s="60">
        <f t="shared" si="77"/>
        <v>1.0284205255623579E-5</v>
      </c>
    </row>
    <row r="450" spans="1:18" x14ac:dyDescent="0.3">
      <c r="A450">
        <f>'Parm VaR Eq Weights'!B449</f>
        <v>7.6954879660702273E-3</v>
      </c>
      <c r="B450">
        <f>'Parm VaR Eq Weights'!C449</f>
        <v>1.3462766864456098E-2</v>
      </c>
      <c r="C450">
        <f>'Parm VaR Eq Weights'!D449</f>
        <v>3.7551393732888601E-3</v>
      </c>
      <c r="D450">
        <f>'Parm VaR Eq Weights'!E449</f>
        <v>-1.2526870469254072E-2</v>
      </c>
      <c r="H450" s="60">
        <f t="shared" si="68"/>
        <v>3.0609100255001395E-5</v>
      </c>
      <c r="I450" s="60">
        <f t="shared" si="69"/>
        <v>1.0575389108518915E-4</v>
      </c>
      <c r="J450" s="60">
        <f t="shared" si="70"/>
        <v>5.8680035097211928E-5</v>
      </c>
      <c r="K450" s="60">
        <f t="shared" si="71"/>
        <v>7.1405730474433666E-5</v>
      </c>
      <c r="M450" s="60">
        <f t="shared" si="72"/>
        <v>7.639433306603962E-6</v>
      </c>
      <c r="N450" s="60">
        <f t="shared" si="73"/>
        <v>2.3303040261437468E-5</v>
      </c>
      <c r="O450" s="60">
        <f t="shared" si="74"/>
        <v>6.8403915377647376E-6</v>
      </c>
      <c r="P450" s="60">
        <f t="shared" si="75"/>
        <v>2.0480798262627332E-5</v>
      </c>
      <c r="Q450" s="60">
        <f t="shared" si="76"/>
        <v>1.7784439065121911E-5</v>
      </c>
      <c r="R450" s="60">
        <f t="shared" si="77"/>
        <v>1.3697843811894164E-5</v>
      </c>
    </row>
    <row r="451" spans="1:18" x14ac:dyDescent="0.3">
      <c r="A451">
        <f>'Parm VaR Eq Weights'!B450</f>
        <v>5.0315274658958907E-4</v>
      </c>
      <c r="B451">
        <f>'Parm VaR Eq Weights'!C450</f>
        <v>1.6771847465169035E-2</v>
      </c>
      <c r="C451">
        <f>'Parm VaR Eq Weights'!D450</f>
        <v>-6.2896637711981477E-4</v>
      </c>
      <c r="D451">
        <f>'Parm VaR Eq Weights'!E450</f>
        <v>6.1259056824674958E-3</v>
      </c>
      <c r="H451" s="60">
        <f t="shared" si="68"/>
        <v>3.2325786341857215E-5</v>
      </c>
      <c r="I451" s="60">
        <f t="shared" si="69"/>
        <v>1.1028342311887962E-4</v>
      </c>
      <c r="J451" s="60">
        <f t="shared" si="70"/>
        <v>5.600529729414866E-5</v>
      </c>
      <c r="K451" s="60">
        <f t="shared" si="71"/>
        <v>7.6536735671175834E-5</v>
      </c>
      <c r="M451" s="60">
        <f t="shared" si="72"/>
        <v>1.3397220931933583E-5</v>
      </c>
      <c r="N451" s="60">
        <f t="shared" si="73"/>
        <v>2.3638715637234872E-5</v>
      </c>
      <c r="O451" s="60">
        <f t="shared" si="74"/>
        <v>6.4594518857893437E-7</v>
      </c>
      <c r="P451" s="60">
        <f t="shared" si="75"/>
        <v>2.2285224322437359E-5</v>
      </c>
      <c r="Q451" s="60">
        <f t="shared" si="76"/>
        <v>6.5985925210861459E-6</v>
      </c>
      <c r="R451" s="60">
        <f t="shared" si="77"/>
        <v>1.0053564511789383E-5</v>
      </c>
    </row>
    <row r="452" spans="1:18" x14ac:dyDescent="0.3">
      <c r="A452">
        <f>'Parm VaR Eq Weights'!B451</f>
        <v>-5.9259423606268112E-4</v>
      </c>
      <c r="B452">
        <f>'Parm VaR Eq Weights'!C451</f>
        <v>-7.536462220656558E-3</v>
      </c>
      <c r="C452">
        <f>'Parm VaR Eq Weights'!D451</f>
        <v>3.7020721710311704E-3</v>
      </c>
      <c r="D452">
        <f>'Parm VaR Eq Weights'!E451</f>
        <v>2.3856135679593575E-3</v>
      </c>
      <c r="H452" s="60">
        <f t="shared" si="68"/>
        <v>3.040142892252982E-5</v>
      </c>
      <c r="I452" s="60">
        <f t="shared" si="69"/>
        <v>1.2054410977544067E-4</v>
      </c>
      <c r="J452" s="60">
        <f t="shared" si="70"/>
        <v>5.2668715378712571E-5</v>
      </c>
      <c r="K452" s="60">
        <f t="shared" si="71"/>
        <v>7.4196134756734531E-5</v>
      </c>
      <c r="M452" s="60">
        <f t="shared" si="72"/>
        <v>1.3099715743066455E-5</v>
      </c>
      <c r="N452" s="60">
        <f t="shared" si="73"/>
        <v>2.2201404729391158E-5</v>
      </c>
      <c r="O452" s="60">
        <f t="shared" si="74"/>
        <v>7.9212445343313589E-7</v>
      </c>
      <c r="P452" s="60">
        <f t="shared" si="75"/>
        <v>2.0315175174824707E-5</v>
      </c>
      <c r="Q452" s="60">
        <f t="shared" si="76"/>
        <v>1.2367242311362405E-5</v>
      </c>
      <c r="R452" s="60">
        <f t="shared" si="77"/>
        <v>9.2191713188612624E-6</v>
      </c>
    </row>
    <row r="453" spans="1:18" x14ac:dyDescent="0.3">
      <c r="A453">
        <f>'Parm VaR Eq Weights'!B452</f>
        <v>-3.7561843404612947E-3</v>
      </c>
      <c r="B453">
        <f>'Parm VaR Eq Weights'!C452</f>
        <v>-1.5720887206082629E-2</v>
      </c>
      <c r="C453">
        <f>'Parm VaR Eq Weights'!D452</f>
        <v>-2.6024176121426136E-3</v>
      </c>
      <c r="D453">
        <f>'Parm VaR Eq Weights'!E452</f>
        <v>-2.609970709259034E-3</v>
      </c>
      <c r="H453" s="60">
        <f t="shared" si="68"/>
        <v>2.8598413262894913E-5</v>
      </c>
      <c r="I453" s="60">
        <f t="shared" si="69"/>
        <v>1.1671935895711725E-4</v>
      </c>
      <c r="J453" s="60">
        <f t="shared" si="70"/>
        <v>5.0330912757561219E-5</v>
      </c>
      <c r="K453" s="60">
        <f t="shared" si="71"/>
        <v>7.0085835797068359E-5</v>
      </c>
      <c r="M453" s="60">
        <f t="shared" si="72"/>
        <v>1.258169664281838E-5</v>
      </c>
      <c r="N453" s="60">
        <f t="shared" si="73"/>
        <v>2.073769084782522E-5</v>
      </c>
      <c r="O453" s="60">
        <f t="shared" si="74"/>
        <v>6.5977493523640906E-7</v>
      </c>
      <c r="P453" s="60">
        <f t="shared" si="75"/>
        <v>1.7422233041027997E-5</v>
      </c>
      <c r="Q453" s="60">
        <f t="shared" si="76"/>
        <v>1.0546462580999976E-5</v>
      </c>
      <c r="R453" s="60">
        <f t="shared" si="77"/>
        <v>9.1959238557761898E-6</v>
      </c>
    </row>
    <row r="454" spans="1:18" x14ac:dyDescent="0.3">
      <c r="A454">
        <f>'Parm VaR Eq Weights'!B453</f>
        <v>-1.582752250866146E-3</v>
      </c>
      <c r="B454">
        <f>'Parm VaR Eq Weights'!C453</f>
        <v>4.843760006438512E-3</v>
      </c>
      <c r="C454">
        <f>'Parm VaR Eq Weights'!D453</f>
        <v>-1.3730794045123498E-3</v>
      </c>
      <c r="D454">
        <f>'Parm VaR Eq Weights'!E453</f>
        <v>1.126675368748343E-2</v>
      </c>
      <c r="H454" s="60">
        <f t="shared" ref="H454:H504" si="78">H453*$F$3+A453^2*(1-$F$3)</f>
        <v>2.7729043715092816E-5</v>
      </c>
      <c r="I454" s="60">
        <f t="shared" ref="I454:I504" si="79">I453*$F$3+B453^2*(1-$F$3)</f>
        <v>1.2454497509247256E-4</v>
      </c>
      <c r="J454" s="60">
        <f t="shared" ref="J454:J504" si="80">J453*$F$3+C453^2*(1-$F$3)</f>
        <v>4.7717412637786947E-5</v>
      </c>
      <c r="K454" s="60">
        <f t="shared" ref="K454:K504" si="81">K453*$F$3+D453^2*(1-$F$3)</f>
        <v>6.6289402475435658E-5</v>
      </c>
      <c r="M454" s="60">
        <f t="shared" ref="M454:M504" si="82">M453*$F$3+A453*B453*(1-$F$3)</f>
        <v>1.5369827864748032E-5</v>
      </c>
      <c r="N454" s="60">
        <f t="shared" ref="N454:N504" si="83">N453*$F$3+A453*C453*(1-$F$3)</f>
        <v>2.0079939013879953E-5</v>
      </c>
      <c r="O454" s="60">
        <f t="shared" ref="O454:O504" si="84">O453*$F$3+A453*D453*(1-$F$3)</f>
        <v>1.2084003055531116E-6</v>
      </c>
      <c r="P454" s="60">
        <f t="shared" ref="P454:P504" si="85">P453*$F$3+B453*C453*(1-$F$3)</f>
        <v>1.8831637883183337E-5</v>
      </c>
      <c r="Q454" s="60">
        <f t="shared" ref="Q454:Q504" si="86">Q453*$F$3+B453*D453*(1-$F$3)</f>
        <v>1.2375538134026424E-5</v>
      </c>
      <c r="R454" s="60">
        <f t="shared" ref="R454:R504" si="87">R453*$F$3+C453*D453*(1-$F$3)</f>
        <v>9.0517024488867424E-6</v>
      </c>
    </row>
    <row r="455" spans="1:18" x14ac:dyDescent="0.3">
      <c r="A455">
        <f>'Parm VaR Eq Weights'!B454</f>
        <v>2.1749356912356562E-3</v>
      </c>
      <c r="B455">
        <f>'Parm VaR Eq Weights'!C454</f>
        <v>1.4963631763199701E-2</v>
      </c>
      <c r="C455">
        <f>'Parm VaR Eq Weights'!D454</f>
        <v>1.2691236210401638E-3</v>
      </c>
      <c r="D455">
        <f>'Parm VaR Eq Weights'!E454</f>
        <v>3.9032657376037666E-3</v>
      </c>
      <c r="H455" s="60">
        <f t="shared" si="78"/>
        <v>2.6215607373444557E-5</v>
      </c>
      <c r="I455" s="60">
        <f t="shared" si="79"/>
        <v>1.184799972469226E-4</v>
      </c>
      <c r="J455" s="60">
        <f t="shared" si="80"/>
        <v>4.4967488702585491E-5</v>
      </c>
      <c r="K455" s="60">
        <f t="shared" si="81"/>
        <v>6.9928422646174811E-5</v>
      </c>
      <c r="M455" s="60">
        <f t="shared" si="82"/>
        <v>1.398764986969239E-5</v>
      </c>
      <c r="N455" s="60">
        <f t="shared" si="83"/>
        <v>1.9005537344133746E-5</v>
      </c>
      <c r="O455" s="60">
        <f t="shared" si="84"/>
        <v>6.5947501690792975E-8</v>
      </c>
      <c r="P455" s="60">
        <f t="shared" si="85"/>
        <v>1.7302687583877853E-5</v>
      </c>
      <c r="Q455" s="60">
        <f t="shared" si="86"/>
        <v>1.4907412900814393E-5</v>
      </c>
      <c r="R455" s="60">
        <f t="shared" si="87"/>
        <v>7.5803914553137125E-6</v>
      </c>
    </row>
    <row r="456" spans="1:18" x14ac:dyDescent="0.3">
      <c r="A456">
        <f>'Parm VaR Eq Weights'!B455</f>
        <v>7.5072915088997107E-3</v>
      </c>
      <c r="B456">
        <f>'Parm VaR Eq Weights'!C455</f>
        <v>-2.9310942282319025E-3</v>
      </c>
      <c r="C456">
        <f>'Parm VaR Eq Weights'!D455</f>
        <v>5.3634819640750505E-3</v>
      </c>
      <c r="D456">
        <f>'Parm VaR Eq Weights'!E455</f>
        <v>2.3454403037724638E-2</v>
      </c>
      <c r="H456" s="60">
        <f t="shared" si="78"/>
        <v>2.4926491646698527E-5</v>
      </c>
      <c r="I456" s="60">
        <f t="shared" si="79"/>
        <v>1.2480581394478559E-4</v>
      </c>
      <c r="J456" s="60">
        <f t="shared" si="80"/>
        <v>4.2366079866359288E-5</v>
      </c>
      <c r="K456" s="60">
        <f t="shared" si="81"/>
        <v>6.6646846292505406E-5</v>
      </c>
      <c r="M456" s="60">
        <f t="shared" si="82"/>
        <v>1.5101087085048282E-5</v>
      </c>
      <c r="N456" s="60">
        <f t="shared" si="83"/>
        <v>1.8030820839085151E-5</v>
      </c>
      <c r="O456" s="60">
        <f t="shared" si="84"/>
        <v>5.7135176949484787E-7</v>
      </c>
      <c r="P456" s="60">
        <f t="shared" si="85"/>
        <v>1.74039682404786E-5</v>
      </c>
      <c r="Q456" s="60">
        <f t="shared" si="86"/>
        <v>1.7517389997050542E-5</v>
      </c>
      <c r="R456" s="60">
        <f t="shared" si="87"/>
        <v>7.4227915728022722E-6</v>
      </c>
    </row>
    <row r="457" spans="1:18" x14ac:dyDescent="0.3">
      <c r="A457">
        <f>'Parm VaR Eq Weights'!B456</f>
        <v>2.1955704021284946E-3</v>
      </c>
      <c r="B457">
        <f>'Parm VaR Eq Weights'!C456</f>
        <v>1.4891951122748676E-3</v>
      </c>
      <c r="C457">
        <f>'Parm VaR Eq Weights'!D456</f>
        <v>-4.5517974923205183E-3</v>
      </c>
      <c r="D457">
        <f>'Parm VaR Eq Weights'!E456</f>
        <v>-1.4522644636027033E-3</v>
      </c>
      <c r="H457" s="60">
        <f t="shared" si="78"/>
        <v>2.6812467695872478E-5</v>
      </c>
      <c r="I457" s="60">
        <f t="shared" si="79"/>
        <v>1.1783294391058491E-4</v>
      </c>
      <c r="J457" s="60">
        <f t="shared" si="80"/>
        <v>4.1550131401115236E-5</v>
      </c>
      <c r="K457" s="60">
        <f t="shared" si="81"/>
        <v>9.5654576826316708E-5</v>
      </c>
      <c r="M457" s="60">
        <f t="shared" si="82"/>
        <v>1.2874747131261964E-5</v>
      </c>
      <c r="N457" s="60">
        <f t="shared" si="83"/>
        <v>1.9364884945162288E-5</v>
      </c>
      <c r="O457" s="60">
        <f t="shared" si="84"/>
        <v>1.1101813109610473E-5</v>
      </c>
      <c r="P457" s="60">
        <f t="shared" si="85"/>
        <v>1.5416477884362307E-5</v>
      </c>
      <c r="Q457" s="60">
        <f t="shared" si="86"/>
        <v>1.2341522674997537E-5</v>
      </c>
      <c r="R457" s="60">
        <f t="shared" si="87"/>
        <v>1.4525260138693133E-5</v>
      </c>
    </row>
    <row r="458" spans="1:18" x14ac:dyDescent="0.3">
      <c r="A458">
        <f>'Parm VaR Eq Weights'!B457</f>
        <v>4.1744242725764037E-3</v>
      </c>
      <c r="B458">
        <f>'Parm VaR Eq Weights'!C457</f>
        <v>-2.2360143577948269E-3</v>
      </c>
      <c r="C458">
        <f>'Parm VaR Eq Weights'!D457</f>
        <v>2.9155141643882406E-3</v>
      </c>
      <c r="D458">
        <f>'Parm VaR Eq Weights'!E457</f>
        <v>-8.7872733794913099E-3</v>
      </c>
      <c r="H458" s="60">
        <f t="shared" si="78"/>
        <v>2.549295139756229E-5</v>
      </c>
      <c r="I458" s="60">
        <f t="shared" si="79"/>
        <v>1.1089602940089521E-4</v>
      </c>
      <c r="J458" s="60">
        <f t="shared" si="80"/>
        <v>4.0300255141714041E-5</v>
      </c>
      <c r="K458" s="60">
        <f t="shared" si="81"/>
        <v>9.0041846541072295E-5</v>
      </c>
      <c r="M458" s="60">
        <f t="shared" si="82"/>
        <v>1.2298440266076552E-5</v>
      </c>
      <c r="N458" s="60">
        <f t="shared" si="83"/>
        <v>1.7603364337415252E-5</v>
      </c>
      <c r="O458" s="60">
        <f t="shared" si="84"/>
        <v>1.0244391390692898E-5</v>
      </c>
      <c r="P458" s="60">
        <f t="shared" si="85"/>
        <v>1.4084778336642844E-5</v>
      </c>
      <c r="Q458" s="60">
        <f t="shared" si="86"/>
        <v>1.1471269006042027E-5</v>
      </c>
      <c r="R458" s="60">
        <f t="shared" si="87"/>
        <v>1.4050369354988322E-5</v>
      </c>
    </row>
    <row r="459" spans="1:18" x14ac:dyDescent="0.3">
      <c r="A459">
        <f>'Parm VaR Eq Weights'!B458</f>
        <v>-4.0112199177813265E-3</v>
      </c>
      <c r="B459">
        <f>'Parm VaR Eq Weights'!C458</f>
        <v>-2.034824568613839E-2</v>
      </c>
      <c r="C459">
        <f>'Parm VaR Eq Weights'!D458</f>
        <v>-1.8547712078419575E-3</v>
      </c>
      <c r="D459">
        <f>'Parm VaR Eq Weights'!E458</f>
        <v>-1.5364570387420643E-2</v>
      </c>
      <c r="H459" s="60">
        <f t="shared" si="78"/>
        <v>2.5008923394157055E-5</v>
      </c>
      <c r="I459" s="60">
        <f t="shared" si="79"/>
        <v>1.0454225324933737E-4</v>
      </c>
      <c r="J459" s="60">
        <f t="shared" si="80"/>
        <v>3.8392253203776103E-5</v>
      </c>
      <c r="K459" s="60">
        <f t="shared" si="81"/>
        <v>8.9272306155362951E-5</v>
      </c>
      <c r="M459" s="60">
        <f t="shared" si="82"/>
        <v>1.1000489493571474E-5</v>
      </c>
      <c r="N459" s="60">
        <f t="shared" si="83"/>
        <v>1.7277398062862089E-5</v>
      </c>
      <c r="O459" s="60">
        <f t="shared" si="84"/>
        <v>7.4288194701445415E-6</v>
      </c>
      <c r="P459" s="60">
        <f t="shared" si="85"/>
        <v>1.2848543744528694E-5</v>
      </c>
      <c r="Q459" s="60">
        <f t="shared" si="86"/>
        <v>1.1961901032224156E-5</v>
      </c>
      <c r="R459" s="60">
        <f t="shared" si="87"/>
        <v>1.1670181993433502E-5</v>
      </c>
    </row>
    <row r="460" spans="1:18" x14ac:dyDescent="0.3">
      <c r="A460">
        <f>'Parm VaR Eq Weights'!B459</f>
        <v>-8.6310206281544431E-3</v>
      </c>
      <c r="B460">
        <f>'Parm VaR Eq Weights'!C459</f>
        <v>3.72840815332712E-3</v>
      </c>
      <c r="C460">
        <f>'Parm VaR Eq Weights'!D459</f>
        <v>-2.4172137712383797E-3</v>
      </c>
      <c r="D460">
        <f>'Parm VaR Eq Weights'!E459</f>
        <v>8.6017905793738525E-3</v>
      </c>
      <c r="H460" s="60">
        <f t="shared" si="78"/>
        <v>2.447378110423597E-5</v>
      </c>
      <c r="I460" s="60">
        <f t="shared" si="79"/>
        <v>1.2311278420458412E-4</v>
      </c>
      <c r="J460" s="60">
        <f t="shared" si="80"/>
        <v>3.6295128585555903E-5</v>
      </c>
      <c r="K460" s="60">
        <f t="shared" si="81"/>
        <v>9.808016917744138E-5</v>
      </c>
      <c r="M460" s="60">
        <f t="shared" si="82"/>
        <v>1.5237737427245966E-5</v>
      </c>
      <c r="N460" s="60">
        <f t="shared" si="83"/>
        <v>1.668714789179974E-5</v>
      </c>
      <c r="O460" s="60">
        <f t="shared" si="84"/>
        <v>1.0680930547906362E-5</v>
      </c>
      <c r="P460" s="60">
        <f t="shared" si="85"/>
        <v>1.4342111533581601E-5</v>
      </c>
      <c r="Q460" s="60">
        <f t="shared" si="86"/>
        <v>3.0002710156602826E-5</v>
      </c>
      <c r="R460" s="60">
        <f t="shared" si="87"/>
        <v>1.267983684035443E-5</v>
      </c>
    </row>
    <row r="461" spans="1:18" x14ac:dyDescent="0.3">
      <c r="A461">
        <f>'Parm VaR Eq Weights'!B460</f>
        <v>-6.6380951110170793E-3</v>
      </c>
      <c r="B461">
        <f>'Parm VaR Eq Weights'!C460</f>
        <v>-2.0200599809677713E-3</v>
      </c>
      <c r="C461">
        <f>'Parm VaR Eq Weights'!D460</f>
        <v>-1.5808781893944183E-2</v>
      </c>
      <c r="D461">
        <f>'Parm VaR Eq Weights'!E460</f>
        <v>-1.5023745147784193E-2</v>
      </c>
      <c r="H461" s="60">
        <f t="shared" si="78"/>
        <v>2.7475025262999467E-5</v>
      </c>
      <c r="I461" s="60">
        <f t="shared" si="79"/>
        <v>1.1656007879377684E-4</v>
      </c>
      <c r="J461" s="60">
        <f t="shared" si="80"/>
        <v>3.4467996215374415E-5</v>
      </c>
      <c r="K461" s="60">
        <f t="shared" si="81"/>
        <v>9.6634807097079176E-5</v>
      </c>
      <c r="M461" s="60">
        <f t="shared" si="82"/>
        <v>1.2392675120718469E-5</v>
      </c>
      <c r="N461" s="60">
        <f t="shared" si="83"/>
        <v>1.6937700333624803E-5</v>
      </c>
      <c r="O461" s="60">
        <f t="shared" si="84"/>
        <v>5.5855407992535589E-6</v>
      </c>
      <c r="P461" s="60">
        <f t="shared" si="85"/>
        <v>1.2940843269585517E-5</v>
      </c>
      <c r="Q461" s="60">
        <f t="shared" si="86"/>
        <v>3.012680671496765E-5</v>
      </c>
      <c r="R461" s="60">
        <f t="shared" si="87"/>
        <v>1.0671504631186899E-5</v>
      </c>
    </row>
    <row r="462" spans="1:18" x14ac:dyDescent="0.3">
      <c r="A462">
        <f>'Parm VaR Eq Weights'!B461</f>
        <v>6.3235676030824785E-3</v>
      </c>
      <c r="B462">
        <f>'Parm VaR Eq Weights'!C461</f>
        <v>-1.2456386167849269E-2</v>
      </c>
      <c r="C462">
        <f>'Parm VaR Eq Weights'!D461</f>
        <v>2.3513630004090721E-3</v>
      </c>
      <c r="D462">
        <f>'Parm VaR Eq Weights'!E461</f>
        <v>-8.6223871070745198E-3</v>
      </c>
      <c r="H462" s="60">
        <f t="shared" si="78"/>
        <v>2.8470382149394028E-5</v>
      </c>
      <c r="I462" s="60">
        <f t="shared" si="79"/>
        <v>1.0981131260575267E-4</v>
      </c>
      <c r="J462" s="60">
        <f t="shared" si="80"/>
        <v>4.7394971540669807E-5</v>
      </c>
      <c r="K462" s="60">
        <f t="shared" si="81"/>
        <v>1.0437949376718858E-4</v>
      </c>
      <c r="M462" s="60">
        <f t="shared" si="82"/>
        <v>1.2453675630492766E-5</v>
      </c>
      <c r="N462" s="60">
        <f t="shared" si="83"/>
        <v>2.2217850181686893E-5</v>
      </c>
      <c r="O462" s="60">
        <f t="shared" si="84"/>
        <v>1.1234151304178721E-5</v>
      </c>
      <c r="P462" s="60">
        <f t="shared" si="85"/>
        <v>1.4080473932518658E-5</v>
      </c>
      <c r="Q462" s="60">
        <f t="shared" si="86"/>
        <v>3.0140130292307447E-5</v>
      </c>
      <c r="R462" s="60">
        <f t="shared" si="87"/>
        <v>2.4281640969607049E-5</v>
      </c>
    </row>
    <row r="463" spans="1:18" x14ac:dyDescent="0.3">
      <c r="A463">
        <f>'Parm VaR Eq Weights'!B462</f>
        <v>1.5002512191744722E-3</v>
      </c>
      <c r="B463">
        <f>'Parm VaR Eq Weights'!C462</f>
        <v>5.9272194580198166E-3</v>
      </c>
      <c r="C463">
        <f>'Parm VaR Eq Weights'!D462</f>
        <v>1.4664741388816923E-2</v>
      </c>
      <c r="D463">
        <f>'Parm VaR Eq Weights'!E462</f>
        <v>4.6057533402641768E-3</v>
      </c>
      <c r="H463" s="60">
        <f t="shared" si="78"/>
        <v>2.9161409654275645E-5</v>
      </c>
      <c r="I463" s="60">
        <f t="shared" si="79"/>
        <v>1.125323272311627E-4</v>
      </c>
      <c r="J463" s="60">
        <f t="shared" si="80"/>
        <v>4.4883007725811178E-5</v>
      </c>
      <c r="K463" s="60">
        <f t="shared" si="81"/>
        <v>1.0257745770661195E-4</v>
      </c>
      <c r="M463" s="60">
        <f t="shared" si="82"/>
        <v>6.9803270913134149E-6</v>
      </c>
      <c r="N463" s="60">
        <f t="shared" si="83"/>
        <v>2.1776919344334096E-5</v>
      </c>
      <c r="O463" s="60">
        <f t="shared" si="84"/>
        <v>7.2886473596360442E-6</v>
      </c>
      <c r="P463" s="60">
        <f t="shared" si="85"/>
        <v>1.147827636333425E-5</v>
      </c>
      <c r="Q463" s="60">
        <f t="shared" si="86"/>
        <v>3.4775949484433302E-5</v>
      </c>
      <c r="R463" s="60">
        <f t="shared" si="87"/>
        <v>2.1608280790303867E-5</v>
      </c>
    </row>
    <row r="464" spans="1:18" x14ac:dyDescent="0.3">
      <c r="A464">
        <f>'Parm VaR Eq Weights'!B463</f>
        <v>9.1357241770398407E-3</v>
      </c>
      <c r="B464">
        <f>'Parm VaR Eq Weights'!C463</f>
        <v>1.0730810497858184E-2</v>
      </c>
      <c r="C464">
        <f>'Parm VaR Eq Weights'!D463</f>
        <v>-3.1242349928713416E-3</v>
      </c>
      <c r="D464">
        <f>'Parm VaR Eq Weights'!E463</f>
        <v>4.9387271160776201E-3</v>
      </c>
      <c r="H464" s="60">
        <f t="shared" si="78"/>
        <v>2.7546770298257173E-5</v>
      </c>
      <c r="I464" s="60">
        <f t="shared" si="79"/>
        <v>1.0788830342750466E-4</v>
      </c>
      <c r="J464" s="60">
        <f t="shared" si="80"/>
        <v>5.5093305662315319E-5</v>
      </c>
      <c r="K464" s="60">
        <f t="shared" si="81"/>
        <v>9.7695588074096519E-5</v>
      </c>
      <c r="M464" s="60">
        <f t="shared" si="82"/>
        <v>7.0950465589271432E-6</v>
      </c>
      <c r="N464" s="60">
        <f t="shared" si="83"/>
        <v>2.1790351952521106E-5</v>
      </c>
      <c r="O464" s="60">
        <f t="shared" si="84"/>
        <v>7.2659157418947755E-6</v>
      </c>
      <c r="P464" s="60">
        <f t="shared" si="85"/>
        <v>1.6004848211931653E-5</v>
      </c>
      <c r="Q464" s="60">
        <f t="shared" si="86"/>
        <v>3.4327351164402521E-5</v>
      </c>
      <c r="R464" s="60">
        <f t="shared" si="87"/>
        <v>2.4364314841024866E-5</v>
      </c>
    </row>
    <row r="465" spans="1:18" x14ac:dyDescent="0.3">
      <c r="A465">
        <f>'Parm VaR Eq Weights'!B464</f>
        <v>-3.1628213389220711E-3</v>
      </c>
      <c r="B465">
        <f>'Parm VaR Eq Weights'!C464</f>
        <v>1.1478537158327148E-3</v>
      </c>
      <c r="C465">
        <f>'Parm VaR Eq Weights'!D464</f>
        <v>7.8375866127359649E-3</v>
      </c>
      <c r="D465">
        <f>'Parm VaR Eq Weights'!E464</f>
        <v>-2.01872124170807E-3</v>
      </c>
      <c r="H465" s="60">
        <f t="shared" si="78"/>
        <v>3.090165145469876E-5</v>
      </c>
      <c r="I465" s="60">
        <f t="shared" si="79"/>
        <v>1.0832402285831099E-4</v>
      </c>
      <c r="J465" s="60">
        <f t="shared" si="80"/>
        <v>5.2373357980017301E-5</v>
      </c>
      <c r="K465" s="60">
        <f t="shared" si="81"/>
        <v>9.3297314321275535E-5</v>
      </c>
      <c r="M465" s="60">
        <f t="shared" si="82"/>
        <v>1.2551367259662476E-5</v>
      </c>
      <c r="N465" s="60">
        <f t="shared" si="83"/>
        <v>1.8770401885822118E-5</v>
      </c>
      <c r="O465" s="60">
        <f t="shared" si="84"/>
        <v>9.5370917204702458E-6</v>
      </c>
      <c r="P465" s="60">
        <f t="shared" si="85"/>
        <v>1.3033022899658971E-5</v>
      </c>
      <c r="Q465" s="60">
        <f t="shared" si="86"/>
        <v>3.5447502781534127E-5</v>
      </c>
      <c r="R465" s="60">
        <f t="shared" si="87"/>
        <v>2.1976671305985834E-5</v>
      </c>
    </row>
    <row r="466" spans="1:18" x14ac:dyDescent="0.3">
      <c r="A466">
        <f>'Parm VaR Eq Weights'!B465</f>
        <v>-1.0969339668811192E-3</v>
      </c>
      <c r="B466">
        <f>'Parm VaR Eq Weights'!C465</f>
        <v>-2.1933164433580931E-3</v>
      </c>
      <c r="C466">
        <f>'Parm VaR Eq Weights'!D465</f>
        <v>-4.9885603380635472E-3</v>
      </c>
      <c r="D466">
        <f>'Parm VaR Eq Weights'!E465</f>
        <v>-9.6767788487824415E-4</v>
      </c>
      <c r="H466" s="60">
        <f t="shared" si="78"/>
        <v>2.9647758696733283E-5</v>
      </c>
      <c r="I466" s="60">
        <f t="shared" si="79"/>
        <v>1.0190363557598938E-4</v>
      </c>
      <c r="J466" s="60">
        <f t="shared" si="80"/>
        <v>5.2916622335944544E-5</v>
      </c>
      <c r="K466" s="60">
        <f t="shared" si="81"/>
        <v>8.7943989589102403E-5</v>
      </c>
      <c r="M466" s="60">
        <f t="shared" si="82"/>
        <v>1.1580457850498924E-5</v>
      </c>
      <c r="N466" s="60">
        <f t="shared" si="83"/>
        <v>1.6156844601608113E-5</v>
      </c>
      <c r="O466" s="60">
        <f t="shared" si="84"/>
        <v>9.3479574944786036E-6</v>
      </c>
      <c r="P466" s="60">
        <f t="shared" si="85"/>
        <v>1.2790825700674815E-5</v>
      </c>
      <c r="Q466" s="60">
        <f t="shared" si="86"/>
        <v>3.318162081393057E-5</v>
      </c>
      <c r="R466" s="60">
        <f t="shared" si="87"/>
        <v>1.9708756872895268E-5</v>
      </c>
    </row>
    <row r="467" spans="1:18" x14ac:dyDescent="0.3">
      <c r="A467">
        <f>'Parm VaR Eq Weights'!B466</f>
        <v>2.9081579500967189E-3</v>
      </c>
      <c r="B467">
        <f>'Parm VaR Eq Weights'!C466</f>
        <v>7.8985344489894398E-3</v>
      </c>
      <c r="C467">
        <f>'Parm VaR Eq Weights'!D466</f>
        <v>-5.9942747905152775E-4</v>
      </c>
      <c r="D467">
        <f>'Parm VaR Eq Weights'!E466</f>
        <v>4.1898643260127841E-4</v>
      </c>
      <c r="H467" s="60">
        <f t="shared" si="78"/>
        <v>2.7941089022591137E-5</v>
      </c>
      <c r="I467" s="60">
        <f t="shared" si="79"/>
        <v>9.6078055662672318E-5</v>
      </c>
      <c r="J467" s="60">
        <f t="shared" si="80"/>
        <v>5.1234769050577911E-5</v>
      </c>
      <c r="K467" s="60">
        <f t="shared" si="81"/>
        <v>8.2723534243089208E-5</v>
      </c>
      <c r="M467" s="60">
        <f t="shared" si="82"/>
        <v>1.1029985777879292E-5</v>
      </c>
      <c r="N467" s="60">
        <f t="shared" si="83"/>
        <v>1.5515761202351097E-5</v>
      </c>
      <c r="O467" s="60">
        <f t="shared" si="84"/>
        <v>8.8507687692652455E-6</v>
      </c>
      <c r="P467" s="60">
        <f t="shared" si="85"/>
        <v>1.2679865643723854E-5</v>
      </c>
      <c r="Q467" s="60">
        <f t="shared" si="86"/>
        <v>3.1318068994101381E-5</v>
      </c>
      <c r="R467" s="60">
        <f t="shared" si="87"/>
        <v>1.8815870631513042E-5</v>
      </c>
    </row>
    <row r="468" spans="1:18" x14ac:dyDescent="0.3">
      <c r="A468">
        <f>'Parm VaR Eq Weights'!B467</f>
        <v>8.5752256005007989E-3</v>
      </c>
      <c r="B468">
        <f>'Parm VaR Eq Weights'!C467</f>
        <v>1.3087082515957481E-2</v>
      </c>
      <c r="C468">
        <f>'Parm VaR Eq Weights'!D467</f>
        <v>6.2674138373104626E-3</v>
      </c>
      <c r="D468">
        <f>'Parm VaR Eq Weights'!E467</f>
        <v>6.4375882527896002E-3</v>
      </c>
      <c r="H468" s="60">
        <f t="shared" si="78"/>
        <v>2.677206664099831E-5</v>
      </c>
      <c r="I468" s="60">
        <f t="shared" si="79"/>
        <v>9.4056583109424361E-5</v>
      </c>
      <c r="J468" s="60">
        <f t="shared" si="80"/>
        <v>4.8182241705701752E-5</v>
      </c>
      <c r="K468" s="60">
        <f t="shared" si="81"/>
        <v>7.7770655166346084E-5</v>
      </c>
      <c r="M468" s="60">
        <f t="shared" si="82"/>
        <v>1.1746397776323021E-5</v>
      </c>
      <c r="N468" s="60">
        <f t="shared" si="83"/>
        <v>1.4480221742887422E-5</v>
      </c>
      <c r="O468" s="60">
        <f t="shared" si="84"/>
        <v>8.3928313666064561E-6</v>
      </c>
      <c r="P468" s="60">
        <f t="shared" si="85"/>
        <v>1.1634997789522859E-5</v>
      </c>
      <c r="Q468" s="60">
        <f t="shared" si="86"/>
        <v>2.963754758074892E-5</v>
      </c>
      <c r="R468" s="60">
        <f t="shared" si="87"/>
        <v>1.7671849274759202E-5</v>
      </c>
    </row>
    <row r="469" spans="1:18" x14ac:dyDescent="0.3">
      <c r="A469">
        <f>'Parm VaR Eq Weights'!B468</f>
        <v>7.2581951815607588E-5</v>
      </c>
      <c r="B469">
        <f>'Parm VaR Eq Weights'!C468</f>
        <v>2.5695174024455415E-2</v>
      </c>
      <c r="C469">
        <f>'Parm VaR Eq Weights'!D468</f>
        <v>3.0810012856432641E-3</v>
      </c>
      <c r="D469">
        <f>'Parm VaR Eq Weights'!E468</f>
        <v>2.126694996546652E-2</v>
      </c>
      <c r="H469" s="60">
        <f t="shared" si="78"/>
        <v>2.9577812288507471E-5</v>
      </c>
      <c r="I469" s="60">
        <f t="shared" si="79"/>
        <v>9.8689491849627707E-5</v>
      </c>
      <c r="J469" s="60">
        <f t="shared" si="80"/>
        <v>4.7648135775846284E-5</v>
      </c>
      <c r="K469" s="60">
        <f t="shared" si="81"/>
        <v>7.5590968407112597E-5</v>
      </c>
      <c r="M469" s="60">
        <f t="shared" si="82"/>
        <v>1.7775095011345944E-5</v>
      </c>
      <c r="N469" s="60">
        <f t="shared" si="83"/>
        <v>1.6836077693512437E-5</v>
      </c>
      <c r="O469" s="60">
        <f t="shared" si="84"/>
        <v>1.1201487780058346E-5</v>
      </c>
      <c r="P469" s="60">
        <f t="shared" si="85"/>
        <v>1.5858227645183638E-5</v>
      </c>
      <c r="Q469" s="60">
        <f t="shared" si="86"/>
        <v>3.2914249645984952E-5</v>
      </c>
      <c r="R469" s="60">
        <f t="shared" si="87"/>
        <v>1.9032360099940101E-5</v>
      </c>
    </row>
    <row r="470" spans="1:18" x14ac:dyDescent="0.3">
      <c r="A470">
        <f>'Parm VaR Eq Weights'!B469</f>
        <v>7.1477851709664982E-3</v>
      </c>
      <c r="B470">
        <f>'Parm VaR Eq Weights'!C469</f>
        <v>-6.4891462335147686E-3</v>
      </c>
      <c r="C470">
        <f>'Parm VaR Eq Weights'!D469</f>
        <v>5.0714634375411084E-3</v>
      </c>
      <c r="D470">
        <f>'Parm VaR Eq Weights'!E469</f>
        <v>-3.5910223253946146E-3</v>
      </c>
      <c r="H470" s="60">
        <f t="shared" si="78"/>
        <v>2.7803459639580786E-5</v>
      </c>
      <c r="I470" s="60">
        <f t="shared" si="79"/>
        <v>1.3238264042747297E-4</v>
      </c>
      <c r="J470" s="60">
        <f t="shared" si="80"/>
        <v>4.5358801764623627E-5</v>
      </c>
      <c r="K470" s="60">
        <f t="shared" si="81"/>
        <v>9.819249995270525E-5</v>
      </c>
      <c r="M470" s="60">
        <f t="shared" si="82"/>
        <v>1.6820489663641389E-5</v>
      </c>
      <c r="N470" s="60">
        <f t="shared" si="83"/>
        <v>1.5839330537113192E-5</v>
      </c>
      <c r="O470" s="60">
        <f t="shared" si="84"/>
        <v>1.062201431751435E-5</v>
      </c>
      <c r="P470" s="60">
        <f t="shared" si="85"/>
        <v>1.9656745838723094E-5</v>
      </c>
      <c r="Q470" s="60">
        <f t="shared" si="86"/>
        <v>6.3726873487148774E-5</v>
      </c>
      <c r="R470" s="60">
        <f t="shared" si="87"/>
        <v>2.1821828505062499E-5</v>
      </c>
    </row>
    <row r="471" spans="1:18" x14ac:dyDescent="0.3">
      <c r="A471">
        <f>'Parm VaR Eq Weights'!B470</f>
        <v>3.3529242708775156E-4</v>
      </c>
      <c r="B471">
        <f>'Parm VaR Eq Weights'!C470</f>
        <v>1.2200814229680376E-2</v>
      </c>
      <c r="C471">
        <f>'Parm VaR Eq Weights'!D470</f>
        <v>4.9599146727653436E-3</v>
      </c>
      <c r="D471">
        <f>'Parm VaR Eq Weights'!E470</f>
        <v>-5.2847821556841496E-3</v>
      </c>
      <c r="H471" s="60">
        <f t="shared" si="78"/>
        <v>2.9200702032223253E-5</v>
      </c>
      <c r="I471" s="60">
        <f t="shared" si="79"/>
        <v>1.2696622313222093E-4</v>
      </c>
      <c r="J471" s="60">
        <f t="shared" si="80"/>
        <v>4.4180458142645187E-5</v>
      </c>
      <c r="K471" s="60">
        <f t="shared" si="81"/>
        <v>9.3074676436031886E-5</v>
      </c>
      <c r="M471" s="60">
        <f t="shared" si="82"/>
        <v>1.3028278890613904E-5</v>
      </c>
      <c r="N471" s="60">
        <f t="shared" si="83"/>
        <v>1.7063954574123708E-5</v>
      </c>
      <c r="O471" s="60">
        <f t="shared" si="84"/>
        <v>8.4446220908995717E-6</v>
      </c>
      <c r="P471" s="60">
        <f t="shared" si="85"/>
        <v>1.650277301655204E-5</v>
      </c>
      <c r="Q471" s="60">
        <f t="shared" si="86"/>
        <v>6.1301421217757954E-5</v>
      </c>
      <c r="R471" s="60">
        <f t="shared" si="87"/>
        <v>1.941981448916079E-5</v>
      </c>
    </row>
    <row r="472" spans="1:18" x14ac:dyDescent="0.3">
      <c r="A472">
        <f>'Parm VaR Eq Weights'!B471</f>
        <v>-4.3230018648399962E-4</v>
      </c>
      <c r="B472">
        <f>'Parm VaR Eq Weights'!C471</f>
        <v>1.4545474951303187E-3</v>
      </c>
      <c r="C472">
        <f>'Parm VaR Eq Weights'!D471</f>
        <v>-7.4161641665179542E-3</v>
      </c>
      <c r="D472">
        <f>'Parm VaR Eq Weights'!E471</f>
        <v>-9.5557303448028322E-3</v>
      </c>
      <c r="H472" s="60">
        <f t="shared" si="78"/>
        <v>2.7455405170989601E-5</v>
      </c>
      <c r="I472" s="60">
        <f t="shared" si="79"/>
        <v>1.2827984181631796E-4</v>
      </c>
      <c r="J472" s="60">
        <f t="shared" si="80"/>
        <v>4.3005675867753249E-5</v>
      </c>
      <c r="K472" s="60">
        <f t="shared" si="81"/>
        <v>8.9165931195852216E-5</v>
      </c>
      <c r="M472" s="60">
        <f t="shared" si="82"/>
        <v>1.2492032594108048E-5</v>
      </c>
      <c r="N472" s="60">
        <f t="shared" si="83"/>
        <v>1.6139898609403064E-5</v>
      </c>
      <c r="O472" s="60">
        <f t="shared" si="84"/>
        <v>7.8316279193090339E-6</v>
      </c>
      <c r="P472" s="60">
        <f t="shared" si="85"/>
        <v>1.9143506486607476E-5</v>
      </c>
      <c r="Q472" s="60">
        <f t="shared" si="86"/>
        <v>5.3754617225142545E-5</v>
      </c>
      <c r="R472" s="60">
        <f t="shared" si="87"/>
        <v>1.6681901506430364E-5</v>
      </c>
    </row>
    <row r="473" spans="1:18" x14ac:dyDescent="0.3">
      <c r="A473">
        <f>'Parm VaR Eq Weights'!B472</f>
        <v>4.4592918133156585E-3</v>
      </c>
      <c r="B473">
        <f>'Parm VaR Eq Weights'!C472</f>
        <v>-3.0024412089748073E-3</v>
      </c>
      <c r="C473">
        <f>'Parm VaR Eq Weights'!D472</f>
        <v>-5.8392054123445943E-3</v>
      </c>
      <c r="D473">
        <f>'Parm VaR Eq Weights'!E472</f>
        <v>-8.2464190919332193E-3</v>
      </c>
      <c r="H473" s="60">
        <f t="shared" si="78"/>
        <v>2.5819293867804268E-5</v>
      </c>
      <c r="I473" s="60">
        <f t="shared" si="79"/>
        <v>1.2070999381227427E-4</v>
      </c>
      <c r="J473" s="60">
        <f t="shared" si="80"/>
        <v>4.372530477237275E-5</v>
      </c>
      <c r="K473" s="60">
        <f t="shared" si="81"/>
        <v>8.9294694269456218E-5</v>
      </c>
      <c r="M473" s="60">
        <f t="shared" si="82"/>
        <v>1.1704782569257883E-5</v>
      </c>
      <c r="N473" s="60">
        <f t="shared" si="83"/>
        <v>1.5363865241969779E-5</v>
      </c>
      <c r="O473" s="60">
        <f t="shared" si="84"/>
        <v>7.6095868847534369E-6</v>
      </c>
      <c r="P473" s="60">
        <f t="shared" si="85"/>
        <v>1.7347666316697993E-5</v>
      </c>
      <c r="Q473" s="60">
        <f t="shared" si="86"/>
        <v>4.969538437340356E-5</v>
      </c>
      <c r="R473" s="60">
        <f t="shared" si="87"/>
        <v>1.9932999314126645E-5</v>
      </c>
    </row>
    <row r="474" spans="1:18" x14ac:dyDescent="0.3">
      <c r="A474">
        <f>'Parm VaR Eq Weights'!B473</f>
        <v>4.9447812331994889E-3</v>
      </c>
      <c r="B474">
        <f>'Parm VaR Eq Weights'!C473</f>
        <v>2.5488534340066637E-3</v>
      </c>
      <c r="C474">
        <f>'Parm VaR Eq Weights'!D473</f>
        <v>-7.7144694056442578E-4</v>
      </c>
      <c r="D474">
        <f>'Parm VaR Eq Weights'!E473</f>
        <v>5.2213043428308854E-4</v>
      </c>
      <c r="H474" s="60">
        <f t="shared" si="78"/>
        <v>2.5463253244314255E-5</v>
      </c>
      <c r="I474" s="60">
        <f t="shared" si="79"/>
        <v>1.1400827337633882E-4</v>
      </c>
      <c r="J474" s="60">
        <f t="shared" si="80"/>
        <v>4.3147565676883643E-5</v>
      </c>
      <c r="K474" s="60">
        <f t="shared" si="81"/>
        <v>8.8017218283676881E-5</v>
      </c>
      <c r="M474" s="60">
        <f t="shared" si="82"/>
        <v>1.0199169924913834E-5</v>
      </c>
      <c r="N474" s="60">
        <f t="shared" si="83"/>
        <v>1.2879710073959385E-5</v>
      </c>
      <c r="O474" s="60">
        <f t="shared" si="84"/>
        <v>4.9466203229185641E-6</v>
      </c>
      <c r="P474" s="60">
        <f t="shared" si="85"/>
        <v>1.7358718595157641E-5</v>
      </c>
      <c r="Q474" s="60">
        <f t="shared" si="86"/>
        <v>4.8199224621485153E-5</v>
      </c>
      <c r="R474" s="60">
        <f t="shared" si="87"/>
        <v>2.1626171454923741E-5</v>
      </c>
    </row>
    <row r="475" spans="1:18" x14ac:dyDescent="0.3">
      <c r="A475">
        <f>'Parm VaR Eq Weights'!B474</f>
        <v>8.6614358072970574E-4</v>
      </c>
      <c r="B475">
        <f>'Parm VaR Eq Weights'!C474</f>
        <v>1.2579422055930853E-3</v>
      </c>
      <c r="C475">
        <f>'Parm VaR Eq Weights'!D474</f>
        <v>9.9135501488225725E-3</v>
      </c>
      <c r="D475">
        <f>'Parm VaR Eq Weights'!E474</f>
        <v>1.737590134902377E-3</v>
      </c>
      <c r="H475" s="60">
        <f t="shared" si="78"/>
        <v>2.540250973630751E-5</v>
      </c>
      <c r="I475" s="60">
        <f t="shared" si="79"/>
        <v>1.0755757620344134E-4</v>
      </c>
      <c r="J475" s="60">
        <f t="shared" si="80"/>
        <v>4.0594419559196994E-5</v>
      </c>
      <c r="K475" s="60">
        <f t="shared" si="81"/>
        <v>8.2752542398080548E-5</v>
      </c>
      <c r="M475" s="60">
        <f t="shared" si="82"/>
        <v>1.0343431087018139E-5</v>
      </c>
      <c r="N475" s="60">
        <f t="shared" si="83"/>
        <v>1.1878049288275093E-5</v>
      </c>
      <c r="O475" s="60">
        <f t="shared" si="84"/>
        <v>4.8047323499069693E-6</v>
      </c>
      <c r="P475" s="60">
        <f t="shared" si="85"/>
        <v>1.6199217168431484E-5</v>
      </c>
      <c r="Q475" s="60">
        <f t="shared" si="86"/>
        <v>4.5387121181221353E-5</v>
      </c>
      <c r="R475" s="60">
        <f t="shared" si="87"/>
        <v>2.030443341206212E-5</v>
      </c>
    </row>
    <row r="476" spans="1:18" x14ac:dyDescent="0.3">
      <c r="A476">
        <f>'Parm VaR Eq Weights'!B475</f>
        <v>-1.954482145047379E-4</v>
      </c>
      <c r="B476">
        <f>'Parm VaR Eq Weights'!C475</f>
        <v>-1.5121693461861796E-3</v>
      </c>
      <c r="C476">
        <f>'Parm VaR Eq Weights'!D475</f>
        <v>5.9407157610191262E-3</v>
      </c>
      <c r="D476">
        <f>'Parm VaR Eq Weights'!E475</f>
        <v>1.0434701969241343E-2</v>
      </c>
      <c r="H476" s="60">
        <f t="shared" si="78"/>
        <v>2.3923371434275414E-5</v>
      </c>
      <c r="I476" s="60">
        <f t="shared" si="79"/>
        <v>1.011990667467916E-4</v>
      </c>
      <c r="J476" s="60">
        <f t="shared" si="80"/>
        <v>4.4055462978838377E-5</v>
      </c>
      <c r="K476" s="60">
        <f t="shared" si="81"/>
        <v>7.7968543022810321E-5</v>
      </c>
      <c r="M476" s="60">
        <f t="shared" si="82"/>
        <v>9.7881987357752561E-6</v>
      </c>
      <c r="N476" s="60">
        <f t="shared" si="83"/>
        <v>1.1680559800397269E-5</v>
      </c>
      <c r="O476" s="60">
        <f t="shared" si="84"/>
        <v>4.6067485613896484E-6</v>
      </c>
      <c r="P476" s="60">
        <f t="shared" si="85"/>
        <v>1.5975504526693646E-5</v>
      </c>
      <c r="Q476" s="60">
        <f t="shared" si="86"/>
        <v>4.2795041188351022E-5</v>
      </c>
      <c r="R476" s="60">
        <f t="shared" si="87"/>
        <v>2.0119708623765638E-5</v>
      </c>
    </row>
    <row r="477" spans="1:18" x14ac:dyDescent="0.3">
      <c r="A477">
        <f>'Parm VaR Eq Weights'!B476</f>
        <v>5.1281665829022646E-3</v>
      </c>
      <c r="B477">
        <f>'Parm VaR Eq Weights'!C476</f>
        <v>1.296318725133533E-2</v>
      </c>
      <c r="C477">
        <f>'Parm VaR Eq Weights'!D476</f>
        <v>4.0612974340667757E-3</v>
      </c>
      <c r="D477">
        <f>'Parm VaR Eq Weights'!E476</f>
        <v>-1.0563122148948159E-2</v>
      </c>
      <c r="H477" s="60">
        <f t="shared" si="78"/>
        <v>2.2490261148492073E-5</v>
      </c>
      <c r="I477" s="60">
        <f t="shared" si="79"/>
        <v>9.5264322109876804E-5</v>
      </c>
      <c r="J477" s="60">
        <f t="shared" si="80"/>
        <v>4.3529661425301332E-5</v>
      </c>
      <c r="K477" s="60">
        <f t="shared" si="81"/>
        <v>7.9823410752655059E-5</v>
      </c>
      <c r="M477" s="60">
        <f t="shared" si="82"/>
        <v>9.2186398595531938E-6</v>
      </c>
      <c r="N477" s="60">
        <f t="shared" si="83"/>
        <v>1.0910060075071151E-5</v>
      </c>
      <c r="O477" s="60">
        <f t="shared" si="84"/>
        <v>4.2079770155796318E-6</v>
      </c>
      <c r="P477" s="60">
        <f t="shared" si="85"/>
        <v>1.4477972158998932E-5</v>
      </c>
      <c r="Q477" s="60">
        <f t="shared" si="86"/>
        <v>3.928059652978144E-5</v>
      </c>
      <c r="R477" s="60">
        <f t="shared" si="87"/>
        <v>2.2631902013352263E-5</v>
      </c>
    </row>
    <row r="478" spans="1:18" x14ac:dyDescent="0.3">
      <c r="A478">
        <f>'Parm VaR Eq Weights'!B477</f>
        <v>3.3984895565162446E-5</v>
      </c>
      <c r="B478">
        <f>'Parm VaR Eq Weights'!C477</f>
        <v>3.3292933554109894E-3</v>
      </c>
      <c r="C478">
        <f>'Parm VaR Eq Weights'!D477</f>
        <v>-4.3878786321872604E-3</v>
      </c>
      <c r="D478">
        <f>'Parm VaR Eq Weights'!E477</f>
        <v>-1.9510951167486809E-3</v>
      </c>
      <c r="H478" s="60">
        <f t="shared" si="78"/>
        <v>2.2718731029702276E-5</v>
      </c>
      <c r="I478" s="60">
        <f t="shared" si="79"/>
        <v>9.9631116206075167E-5</v>
      </c>
      <c r="J478" s="60">
        <f t="shared" si="80"/>
        <v>4.1907529950660697E-5</v>
      </c>
      <c r="K478" s="60">
        <f t="shared" si="81"/>
        <v>8.1728779079511706E-5</v>
      </c>
      <c r="M478" s="60">
        <f t="shared" si="82"/>
        <v>1.2654164488192155E-5</v>
      </c>
      <c r="N478" s="60">
        <f t="shared" si="83"/>
        <v>1.1505077057643358E-5</v>
      </c>
      <c r="O478" s="60">
        <f t="shared" si="84"/>
        <v>7.0533139372380839E-7</v>
      </c>
      <c r="P478" s="60">
        <f t="shared" si="85"/>
        <v>1.6768135376729516E-5</v>
      </c>
      <c r="Q478" s="60">
        <f t="shared" si="86"/>
        <v>2.8707856915461984E-5</v>
      </c>
      <c r="R478" s="60">
        <f t="shared" si="87"/>
        <v>1.8699989039795699E-5</v>
      </c>
    </row>
    <row r="479" spans="1:18" x14ac:dyDescent="0.3">
      <c r="A479">
        <f>'Parm VaR Eq Weights'!B478</f>
        <v>-5.780822613559021E-3</v>
      </c>
      <c r="B479">
        <f>'Parm VaR Eq Weights'!C478</f>
        <v>-4.577804187832866E-3</v>
      </c>
      <c r="C479">
        <f>'Parm VaR Eq Weights'!D478</f>
        <v>5.1129851960489839E-3</v>
      </c>
      <c r="D479">
        <f>'Parm VaR Eq Weights'!E478</f>
        <v>-2.0182951619151109E-3</v>
      </c>
      <c r="H479" s="60">
        <f t="shared" si="78"/>
        <v>2.1355676466307732E-5</v>
      </c>
      <c r="I479" s="60">
        <f t="shared" si="79"/>
        <v>9.4318300888493673E-5</v>
      </c>
      <c r="J479" s="60">
        <f t="shared" si="80"/>
        <v>4.054828688706939E-5</v>
      </c>
      <c r="K479" s="60">
        <f t="shared" si="81"/>
        <v>7.7053458664017041E-5</v>
      </c>
      <c r="M479" s="60">
        <f t="shared" si="82"/>
        <v>1.1901703360119991E-5</v>
      </c>
      <c r="N479" s="60">
        <f t="shared" si="83"/>
        <v>1.0805825138360707E-5</v>
      </c>
      <c r="O479" s="60">
        <f t="shared" si="84"/>
        <v>6.5903304427355572E-7</v>
      </c>
      <c r="P479" s="60">
        <f t="shared" si="85"/>
        <v>1.4885535143656291E-5</v>
      </c>
      <c r="Q479" s="60">
        <f t="shared" si="86"/>
        <v>2.659563942005629E-5</v>
      </c>
      <c r="R479" s="60">
        <f t="shared" si="87"/>
        <v>1.8091659811736742E-5</v>
      </c>
    </row>
    <row r="480" spans="1:18" x14ac:dyDescent="0.3">
      <c r="A480">
        <f>'Parm VaR Eq Weights'!B479</f>
        <v>2.946021589209662E-3</v>
      </c>
      <c r="B480">
        <f>'Parm VaR Eq Weights'!C479</f>
        <v>6.2747901453542084E-3</v>
      </c>
      <c r="C480">
        <f>'Parm VaR Eq Weights'!D479</f>
        <v>-1.2460101306935789E-2</v>
      </c>
      <c r="D480">
        <f>'Parm VaR Eq Weights'!E479</f>
        <v>-2.8043629071214807E-3</v>
      </c>
      <c r="H480" s="60">
        <f t="shared" si="78"/>
        <v>2.2079410483695391E-5</v>
      </c>
      <c r="I480" s="60">
        <f t="shared" si="79"/>
        <v>8.991658030611246E-5</v>
      </c>
      <c r="J480" s="60">
        <f t="shared" si="80"/>
        <v>3.9683946730746186E-5</v>
      </c>
      <c r="K480" s="60">
        <f t="shared" si="81"/>
        <v>7.2674662065812603E-5</v>
      </c>
      <c r="M480" s="60">
        <f t="shared" si="82"/>
        <v>1.2775409596680958E-5</v>
      </c>
      <c r="N480" s="60">
        <f t="shared" si="83"/>
        <v>8.3840400034123137E-6</v>
      </c>
      <c r="O480" s="60">
        <f t="shared" si="84"/>
        <v>1.3195354403872813E-6</v>
      </c>
      <c r="P480" s="60">
        <f t="shared" si="85"/>
        <v>1.2588028332468882E-5</v>
      </c>
      <c r="Q480" s="60">
        <f t="shared" si="86"/>
        <v>2.5554262657522783E-5</v>
      </c>
      <c r="R480" s="60">
        <f t="shared" si="87"/>
        <v>1.6386989425984783E-5</v>
      </c>
    </row>
    <row r="481" spans="1:18" x14ac:dyDescent="0.3">
      <c r="A481">
        <f>'Parm VaR Eq Weights'!B480</f>
        <v>8.3788028763996901E-3</v>
      </c>
      <c r="B481">
        <f>'Parm VaR Eq Weights'!C480</f>
        <v>6.2356626706786067E-3</v>
      </c>
      <c r="C481">
        <f>'Parm VaR Eq Weights'!D480</f>
        <v>-4.747377251821042E-3</v>
      </c>
      <c r="D481">
        <f>'Parm VaR Eq Weights'!E480</f>
        <v>-2.0524615029091954E-2</v>
      </c>
      <c r="H481" s="60">
        <f t="shared" si="78"/>
        <v>2.1275388446919032E-5</v>
      </c>
      <c r="I481" s="60">
        <f t="shared" si="79"/>
        <v>8.6883964969839767E-5</v>
      </c>
      <c r="J481" s="60">
        <f t="shared" si="80"/>
        <v>4.6618157401647604E-5</v>
      </c>
      <c r="K481" s="60">
        <f t="shared" si="81"/>
        <v>6.8786049420754166E-5</v>
      </c>
      <c r="M481" s="60">
        <f t="shared" si="82"/>
        <v>1.3118025055038512E-5</v>
      </c>
      <c r="N481" s="60">
        <f t="shared" si="83"/>
        <v>5.6785339559692314E-6</v>
      </c>
      <c r="O481" s="60">
        <f t="shared" si="84"/>
        <v>7.4466049386252485E-7</v>
      </c>
      <c r="P481" s="60">
        <f t="shared" si="85"/>
        <v>7.1416753790681975E-6</v>
      </c>
      <c r="Q481" s="60">
        <f t="shared" si="86"/>
        <v>2.2965199574055247E-5</v>
      </c>
      <c r="R481" s="60">
        <f t="shared" si="87"/>
        <v>1.7500328815874494E-5</v>
      </c>
    </row>
    <row r="482" spans="1:18" x14ac:dyDescent="0.3">
      <c r="A482">
        <f>'Parm VaR Eq Weights'!B481</f>
        <v>-7.0598705613004542E-3</v>
      </c>
      <c r="B482">
        <f>'Parm VaR Eq Weights'!C481</f>
        <v>-3.223832677678833E-3</v>
      </c>
      <c r="C482">
        <f>'Parm VaR Eq Weights'!D481</f>
        <v>3.1934775743516154E-3</v>
      </c>
      <c r="D482">
        <f>'Parm VaR Eq Weights'!E481</f>
        <v>3.1372878194692408E-2</v>
      </c>
      <c r="H482" s="60">
        <f t="shared" si="78"/>
        <v>2.4211125398597714E-5</v>
      </c>
      <c r="I482" s="60">
        <f t="shared" si="79"/>
        <v>8.4003936408199057E-5</v>
      </c>
      <c r="J482" s="60">
        <f t="shared" si="80"/>
        <v>4.5173323403815225E-5</v>
      </c>
      <c r="K482" s="60">
        <f t="shared" si="81"/>
        <v>8.9934475781054565E-5</v>
      </c>
      <c r="M482" s="60">
        <f t="shared" si="82"/>
        <v>1.546578685101661E-5</v>
      </c>
      <c r="N482" s="60">
        <f t="shared" si="83"/>
        <v>2.9511816282363193E-6</v>
      </c>
      <c r="O482" s="60">
        <f t="shared" si="84"/>
        <v>-9.6183213423343557E-6</v>
      </c>
      <c r="P482" s="60">
        <f t="shared" si="85"/>
        <v>4.9369922695555479E-6</v>
      </c>
      <c r="Q482" s="60">
        <f t="shared" si="86"/>
        <v>1.3908213053594455E-5</v>
      </c>
      <c r="R482" s="60">
        <f t="shared" si="87"/>
        <v>2.2296594516411752E-5</v>
      </c>
    </row>
    <row r="483" spans="1:18" x14ac:dyDescent="0.3">
      <c r="A483">
        <f>'Parm VaR Eq Weights'!B482</f>
        <v>3.5333726923132761E-3</v>
      </c>
      <c r="B483">
        <f>'Parm VaR Eq Weights'!C482</f>
        <v>-7.9191096075778566E-3</v>
      </c>
      <c r="C483">
        <f>'Parm VaR Eq Weights'!D482</f>
        <v>4.2554421144909479E-3</v>
      </c>
      <c r="D483">
        <f>'Parm VaR Eq Weights'!E482</f>
        <v>-3.0687320969570938E-2</v>
      </c>
      <c r="H483" s="60">
        <f t="shared" si="78"/>
        <v>2.5748964215220859E-5</v>
      </c>
      <c r="I483" s="60">
        <f t="shared" si="79"/>
        <v>7.9587286051727304E-5</v>
      </c>
      <c r="J483" s="60">
        <f t="shared" si="80"/>
        <v>4.3074821940659511E-5</v>
      </c>
      <c r="K483" s="60">
        <f t="shared" si="81"/>
        <v>1.4359385640733171E-4</v>
      </c>
      <c r="M483" s="60">
        <f t="shared" si="82"/>
        <v>1.5903430124897806E-5</v>
      </c>
      <c r="N483" s="60">
        <f t="shared" si="83"/>
        <v>1.4213784316218497E-6</v>
      </c>
      <c r="O483" s="60">
        <f t="shared" si="84"/>
        <v>-2.2330529613192736E-5</v>
      </c>
      <c r="P483" s="60">
        <f t="shared" si="85"/>
        <v>4.0230584918044576E-6</v>
      </c>
      <c r="Q483" s="60">
        <f t="shared" si="86"/>
        <v>7.0052656753655563E-6</v>
      </c>
      <c r="R483" s="60">
        <f t="shared" si="87"/>
        <v>2.697011382288395E-5</v>
      </c>
    </row>
    <row r="484" spans="1:18" x14ac:dyDescent="0.3">
      <c r="A484">
        <f>'Parm VaR Eq Weights'!B483</f>
        <v>-2.803238450998093E-3</v>
      </c>
      <c r="B484">
        <f>'Parm VaR Eq Weights'!C483</f>
        <v>3.3965298135492364E-3</v>
      </c>
      <c r="C484">
        <f>'Parm VaR Eq Weights'!D483</f>
        <v>1.2764180263817178E-2</v>
      </c>
      <c r="D484">
        <f>'Parm VaR Eq Weights'!E483</f>
        <v>1.2358985225144049E-2</v>
      </c>
      <c r="H484" s="60">
        <f t="shared" si="78"/>
        <v>2.4953109717274714E-5</v>
      </c>
      <c r="I484" s="60">
        <f t="shared" si="79"/>
        <v>7.8574786707233575E-5</v>
      </c>
      <c r="J484" s="60">
        <f t="shared" si="80"/>
        <v>4.1576859879606927E-5</v>
      </c>
      <c r="K484" s="60">
        <f t="shared" si="81"/>
        <v>1.9148092512025994E-4</v>
      </c>
      <c r="M484" s="60">
        <f t="shared" si="82"/>
        <v>1.3270354379312857E-5</v>
      </c>
      <c r="N484" s="60">
        <f t="shared" si="83"/>
        <v>2.2382595033882701E-6</v>
      </c>
      <c r="O484" s="60">
        <f t="shared" si="84"/>
        <v>-2.7496482351249246E-5</v>
      </c>
      <c r="P484" s="60">
        <f t="shared" si="85"/>
        <v>1.7597162302947866E-6</v>
      </c>
      <c r="Q484" s="60">
        <f t="shared" si="86"/>
        <v>2.1165925234100915E-5</v>
      </c>
      <c r="R484" s="60">
        <f t="shared" si="87"/>
        <v>1.7516619911422101E-5</v>
      </c>
    </row>
    <row r="485" spans="1:18" x14ac:dyDescent="0.3">
      <c r="A485">
        <f>'Parm VaR Eq Weights'!B484</f>
        <v>4.9024513105130471E-3</v>
      </c>
      <c r="B485">
        <f>'Parm VaR Eq Weights'!C484</f>
        <v>-8.2670759287251979E-3</v>
      </c>
      <c r="C485">
        <f>'Parm VaR Eq Weights'!D484</f>
        <v>3.8879328792378628E-4</v>
      </c>
      <c r="D485">
        <f>'Parm VaR Eq Weights'!E484</f>
        <v>1.241262216326462E-2</v>
      </c>
      <c r="H485" s="60">
        <f t="shared" si="78"/>
        <v>2.3927411883027484E-5</v>
      </c>
      <c r="I485" s="60">
        <f t="shared" si="79"/>
        <v>7.4552484391259282E-5</v>
      </c>
      <c r="J485" s="60">
        <f t="shared" si="80"/>
        <v>4.8857706155263715E-5</v>
      </c>
      <c r="K485" s="60">
        <f t="shared" si="81"/>
        <v>1.8915674056076406E-4</v>
      </c>
      <c r="M485" s="60">
        <f t="shared" si="82"/>
        <v>1.1902856138155928E-5</v>
      </c>
      <c r="N485" s="60">
        <f t="shared" si="83"/>
        <v>-4.2898521475226222E-8</v>
      </c>
      <c r="O485" s="60">
        <f t="shared" si="84"/>
        <v>-2.7925404366080758E-5</v>
      </c>
      <c r="P485" s="60">
        <f t="shared" si="85"/>
        <v>4.2553683851714098E-6</v>
      </c>
      <c r="Q485" s="60">
        <f t="shared" si="86"/>
        <v>2.2414629426999835E-5</v>
      </c>
      <c r="R485" s="60">
        <f t="shared" si="87"/>
        <v>2.5930761634232286E-5</v>
      </c>
    </row>
    <row r="486" spans="1:18" x14ac:dyDescent="0.3">
      <c r="A486">
        <f>'Parm VaR Eq Weights'!B485</f>
        <v>6.6552624994673454E-3</v>
      </c>
      <c r="B486">
        <f>'Parm VaR Eq Weights'!C485</f>
        <v>1.8151508661868248E-2</v>
      </c>
      <c r="C486">
        <f>'Parm VaR Eq Weights'!D485</f>
        <v>-7.4284407264457481E-4</v>
      </c>
      <c r="D486">
        <f>'Parm VaR Eq Weights'!E485</f>
        <v>7.6015079431641878E-3</v>
      </c>
      <c r="H486" s="60">
        <f t="shared" si="78"/>
        <v>2.3933808901162903E-5</v>
      </c>
      <c r="I486" s="60">
        <f t="shared" si="79"/>
        <v>7.4180007992462186E-5</v>
      </c>
      <c r="J486" s="60">
        <f t="shared" si="80"/>
        <v>4.5935313399191967E-5</v>
      </c>
      <c r="K486" s="60">
        <f t="shared" si="81"/>
        <v>1.870517274651963E-4</v>
      </c>
      <c r="M486" s="60">
        <f t="shared" si="82"/>
        <v>8.7569485366131873E-6</v>
      </c>
      <c r="N486" s="60">
        <f t="shared" si="83"/>
        <v>7.4037799647326007E-8</v>
      </c>
      <c r="O486" s="60">
        <f t="shared" si="84"/>
        <v>-2.2598743556643912E-5</v>
      </c>
      <c r="P486" s="60">
        <f t="shared" si="85"/>
        <v>3.8071952641504453E-6</v>
      </c>
      <c r="Q486" s="60">
        <f t="shared" si="86"/>
        <v>1.491278626748269E-5</v>
      </c>
      <c r="R486" s="60">
        <f t="shared" si="87"/>
        <v>2.4664472587135027E-5</v>
      </c>
    </row>
    <row r="487" spans="1:18" x14ac:dyDescent="0.3">
      <c r="A487">
        <f>'Parm VaR Eq Weights'!B486</f>
        <v>-2.8551785323553043E-3</v>
      </c>
      <c r="B487">
        <f>'Parm VaR Eq Weights'!C486</f>
        <v>2.7029592451244602E-3</v>
      </c>
      <c r="C487">
        <f>'Parm VaR Eq Weights'!D486</f>
        <v>-4.3881587823683531E-4</v>
      </c>
      <c r="D487">
        <f>'Parm VaR Eq Weights'!E486</f>
        <v>1.5581854288260063E-2</v>
      </c>
      <c r="H487" s="60">
        <f t="shared" si="78"/>
        <v>2.515533150330211E-5</v>
      </c>
      <c r="I487" s="60">
        <f t="shared" si="79"/>
        <v>8.9497843515027155E-5</v>
      </c>
      <c r="J487" s="60">
        <f t="shared" si="80"/>
        <v>4.3212303634216239E-5</v>
      </c>
      <c r="K487" s="60">
        <f t="shared" si="81"/>
        <v>1.792955991978838E-4</v>
      </c>
      <c r="M487" s="60">
        <f t="shared" si="82"/>
        <v>1.5479714918781708E-5</v>
      </c>
      <c r="N487" s="60">
        <f t="shared" si="83"/>
        <v>-2.2703380630889595E-7</v>
      </c>
      <c r="O487" s="60">
        <f t="shared" si="84"/>
        <v>-1.8207417098032647E-5</v>
      </c>
      <c r="P487" s="60">
        <f t="shared" si="85"/>
        <v>2.7697391111598885E-6</v>
      </c>
      <c r="Q487" s="60">
        <f t="shared" si="86"/>
        <v>2.2296749327850038E-5</v>
      </c>
      <c r="R487" s="60">
        <f t="shared" si="87"/>
        <v>2.2845800124782513E-5</v>
      </c>
    </row>
    <row r="488" spans="1:18" x14ac:dyDescent="0.3">
      <c r="A488">
        <f>'Parm VaR Eq Weights'!B487</f>
        <v>6.9762152039845914E-3</v>
      </c>
      <c r="B488">
        <f>'Parm VaR Eq Weights'!C487</f>
        <v>1.1060061129467176E-2</v>
      </c>
      <c r="C488">
        <f>'Parm VaR Eq Weights'!D487</f>
        <v>-3.8014061267025856E-6</v>
      </c>
      <c r="D488">
        <f>'Parm VaR Eq Weights'!E487</f>
        <v>-7.4466434707292683E-3</v>
      </c>
      <c r="H488" s="60">
        <f t="shared" si="78"/>
        <v>2.413513428020134E-5</v>
      </c>
      <c r="I488" s="60">
        <f t="shared" si="79"/>
        <v>8.4566332224973758E-5</v>
      </c>
      <c r="J488" s="60">
        <f t="shared" si="80"/>
        <v>4.063111897866283E-5</v>
      </c>
      <c r="K488" s="60">
        <f t="shared" si="81"/>
        <v>1.831055142296449E-4</v>
      </c>
      <c r="M488" s="60">
        <f t="shared" si="82"/>
        <v>1.4087886151024165E-5</v>
      </c>
      <c r="N488" s="60">
        <f t="shared" si="83"/>
        <v>-1.3823791741845504E-7</v>
      </c>
      <c r="O488" s="60">
        <f t="shared" si="84"/>
        <v>-1.9784310623638406E-5</v>
      </c>
      <c r="P488" s="60">
        <f t="shared" si="85"/>
        <v>2.5323886783910352E-6</v>
      </c>
      <c r="Q488" s="60">
        <f t="shared" si="86"/>
        <v>2.3485971394457124E-5</v>
      </c>
      <c r="R488" s="60">
        <f t="shared" si="87"/>
        <v>2.1064798212851885E-5</v>
      </c>
    </row>
    <row r="489" spans="1:18" x14ac:dyDescent="0.3">
      <c r="A489">
        <f>'Parm VaR Eq Weights'!B488</f>
        <v>-1.5145329342818885E-3</v>
      </c>
      <c r="B489">
        <f>'Parm VaR Eq Weights'!C488</f>
        <v>-2.410601759789445E-3</v>
      </c>
      <c r="C489">
        <f>'Parm VaR Eq Weights'!D488</f>
        <v>-1.5587974584455589E-3</v>
      </c>
      <c r="D489">
        <f>'Parm VaR Eq Weights'!E488</f>
        <v>4.4758792763216759E-3</v>
      </c>
      <c r="H489" s="60">
        <f t="shared" si="78"/>
        <v>2.5607080937727607E-5</v>
      </c>
      <c r="I489" s="60">
        <f t="shared" si="79"/>
        <v>8.6831849422728386E-5</v>
      </c>
      <c r="J489" s="60">
        <f t="shared" si="80"/>
        <v>3.8193252706984372E-5</v>
      </c>
      <c r="K489" s="60">
        <f t="shared" si="81"/>
        <v>1.754463333146755E-4</v>
      </c>
      <c r="M489" s="60">
        <f t="shared" si="82"/>
        <v>1.7872054978465991E-5</v>
      </c>
      <c r="N489" s="60">
        <f t="shared" si="83"/>
        <v>-1.3153480800640509E-7</v>
      </c>
      <c r="O489" s="60">
        <f t="shared" si="84"/>
        <v>-2.1714215230169349E-5</v>
      </c>
      <c r="P489" s="60">
        <f t="shared" si="85"/>
        <v>2.377922730639217E-6</v>
      </c>
      <c r="Q489" s="60">
        <f t="shared" si="86"/>
        <v>1.7135193191052892E-5</v>
      </c>
      <c r="R489" s="60">
        <f t="shared" si="87"/>
        <v>1.9802608783047551E-5</v>
      </c>
    </row>
    <row r="490" spans="1:18" x14ac:dyDescent="0.3">
      <c r="A490">
        <f>'Parm VaR Eq Weights'!B489</f>
        <v>1.8701969703727125E-3</v>
      </c>
      <c r="B490">
        <f>'Parm VaR Eq Weights'!C489</f>
        <v>-3.8618742573631694E-3</v>
      </c>
      <c r="C490">
        <f>'Parm VaR Eq Weights'!D489</f>
        <v>3.1298414349649126E-3</v>
      </c>
      <c r="D490">
        <f>'Parm VaR Eq Weights'!E489</f>
        <v>7.6776973645209471E-3</v>
      </c>
      <c r="H490" s="60">
        <f t="shared" si="78"/>
        <v>2.4208284682005419E-5</v>
      </c>
      <c r="I490" s="60">
        <f t="shared" si="79"/>
        <v>8.1970598508022673E-5</v>
      </c>
      <c r="J490" s="60">
        <f t="shared" si="80"/>
        <v>3.604744851555269E-5</v>
      </c>
      <c r="K490" s="60">
        <f t="shared" si="81"/>
        <v>1.6612156303356731E-4</v>
      </c>
      <c r="M490" s="60">
        <f t="shared" si="82"/>
        <v>1.7018787825156371E-5</v>
      </c>
      <c r="N490" s="60">
        <f t="shared" si="83"/>
        <v>1.8008285795421496E-8</v>
      </c>
      <c r="O490" s="60">
        <f t="shared" si="84"/>
        <v>-2.0818094310790727E-5</v>
      </c>
      <c r="P490" s="60">
        <f t="shared" si="85"/>
        <v>2.460705760589915E-6</v>
      </c>
      <c r="Q490" s="60">
        <f t="shared" si="86"/>
        <v>1.5459707851983346E-5</v>
      </c>
      <c r="R490" s="60">
        <f t="shared" si="87"/>
        <v>1.8195832901650333E-5</v>
      </c>
    </row>
    <row r="491" spans="1:18" x14ac:dyDescent="0.3">
      <c r="A491">
        <f>'Parm VaR Eq Weights'!B490</f>
        <v>8.3665531691350901E-3</v>
      </c>
      <c r="B491">
        <f>'Parm VaR Eq Weights'!C490</f>
        <v>3.8038082697848265E-3</v>
      </c>
      <c r="C491">
        <f>'Parm VaR Eq Weights'!D490</f>
        <v>1.0540852761034729E-3</v>
      </c>
      <c r="D491">
        <f>'Parm VaR Eq Weights'!E490</f>
        <v>1.7190764413620663E-2</v>
      </c>
      <c r="H491" s="60">
        <f t="shared" si="78"/>
        <v>2.2965645803564571E-5</v>
      </c>
      <c r="I491" s="60">
        <f t="shared" si="79"/>
        <v>7.794720696432238E-5</v>
      </c>
      <c r="J491" s="60">
        <f t="shared" si="80"/>
        <v>3.447235604910092E-5</v>
      </c>
      <c r="K491" s="60">
        <f t="shared" si="81"/>
        <v>1.5969109146082359E-4</v>
      </c>
      <c r="M491" s="60">
        <f t="shared" si="82"/>
        <v>1.556431262348213E-5</v>
      </c>
      <c r="N491" s="60">
        <f t="shared" si="83"/>
        <v>3.6813298681279824E-7</v>
      </c>
      <c r="O491" s="60">
        <f t="shared" si="84"/>
        <v>-1.8707480271109346E-5</v>
      </c>
      <c r="P491" s="60">
        <f t="shared" si="85"/>
        <v>1.5878401709153437E-6</v>
      </c>
      <c r="Q491" s="60">
        <f t="shared" si="86"/>
        <v>1.2753107272392232E-5</v>
      </c>
      <c r="R491" s="60">
        <f t="shared" si="87"/>
        <v>1.8545881447747226E-5</v>
      </c>
    </row>
    <row r="492" spans="1:18" x14ac:dyDescent="0.3">
      <c r="A492">
        <f>'Parm VaR Eq Weights'!B491</f>
        <v>3.8621620690158509E-3</v>
      </c>
      <c r="B492">
        <f>'Parm VaR Eq Weights'!C491</f>
        <v>6.0028606623361326E-3</v>
      </c>
      <c r="C492">
        <f>'Parm VaR Eq Weights'!D491</f>
        <v>1.4142817228883333E-3</v>
      </c>
      <c r="D492">
        <f>'Parm VaR Eq Weights'!E491</f>
        <v>-2.3041248591391408E-2</v>
      </c>
      <c r="H492" s="60">
        <f t="shared" si="78"/>
        <v>2.5787659771268566E-5</v>
      </c>
      <c r="I492" s="60">
        <f t="shared" si="79"/>
        <v>7.4138511987660046E-5</v>
      </c>
      <c r="J492" s="60">
        <f t="shared" si="80"/>
        <v>3.2470680432312754E-5</v>
      </c>
      <c r="K492" s="60">
        <f t="shared" si="81"/>
        <v>1.6784096884065057E-4</v>
      </c>
      <c r="M492" s="60">
        <f t="shared" si="82"/>
        <v>1.6539939714134234E-5</v>
      </c>
      <c r="N492" s="60">
        <f t="shared" si="83"/>
        <v>8.7518863804335959E-7</v>
      </c>
      <c r="O492" s="60">
        <f t="shared" si="84"/>
        <v>-8.9553847857648149E-6</v>
      </c>
      <c r="P492" s="60">
        <f t="shared" si="85"/>
        <v>1.733142058078472E-6</v>
      </c>
      <c r="Q492" s="60">
        <f t="shared" si="86"/>
        <v>1.5911343146475878E-5</v>
      </c>
      <c r="R492" s="60">
        <f t="shared" si="87"/>
        <v>1.8520360460084059E-5</v>
      </c>
    </row>
    <row r="493" spans="1:18" x14ac:dyDescent="0.3">
      <c r="A493">
        <f>'Parm VaR Eq Weights'!B492</f>
        <v>-2.6519776099730831E-3</v>
      </c>
      <c r="B493">
        <f>'Parm VaR Eq Weights'!C492</f>
        <v>-8.9656525717662569E-3</v>
      </c>
      <c r="C493">
        <f>'Parm VaR Eq Weights'!D492</f>
        <v>-2.9596120834535513E-3</v>
      </c>
      <c r="D493">
        <f>'Parm VaR Eq Weights'!E492</f>
        <v>1.1768106634817812E-2</v>
      </c>
      <c r="H493" s="60">
        <f t="shared" si="78"/>
        <v>2.5135377935833137E-5</v>
      </c>
      <c r="I493" s="60">
        <f t="shared" si="79"/>
        <v>7.1852261436285803E-5</v>
      </c>
      <c r="J493" s="60">
        <f t="shared" si="80"/>
        <v>3.0642451173875741E-5</v>
      </c>
      <c r="K493" s="60">
        <f t="shared" si="81"/>
        <v>1.8962445890922936E-4</v>
      </c>
      <c r="M493" s="60">
        <f t="shared" si="82"/>
        <v>1.6938584576625902E-5</v>
      </c>
      <c r="N493" s="60">
        <f t="shared" si="83"/>
        <v>1.1504084332632606E-6</v>
      </c>
      <c r="O493" s="60">
        <f t="shared" si="84"/>
        <v>-1.3757403878565137E-5</v>
      </c>
      <c r="P493" s="60">
        <f t="shared" si="85"/>
        <v>2.1385377017810048E-6</v>
      </c>
      <c r="Q493" s="60">
        <f t="shared" si="86"/>
        <v>6.657858270865039E-6</v>
      </c>
      <c r="R493" s="60">
        <f t="shared" si="87"/>
        <v>1.5453929827159126E-5</v>
      </c>
    </row>
    <row r="494" spans="1:18" x14ac:dyDescent="0.3">
      <c r="A494">
        <f>'Parm VaR Eq Weights'!B493</f>
        <v>2.890760899442764E-4</v>
      </c>
      <c r="B494">
        <f>'Parm VaR Eq Weights'!C493</f>
        <v>-2.8149139013447986E-2</v>
      </c>
      <c r="C494">
        <f>'Parm VaR Eq Weights'!D493</f>
        <v>-1.2725178549255554E-2</v>
      </c>
      <c r="D494">
        <f>'Parm VaR Eq Weights'!E493</f>
        <v>-1.0737353707660761E-2</v>
      </c>
      <c r="H494" s="60">
        <f t="shared" si="78"/>
        <v>2.4049234374311062E-5</v>
      </c>
      <c r="I494" s="60">
        <f t="shared" si="79"/>
        <v>7.2364101312365778E-5</v>
      </c>
      <c r="J494" s="60">
        <f t="shared" si="80"/>
        <v>2.9329462324514653E-5</v>
      </c>
      <c r="K494" s="60">
        <f t="shared" si="81"/>
        <v>1.8655629140078219E-4</v>
      </c>
      <c r="M494" s="60">
        <f t="shared" si="82"/>
        <v>1.7348872094775651E-5</v>
      </c>
      <c r="N494" s="60">
        <f t="shared" si="83"/>
        <v>1.5523134260389419E-6</v>
      </c>
      <c r="O494" s="60">
        <f t="shared" si="84"/>
        <v>-1.4804484964289981E-5</v>
      </c>
      <c r="P494" s="60">
        <f t="shared" si="85"/>
        <v>3.6023166609208952E-6</v>
      </c>
      <c r="Q494" s="60">
        <f t="shared" si="86"/>
        <v>-7.21385563033007E-8</v>
      </c>
      <c r="R494" s="60">
        <f t="shared" si="87"/>
        <v>1.2436952201782972E-5</v>
      </c>
    </row>
    <row r="495" spans="1:18" x14ac:dyDescent="0.3">
      <c r="A495">
        <f>'Parm VaR Eq Weights'!B494</f>
        <v>1.1409765936629724E-3</v>
      </c>
      <c r="B495">
        <f>'Parm VaR Eq Weights'!C494</f>
        <v>1.2710551707218725E-2</v>
      </c>
      <c r="C495">
        <f>'Parm VaR Eq Weights'!D494</f>
        <v>1.1768169029989001E-2</v>
      </c>
      <c r="D495">
        <f>'Parm VaR Eq Weights'!E494</f>
        <v>1.1110326852050424E-2</v>
      </c>
      <c r="H495" s="60">
        <f t="shared" si="78"/>
        <v>2.2611294210999046E-5</v>
      </c>
      <c r="I495" s="60">
        <f t="shared" si="79"/>
        <v>1.1556469686552903E-4</v>
      </c>
      <c r="J495" s="60">
        <f t="shared" si="80"/>
        <v>3.7285504731669803E-5</v>
      </c>
      <c r="K495" s="60">
        <f t="shared" si="81"/>
        <v>1.8228035979534022E-4</v>
      </c>
      <c r="M495" s="60">
        <f t="shared" si="82"/>
        <v>1.5819705186610785E-5</v>
      </c>
      <c r="N495" s="60">
        <f t="shared" si="83"/>
        <v>1.2384619289449106E-6</v>
      </c>
      <c r="O495" s="60">
        <f t="shared" si="84"/>
        <v>-1.4102450600002137E-5</v>
      </c>
      <c r="P495" s="60">
        <f t="shared" si="85"/>
        <v>2.4878346858502117E-5</v>
      </c>
      <c r="Q495" s="60">
        <f t="shared" si="86"/>
        <v>1.8067025486285149E-5</v>
      </c>
      <c r="R495" s="60">
        <f t="shared" si="87"/>
        <v>1.988881965426566E-5</v>
      </c>
    </row>
    <row r="496" spans="1:18" x14ac:dyDescent="0.3">
      <c r="A496">
        <f>'Parm VaR Eq Weights'!B495</f>
        <v>-9.0421608663121527E-3</v>
      </c>
      <c r="B496">
        <f>'Parm VaR Eq Weights'!C495</f>
        <v>-1.5240087741309636E-2</v>
      </c>
      <c r="C496">
        <f>'Parm VaR Eq Weights'!D495</f>
        <v>-2.8715981726510183E-2</v>
      </c>
      <c r="D496">
        <f>'Parm VaR Eq Weights'!E495</f>
        <v>-2.7330211835352763E-2</v>
      </c>
      <c r="H496" s="60">
        <f t="shared" si="78"/>
        <v>2.1332726213576309E-5</v>
      </c>
      <c r="I496" s="60">
        <f t="shared" si="79"/>
        <v>1.1832430253571013E-4</v>
      </c>
      <c r="J496" s="60">
        <f t="shared" si="80"/>
        <v>4.3357762586873157E-5</v>
      </c>
      <c r="K496" s="60">
        <f t="shared" si="81"/>
        <v>1.7874989997318334E-4</v>
      </c>
      <c r="M496" s="60">
        <f t="shared" si="82"/>
        <v>1.5740669394842909E-5</v>
      </c>
      <c r="N496" s="60">
        <f t="shared" si="83"/>
        <v>1.969786538017433E-6</v>
      </c>
      <c r="O496" s="60">
        <f t="shared" si="84"/>
        <v>-1.2495706190833922E-5</v>
      </c>
      <c r="P496" s="60">
        <f t="shared" si="85"/>
        <v>3.2360441304289913E-5</v>
      </c>
      <c r="Q496" s="60">
        <f t="shared" si="86"/>
        <v>2.5456106993333299E-5</v>
      </c>
      <c r="R496" s="60">
        <f t="shared" si="87"/>
        <v>2.6540382737411026E-5</v>
      </c>
    </row>
    <row r="497" spans="1:18" x14ac:dyDescent="0.3">
      <c r="A497">
        <f>'Parm VaR Eq Weights'!B496</f>
        <v>-1.5730711690954722E-2</v>
      </c>
      <c r="B497">
        <f>'Parm VaR Eq Weights'!C496</f>
        <v>1.4519083814606292E-3</v>
      </c>
      <c r="C497">
        <f>'Parm VaR Eq Weights'!D496</f>
        <v>8.9143020320820495E-3</v>
      </c>
      <c r="D497">
        <f>'Parm VaR Eq Weights'!E496</f>
        <v>1.728114127235824E-2</v>
      </c>
      <c r="H497" s="60">
        <f t="shared" si="78"/>
        <v>2.495840302869775E-5</v>
      </c>
      <c r="I497" s="60">
        <f t="shared" si="79"/>
        <v>1.251604608453365E-4</v>
      </c>
      <c r="J497" s="60">
        <f t="shared" si="80"/>
        <v>9.0232753222696819E-5</v>
      </c>
      <c r="K497" s="60">
        <f t="shared" si="81"/>
        <v>2.1284133471270774E-4</v>
      </c>
      <c r="M497" s="60">
        <f t="shared" si="82"/>
        <v>2.3064428729570354E-5</v>
      </c>
      <c r="N497" s="60">
        <f t="shared" si="83"/>
        <v>1.7430870918047519E-5</v>
      </c>
      <c r="O497" s="60">
        <f t="shared" si="84"/>
        <v>3.0814864961550064E-6</v>
      </c>
      <c r="P497" s="60">
        <f t="shared" si="85"/>
        <v>5.6676859691424098E-5</v>
      </c>
      <c r="Q497" s="60">
        <f t="shared" si="86"/>
        <v>4.8919630155294635E-5</v>
      </c>
      <c r="R497" s="60">
        <f t="shared" si="87"/>
        <v>7.203679159190494E-5</v>
      </c>
    </row>
    <row r="498" spans="1:18" x14ac:dyDescent="0.3">
      <c r="A498">
        <f>'Parm VaR Eq Weights'!B497</f>
        <v>1.0053584464402337E-2</v>
      </c>
      <c r="B498">
        <f>'Parm VaR Eq Weights'!C497</f>
        <v>-2.8229692702891333E-2</v>
      </c>
      <c r="C498">
        <f>'Parm VaR Eq Weights'!D497</f>
        <v>1.2356194525449818E-3</v>
      </c>
      <c r="D498">
        <f>'Parm VaR Eq Weights'!E497</f>
        <v>8.3967441199954834E-3</v>
      </c>
      <c r="H498" s="60">
        <f t="shared" si="78"/>
        <v>3.8308216265212268E-5</v>
      </c>
      <c r="I498" s="60">
        <f t="shared" si="79"/>
        <v>1.1777731547150564E-4</v>
      </c>
      <c r="J498" s="60">
        <f t="shared" si="80"/>
        <v>8.9586674872485945E-5</v>
      </c>
      <c r="K498" s="60">
        <f t="shared" si="81"/>
        <v>2.1798912525045747E-4</v>
      </c>
      <c r="M498" s="60">
        <f t="shared" si="82"/>
        <v>2.0310189876769856E-5</v>
      </c>
      <c r="N498" s="60">
        <f t="shared" si="83"/>
        <v>7.9713197513981889E-6</v>
      </c>
      <c r="O498" s="60">
        <f t="shared" si="84"/>
        <v>-1.3414081756381864E-5</v>
      </c>
      <c r="P498" s="60">
        <f t="shared" si="85"/>
        <v>5.4052813100053735E-5</v>
      </c>
      <c r="Q498" s="60">
        <f t="shared" si="86"/>
        <v>4.7489890377249481E-5</v>
      </c>
      <c r="R498" s="60">
        <f t="shared" si="87"/>
        <v>7.6957542862043446E-5</v>
      </c>
    </row>
    <row r="499" spans="1:18" x14ac:dyDescent="0.3">
      <c r="A499">
        <f>'Parm VaR Eq Weights'!B498</f>
        <v>-8.6687422431466115E-4</v>
      </c>
      <c r="B499">
        <f>'Parm VaR Eq Weights'!C498</f>
        <v>-2.619600419790084E-2</v>
      </c>
      <c r="C499">
        <f>'Parm VaR Eq Weights'!D498</f>
        <v>-1.2377264101043726E-2</v>
      </c>
      <c r="D499">
        <f>'Parm VaR Eq Weights'!E498</f>
        <v>-1.8397887738700939E-2</v>
      </c>
      <c r="H499" s="60">
        <f t="shared" si="78"/>
        <v>4.2074196924271856E-5</v>
      </c>
      <c r="I499" s="60">
        <f t="shared" si="79"/>
        <v>1.5852560954919591E-4</v>
      </c>
      <c r="J499" s="60">
        <f t="shared" si="80"/>
        <v>8.4303079706027242E-5</v>
      </c>
      <c r="K499" s="60">
        <f t="shared" si="81"/>
        <v>2.0914009644443075E-4</v>
      </c>
      <c r="M499" s="60">
        <f t="shared" si="82"/>
        <v>2.0630024846052276E-6</v>
      </c>
      <c r="N499" s="60">
        <f t="shared" si="83"/>
        <v>8.2383848382354701E-6</v>
      </c>
      <c r="O499" s="60">
        <f t="shared" si="84"/>
        <v>-7.5441942768180514E-6</v>
      </c>
      <c r="P499" s="60">
        <f t="shared" si="85"/>
        <v>4.8716774867466922E-5</v>
      </c>
      <c r="Q499" s="60">
        <f t="shared" si="86"/>
        <v>3.0418246581877566E-5</v>
      </c>
      <c r="R499" s="60">
        <f t="shared" si="87"/>
        <v>7.2962601112683389E-5</v>
      </c>
    </row>
    <row r="500" spans="1:18" x14ac:dyDescent="0.3">
      <c r="A500">
        <f>'Parm VaR Eq Weights'!B499</f>
        <v>3.1343588645344699E-3</v>
      </c>
      <c r="B500">
        <f>'Parm VaR Eq Weights'!C499</f>
        <v>-5.1608501136647103E-3</v>
      </c>
      <c r="C500">
        <f>'Parm VaR Eq Weights'!D499</f>
        <v>-8.1233574533718014E-3</v>
      </c>
      <c r="D500">
        <f>'Parm VaR Eq Weights'!E499</f>
        <v>-8.2576440979605006E-3</v>
      </c>
      <c r="H500" s="60">
        <f t="shared" si="78"/>
        <v>3.959483336406241E-5</v>
      </c>
      <c r="I500" s="60">
        <f t="shared" si="79"/>
        <v>1.9018791113243049E-4</v>
      </c>
      <c r="J500" s="60">
        <f t="shared" si="80"/>
        <v>8.8436694921284747E-5</v>
      </c>
      <c r="K500" s="60">
        <f t="shared" si="81"/>
        <v>2.1690062705251545E-4</v>
      </c>
      <c r="M500" s="60">
        <f t="shared" si="82"/>
        <v>3.3017407846808491E-6</v>
      </c>
      <c r="N500" s="60">
        <f t="shared" si="83"/>
        <v>8.3878536209451419E-6</v>
      </c>
      <c r="O500" s="60">
        <f t="shared" si="84"/>
        <v>-6.1346233404580916E-6</v>
      </c>
      <c r="P500" s="60">
        <f t="shared" si="85"/>
        <v>6.5247860116387043E-5</v>
      </c>
      <c r="Q500" s="60">
        <f t="shared" si="86"/>
        <v>5.7510220453096028E-5</v>
      </c>
      <c r="R500" s="60">
        <f t="shared" si="87"/>
        <v>8.2247775972517728E-5</v>
      </c>
    </row>
    <row r="501" spans="1:18" x14ac:dyDescent="0.3">
      <c r="A501">
        <f>'Parm VaR Eq Weights'!B500</f>
        <v>-1.7705820200054914E-2</v>
      </c>
      <c r="B501">
        <f>'Parm VaR Eq Weights'!C500</f>
        <v>1.6854874846097185E-3</v>
      </c>
      <c r="C501">
        <f>'Parm VaR Eq Weights'!D500</f>
        <v>2.6946460372461907E-3</v>
      </c>
      <c r="D501">
        <f>'Parm VaR Eq Weights'!E500</f>
        <v>-9.8657959565255776E-3</v>
      </c>
      <c r="H501" s="60">
        <f t="shared" si="78"/>
        <v>3.7808595691719816E-5</v>
      </c>
      <c r="I501" s="60">
        <f t="shared" si="79"/>
        <v>1.8037469889822742E-4</v>
      </c>
      <c r="J501" s="60">
        <f t="shared" si="80"/>
        <v>8.7089829404922732E-5</v>
      </c>
      <c r="K501" s="60">
        <f t="shared" si="81"/>
        <v>2.0797791059227943E-4</v>
      </c>
      <c r="M501" s="60">
        <f t="shared" si="82"/>
        <v>2.1330789594620747E-6</v>
      </c>
      <c r="N501" s="60">
        <f t="shared" si="83"/>
        <v>6.3568913570629481E-6</v>
      </c>
      <c r="O501" s="60">
        <f t="shared" si="84"/>
        <v>-7.3194911387474013E-6</v>
      </c>
      <c r="P501" s="60">
        <f t="shared" si="85"/>
        <v>6.3848394323598204E-5</v>
      </c>
      <c r="Q501" s="60">
        <f t="shared" si="86"/>
        <v>5.6616595034803997E-5</v>
      </c>
      <c r="R501" s="60">
        <f t="shared" si="87"/>
        <v>8.1337697097994208E-5</v>
      </c>
    </row>
    <row r="502" spans="1:18" x14ac:dyDescent="0.3">
      <c r="A502">
        <f>'Parm VaR Eq Weights'!B501</f>
        <v>7.2546137847255129E-3</v>
      </c>
      <c r="B502">
        <f>'Parm VaR Eq Weights'!C501</f>
        <v>1.2103055597555855E-2</v>
      </c>
      <c r="C502">
        <f>'Parm VaR Eq Weights'!D501</f>
        <v>1.62004648091119E-2</v>
      </c>
      <c r="D502">
        <f>'Parm VaR Eq Weights'!E501</f>
        <v>1.2011982707921039E-2</v>
      </c>
      <c r="H502" s="60">
        <f t="shared" si="78"/>
        <v>5.4349844087617E-5</v>
      </c>
      <c r="I502" s="60">
        <f t="shared" si="79"/>
        <v>1.6972266904798032E-4</v>
      </c>
      <c r="J502" s="60">
        <f t="shared" si="80"/>
        <v>8.230010667659015E-5</v>
      </c>
      <c r="K502" s="60">
        <f t="shared" si="81"/>
        <v>2.0133927174809045E-4</v>
      </c>
      <c r="M502" s="60">
        <f t="shared" si="82"/>
        <v>2.145179207777984E-7</v>
      </c>
      <c r="N502" s="60">
        <f t="shared" si="83"/>
        <v>3.1128227813428768E-6</v>
      </c>
      <c r="O502" s="60">
        <f t="shared" si="84"/>
        <v>3.6005988897776918E-6</v>
      </c>
      <c r="P502" s="60">
        <f t="shared" si="85"/>
        <v>6.0289998194456208E-5</v>
      </c>
      <c r="Q502" s="60">
        <f t="shared" si="86"/>
        <v>5.2221878796089528E-5</v>
      </c>
      <c r="R502" s="60">
        <f t="shared" si="87"/>
        <v>7.486234559340268E-5</v>
      </c>
    </row>
    <row r="503" spans="1:18" x14ac:dyDescent="0.3">
      <c r="A503">
        <f>'Parm VaR Eq Weights'!B502</f>
        <v>1.4980414158696486E-2</v>
      </c>
      <c r="B503">
        <f>'Parm VaR Eq Weights'!C502</f>
        <v>4.1520410141518129E-3</v>
      </c>
      <c r="C503">
        <f>'Parm VaR Eq Weights'!D502</f>
        <v>1.0298227389387576E-2</v>
      </c>
      <c r="D503">
        <f>'Parm VaR Eq Weights'!E502</f>
        <v>6.4766554244481108E-3</v>
      </c>
      <c r="H503" s="60">
        <f t="shared" si="78"/>
        <v>5.424661871229175E-5</v>
      </c>
      <c r="I503" s="60">
        <f t="shared" si="79"/>
        <v>1.6832834619295319E-4</v>
      </c>
      <c r="J503" s="60">
        <f t="shared" si="80"/>
        <v>9.3109403877871135E-5</v>
      </c>
      <c r="K503" s="60">
        <f t="shared" si="81"/>
        <v>1.9791617915772866E-4</v>
      </c>
      <c r="M503" s="60">
        <f t="shared" si="82"/>
        <v>5.4698264840508148E-6</v>
      </c>
      <c r="N503" s="60">
        <f t="shared" si="83"/>
        <v>9.9777403338509368E-6</v>
      </c>
      <c r="O503" s="60">
        <f t="shared" si="84"/>
        <v>8.6131006764771431E-6</v>
      </c>
      <c r="P503" s="60">
        <f t="shared" si="85"/>
        <v>6.8437105880244549E-5</v>
      </c>
      <c r="Q503" s="60">
        <f t="shared" si="86"/>
        <v>5.781146774137503E-5</v>
      </c>
      <c r="R503" s="60">
        <f t="shared" si="87"/>
        <v>8.2046587046638643E-5</v>
      </c>
    </row>
    <row r="504" spans="1:18" x14ac:dyDescent="0.3">
      <c r="H504" s="60">
        <f t="shared" si="78"/>
        <v>6.4456590091518706E-5</v>
      </c>
      <c r="I504" s="60">
        <f t="shared" si="79"/>
        <v>1.5926301209636792E-4</v>
      </c>
      <c r="J504" s="60">
        <f t="shared" si="80"/>
        <v>9.3886048887010815E-5</v>
      </c>
      <c r="K504" s="60">
        <f t="shared" si="81"/>
        <v>1.885580323374869E-4</v>
      </c>
      <c r="M504" s="60">
        <f t="shared" si="82"/>
        <v>8.8735945347610692E-6</v>
      </c>
      <c r="N504" s="60">
        <f t="shared" si="83"/>
        <v>1.8635378597427341E-5</v>
      </c>
      <c r="O504" s="60">
        <f t="shared" si="84"/>
        <v>1.3917693473172572E-5</v>
      </c>
      <c r="P504" s="60">
        <f t="shared" si="85"/>
        <v>6.6896399277057805E-5</v>
      </c>
      <c r="Q504" s="60">
        <f t="shared" si="86"/>
        <v>5.5956260014302763E-5</v>
      </c>
      <c r="R504" s="60">
        <f t="shared" si="87"/>
        <v>8.1125676040860953E-5</v>
      </c>
    </row>
  </sheetData>
  <mergeCells count="7">
    <mergeCell ref="V2:W2"/>
    <mergeCell ref="AF1:AG1"/>
    <mergeCell ref="AI1:AJ1"/>
    <mergeCell ref="B1:C1"/>
    <mergeCell ref="I1:J1"/>
    <mergeCell ref="O1:P1"/>
    <mergeCell ref="AA1:AD1"/>
  </mergeCells>
  <pageMargins left="0.7" right="0.7" top="0.75" bottom="0.75" header="0.3" footer="0.3"/>
  <pageSetup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U505"/>
  <sheetViews>
    <sheetView zoomScale="40" zoomScaleNormal="90" zoomScalePageLayoutView="90" workbookViewId="0">
      <selection activeCell="F23" sqref="F23"/>
    </sheetView>
  </sheetViews>
  <sheetFormatPr defaultColWidth="8.88671875" defaultRowHeight="14.4" x14ac:dyDescent="0.3"/>
  <cols>
    <col min="1" max="1" width="14.109375" customWidth="1"/>
    <col min="2" max="2" width="11.44140625" bestFit="1" customWidth="1"/>
    <col min="3" max="3" width="12" customWidth="1"/>
    <col min="4" max="4" width="12.6640625" bestFit="1" customWidth="1"/>
    <col min="5" max="5" width="11.44140625" bestFit="1" customWidth="1"/>
    <col min="6" max="7" width="11.44140625" customWidth="1"/>
    <col min="8" max="8" width="2.88671875" style="29" customWidth="1"/>
    <col min="11" max="14" width="10.44140625" customWidth="1"/>
    <col min="15" max="15" width="2.44140625" style="29" customWidth="1"/>
    <col min="17" max="17" width="8.88671875" style="23"/>
    <col min="18" max="18" width="3.109375" style="29" customWidth="1"/>
    <col min="20" max="20" width="11" customWidth="1"/>
  </cols>
  <sheetData>
    <row r="1" spans="1:21" x14ac:dyDescent="0.3">
      <c r="A1" s="9" t="s">
        <v>15</v>
      </c>
      <c r="B1" s="4">
        <v>43138</v>
      </c>
      <c r="K1" s="27" t="s">
        <v>13</v>
      </c>
      <c r="L1" s="27"/>
      <c r="M1" s="27"/>
      <c r="N1" s="27"/>
    </row>
    <row r="2" spans="1:21" x14ac:dyDescent="0.3">
      <c r="K2" s="9">
        <v>0.94</v>
      </c>
      <c r="L2" s="9"/>
      <c r="M2" s="26">
        <f>L504</f>
        <v>72.765921568756283</v>
      </c>
      <c r="N2" s="26"/>
    </row>
    <row r="3" spans="1:21" x14ac:dyDescent="0.3">
      <c r="A3" s="9" t="s">
        <v>21</v>
      </c>
      <c r="P3" s="27" t="s">
        <v>23</v>
      </c>
      <c r="T3" s="27" t="s">
        <v>29</v>
      </c>
    </row>
    <row r="4" spans="1:21" x14ac:dyDescent="0.3">
      <c r="A4" s="27" t="s">
        <v>17</v>
      </c>
      <c r="B4" s="27" t="s">
        <v>18</v>
      </c>
      <c r="C4" s="27" t="s">
        <v>19</v>
      </c>
      <c r="D4" s="27" t="s">
        <v>20</v>
      </c>
      <c r="E4" s="27"/>
      <c r="F4" s="27"/>
      <c r="G4" s="27"/>
      <c r="I4" s="27" t="s">
        <v>2</v>
      </c>
      <c r="J4" s="27" t="s">
        <v>29</v>
      </c>
      <c r="K4" s="27" t="s">
        <v>98</v>
      </c>
      <c r="L4" s="27" t="s">
        <v>99</v>
      </c>
      <c r="M4" s="27" t="s">
        <v>100</v>
      </c>
      <c r="N4" s="27" t="s">
        <v>101</v>
      </c>
      <c r="O4" s="30"/>
      <c r="P4" s="27" t="s">
        <v>2</v>
      </c>
      <c r="Q4" s="28" t="s">
        <v>29</v>
      </c>
      <c r="S4" s="27" t="s">
        <v>26</v>
      </c>
      <c r="T4" s="27" t="s">
        <v>27</v>
      </c>
      <c r="U4" s="27" t="s">
        <v>41</v>
      </c>
    </row>
    <row r="5" spans="1:21" x14ac:dyDescent="0.3">
      <c r="A5" t="s">
        <v>0</v>
      </c>
      <c r="B5" s="23">
        <v>4000</v>
      </c>
      <c r="C5" s="24">
        <v>11022.06</v>
      </c>
      <c r="D5" s="31">
        <f>B5/C5</f>
        <v>0.36290856700108692</v>
      </c>
      <c r="E5" s="31"/>
      <c r="F5" s="31"/>
      <c r="G5" s="31"/>
      <c r="I5" s="3">
        <f>Data!A3</f>
        <v>1</v>
      </c>
      <c r="J5" s="23">
        <f>'$ Portfolio Loss'!P5</f>
        <v>148.27449625830559</v>
      </c>
      <c r="K5" s="23">
        <f>_xlfn.VAR.S(J5:J504)</f>
        <v>3802.9970350121866</v>
      </c>
      <c r="L5" s="23">
        <f>SQRT(K5)</f>
        <v>61.668444402402322</v>
      </c>
      <c r="M5" s="23">
        <f>$M$2/L5</f>
        <v>1.1799539014465825</v>
      </c>
      <c r="N5" s="23">
        <f>M5*J5</f>
        <v>174.95707034501439</v>
      </c>
      <c r="P5">
        <v>131</v>
      </c>
      <c r="Q5" s="23">
        <v>609.40328768406084</v>
      </c>
      <c r="S5">
        <v>-600</v>
      </c>
      <c r="T5">
        <f t="array" ref="T5:T27">FREQUENCY($Q$5:$Q$504,S5:S27)</f>
        <v>0</v>
      </c>
      <c r="U5" s="40">
        <f>T5/$B$12</f>
        <v>0</v>
      </c>
    </row>
    <row r="6" spans="1:21" x14ac:dyDescent="0.3">
      <c r="A6" t="s">
        <v>7</v>
      </c>
      <c r="B6" s="23">
        <v>3000</v>
      </c>
      <c r="C6" s="25">
        <v>9599.8984</v>
      </c>
      <c r="D6" s="31">
        <f t="shared" ref="D6:D8" si="0">B6/C6</f>
        <v>0.3125033073266692</v>
      </c>
      <c r="E6" s="31"/>
      <c r="F6" s="31"/>
      <c r="G6" s="31"/>
      <c r="I6">
        <v>2</v>
      </c>
      <c r="J6" s="23">
        <f>'$ Portfolio Loss'!P6</f>
        <v>96.491509347586543</v>
      </c>
      <c r="K6" s="23">
        <f>K5*$K$2+(1-$K$2)*J6^2</f>
        <v>4133.4538954819782</v>
      </c>
      <c r="L6" s="23">
        <f>SQRT(K6)</f>
        <v>64.291942694881897</v>
      </c>
      <c r="M6" s="23">
        <f t="shared" ref="M6:M69" si="1">$M$2/L6</f>
        <v>1.1318046790729341</v>
      </c>
      <c r="N6" s="23">
        <f t="shared" ref="N6:N69" si="2">M6*J6</f>
        <v>109.20954177040821</v>
      </c>
      <c r="P6">
        <v>494</v>
      </c>
      <c r="Q6" s="23">
        <v>564.55764154121619</v>
      </c>
      <c r="S6">
        <v>-550</v>
      </c>
      <c r="T6">
        <v>0</v>
      </c>
      <c r="U6" s="40">
        <f t="shared" ref="U6:U27" si="3">T6/$B$12</f>
        <v>0</v>
      </c>
    </row>
    <row r="7" spans="1:21" x14ac:dyDescent="0.3">
      <c r="A7" t="s">
        <v>8</v>
      </c>
      <c r="B7" s="23">
        <v>1000</v>
      </c>
      <c r="C7" s="23">
        <v>6200.3960686519004</v>
      </c>
      <c r="D7" s="31">
        <f t="shared" si="0"/>
        <v>0.16128001968387506</v>
      </c>
      <c r="E7" s="31"/>
      <c r="F7" s="31"/>
      <c r="G7" s="31"/>
      <c r="I7">
        <v>3</v>
      </c>
      <c r="J7" s="23">
        <f>'$ Portfolio Loss'!P7</f>
        <v>-65.775320899459985</v>
      </c>
      <c r="K7" s="23">
        <f t="shared" ref="K7:K70" si="4">K6*$K$2+(1-$K$2)*J7^2</f>
        <v>4145.0302321186755</v>
      </c>
      <c r="L7" s="23">
        <f t="shared" ref="L7:L70" si="5">SQRT(K7)</f>
        <v>64.381909199080724</v>
      </c>
      <c r="M7" s="23">
        <f t="shared" si="1"/>
        <v>1.1302231088511316</v>
      </c>
      <c r="N7" s="23">
        <f t="shared" si="2"/>
        <v>-74.340787672668469</v>
      </c>
      <c r="P7">
        <v>227</v>
      </c>
      <c r="Q7" s="23">
        <v>561.99361734652302</v>
      </c>
      <c r="S7">
        <v>-500</v>
      </c>
      <c r="T7">
        <v>1</v>
      </c>
      <c r="U7" s="40">
        <f t="shared" si="3"/>
        <v>2E-3</v>
      </c>
    </row>
    <row r="8" spans="1:21" x14ac:dyDescent="0.3">
      <c r="A8" t="s">
        <v>10</v>
      </c>
      <c r="B8" s="23">
        <v>2000</v>
      </c>
      <c r="C8" s="23">
        <v>112.82211990227401</v>
      </c>
      <c r="D8" s="31">
        <f t="shared" si="0"/>
        <v>17.727020213167336</v>
      </c>
      <c r="E8" s="31"/>
      <c r="F8" s="31"/>
      <c r="G8" s="31"/>
      <c r="I8">
        <v>4</v>
      </c>
      <c r="J8" s="23">
        <f>'$ Portfolio Loss'!P8</f>
        <v>-23.50448540245452</v>
      </c>
      <c r="K8" s="23">
        <f t="shared" si="4"/>
        <v>3929.4760682336064</v>
      </c>
      <c r="L8" s="23">
        <f t="shared" si="5"/>
        <v>62.68553316542507</v>
      </c>
      <c r="M8" s="23">
        <f t="shared" si="1"/>
        <v>1.1608088484583738</v>
      </c>
      <c r="N8" s="23">
        <f t="shared" si="2"/>
        <v>-27.28421463362989</v>
      </c>
      <c r="P8">
        <v>339</v>
      </c>
      <c r="Q8" s="23">
        <v>536.8014816369714</v>
      </c>
      <c r="S8">
        <v>-450</v>
      </c>
      <c r="T8">
        <v>3</v>
      </c>
      <c r="U8" s="40">
        <f t="shared" si="3"/>
        <v>6.0000000000000001E-3</v>
      </c>
    </row>
    <row r="9" spans="1:21" x14ac:dyDescent="0.3">
      <c r="B9" s="26">
        <f>SUM(B5:B8)</f>
        <v>10000</v>
      </c>
      <c r="C9" s="23"/>
      <c r="I9">
        <v>5</v>
      </c>
      <c r="J9" s="23">
        <f>'$ Portfolio Loss'!P9</f>
        <v>-118.58631800325747</v>
      </c>
      <c r="K9" s="23">
        <f t="shared" si="4"/>
        <v>4537.4703931937729</v>
      </c>
      <c r="L9" s="23">
        <f t="shared" si="5"/>
        <v>67.360748163851127</v>
      </c>
      <c r="M9" s="23">
        <f t="shared" si="1"/>
        <v>1.0802421818676566</v>
      </c>
      <c r="N9" s="23">
        <f t="shared" si="2"/>
        <v>-128.10194289949064</v>
      </c>
      <c r="P9">
        <v>98</v>
      </c>
      <c r="Q9" s="23">
        <v>503.63249383575629</v>
      </c>
      <c r="S9">
        <v>-400</v>
      </c>
      <c r="T9">
        <v>8</v>
      </c>
      <c r="U9" s="40">
        <f t="shared" si="3"/>
        <v>1.6E-2</v>
      </c>
    </row>
    <row r="10" spans="1:21" x14ac:dyDescent="0.3">
      <c r="I10">
        <v>6</v>
      </c>
      <c r="J10" s="23">
        <f>'$ Portfolio Loss'!P10</f>
        <v>-150.56444115341947</v>
      </c>
      <c r="K10" s="23">
        <f t="shared" si="4"/>
        <v>5625.4012259926385</v>
      </c>
      <c r="L10" s="23">
        <f t="shared" si="5"/>
        <v>75.002674792254169</v>
      </c>
      <c r="M10" s="23">
        <f t="shared" si="1"/>
        <v>0.97017768726657616</v>
      </c>
      <c r="N10" s="23">
        <f t="shared" si="2"/>
        <v>-146.07426130280899</v>
      </c>
      <c r="P10">
        <v>329</v>
      </c>
      <c r="Q10" s="23">
        <v>494.48474499894104</v>
      </c>
      <c r="S10">
        <v>-350</v>
      </c>
      <c r="T10">
        <v>5</v>
      </c>
      <c r="U10" s="40">
        <f t="shared" si="3"/>
        <v>0.01</v>
      </c>
    </row>
    <row r="11" spans="1:21" x14ac:dyDescent="0.3">
      <c r="A11" s="9" t="s">
        <v>29</v>
      </c>
      <c r="I11">
        <v>7</v>
      </c>
      <c r="J11" s="23">
        <f>'$ Portfolio Loss'!P11</f>
        <v>-14.973300534576993</v>
      </c>
      <c r="K11" s="23">
        <f t="shared" si="4"/>
        <v>5301.3291361670053</v>
      </c>
      <c r="L11" s="23">
        <f t="shared" si="5"/>
        <v>72.810226865235109</v>
      </c>
      <c r="M11" s="23">
        <f t="shared" si="1"/>
        <v>0.99939149624460266</v>
      </c>
      <c r="N11" s="23">
        <f t="shared" si="2"/>
        <v>-14.96418922497101</v>
      </c>
      <c r="P11">
        <v>283</v>
      </c>
      <c r="Q11" s="23">
        <v>445.85970799620821</v>
      </c>
      <c r="S11">
        <v>-300</v>
      </c>
      <c r="T11">
        <v>8</v>
      </c>
      <c r="U11" s="40">
        <f t="shared" si="3"/>
        <v>1.6E-2</v>
      </c>
    </row>
    <row r="12" spans="1:21" x14ac:dyDescent="0.3">
      <c r="A12" s="9" t="s">
        <v>36</v>
      </c>
      <c r="B12" s="39">
        <f>COUNT($Q$5:$Q$504)</f>
        <v>500</v>
      </c>
      <c r="I12">
        <v>8</v>
      </c>
      <c r="J12" s="23">
        <f>'$ Portfolio Loss'!P12</f>
        <v>-69.431549180715592</v>
      </c>
      <c r="K12" s="23">
        <f t="shared" si="4"/>
        <v>5272.493789295032</v>
      </c>
      <c r="L12" s="23">
        <f t="shared" si="5"/>
        <v>72.611939715827944</v>
      </c>
      <c r="M12" s="23">
        <f t="shared" si="1"/>
        <v>1.0021206134078082</v>
      </c>
      <c r="N12" s="23">
        <f t="shared" si="2"/>
        <v>-69.57878665483311</v>
      </c>
      <c r="P12">
        <v>487</v>
      </c>
      <c r="Q12" s="23">
        <v>439.31616169682286</v>
      </c>
      <c r="S12">
        <v>-250</v>
      </c>
      <c r="T12">
        <v>21</v>
      </c>
      <c r="U12" s="40">
        <f t="shared" si="3"/>
        <v>4.2000000000000003E-2</v>
      </c>
    </row>
    <row r="13" spans="1:21" x14ac:dyDescent="0.3">
      <c r="A13" s="9" t="s">
        <v>25</v>
      </c>
      <c r="B13" s="38">
        <f>MIN($N$5:$N$504)</f>
        <v>-164.89847596673718</v>
      </c>
      <c r="I13">
        <v>9</v>
      </c>
      <c r="J13" s="23">
        <f>'$ Portfolio Loss'!P13</f>
        <v>91.300137142372478</v>
      </c>
      <c r="K13" s="23">
        <f t="shared" si="4"/>
        <v>5456.2870644702916</v>
      </c>
      <c r="L13" s="23">
        <f t="shared" si="5"/>
        <v>73.866684401496542</v>
      </c>
      <c r="M13" s="23">
        <f t="shared" si="1"/>
        <v>0.98509797966892421</v>
      </c>
      <c r="N13" s="23">
        <f t="shared" si="2"/>
        <v>89.939580642446842</v>
      </c>
      <c r="P13">
        <v>441</v>
      </c>
      <c r="Q13" s="23">
        <v>403.37592368179878</v>
      </c>
      <c r="S13">
        <v>-200</v>
      </c>
      <c r="T13">
        <v>30</v>
      </c>
      <c r="U13" s="40">
        <f t="shared" si="3"/>
        <v>0.06</v>
      </c>
    </row>
    <row r="14" spans="1:21" x14ac:dyDescent="0.3">
      <c r="A14" s="9" t="s">
        <v>24</v>
      </c>
      <c r="B14" s="38">
        <f>MAX($N$5:$N$504)</f>
        <v>210.3881177249597</v>
      </c>
      <c r="I14">
        <v>10</v>
      </c>
      <c r="J14" s="23">
        <f>'$ Portfolio Loss'!P14</f>
        <v>-37.026300411896955</v>
      </c>
      <c r="K14" s="23">
        <f t="shared" si="4"/>
        <v>5211.1666559335963</v>
      </c>
      <c r="L14" s="23">
        <f t="shared" si="5"/>
        <v>72.188410814573245</v>
      </c>
      <c r="M14" s="23">
        <f t="shared" si="1"/>
        <v>1.0080000480363318</v>
      </c>
      <c r="N14" s="23">
        <f t="shared" si="2"/>
        <v>-37.322512593799786</v>
      </c>
      <c r="P14">
        <v>238</v>
      </c>
      <c r="Q14" s="23">
        <v>401.77633623143294</v>
      </c>
      <c r="S14">
        <v>-150</v>
      </c>
      <c r="T14">
        <v>45</v>
      </c>
      <c r="U14" s="40">
        <f t="shared" si="3"/>
        <v>0.09</v>
      </c>
    </row>
    <row r="15" spans="1:21" x14ac:dyDescent="0.3">
      <c r="A15" s="9" t="s">
        <v>3</v>
      </c>
      <c r="B15" s="38">
        <f>AVERAGE($N$5:$N$504)</f>
        <v>-2.6630995625585783</v>
      </c>
      <c r="I15">
        <v>11</v>
      </c>
      <c r="J15" s="23">
        <f>'$ Portfolio Loss'!P15</f>
        <v>-61.255034663041442</v>
      </c>
      <c r="K15" s="23">
        <f t="shared" si="4"/>
        <v>5123.6274128718051</v>
      </c>
      <c r="L15" s="23">
        <f t="shared" si="5"/>
        <v>71.57951811008374</v>
      </c>
      <c r="M15" s="23">
        <f t="shared" si="1"/>
        <v>1.0165746220426903</v>
      </c>
      <c r="N15" s="23">
        <f t="shared" si="2"/>
        <v>-62.270313710793246</v>
      </c>
      <c r="P15">
        <v>349</v>
      </c>
      <c r="Q15" s="23">
        <v>400.84865628714243</v>
      </c>
      <c r="S15">
        <v>-100</v>
      </c>
      <c r="T15">
        <v>52</v>
      </c>
      <c r="U15" s="40">
        <f t="shared" si="3"/>
        <v>0.104</v>
      </c>
    </row>
    <row r="16" spans="1:21" x14ac:dyDescent="0.3">
      <c r="A16" s="9" t="s">
        <v>28</v>
      </c>
      <c r="B16" s="38">
        <f>_xlfn.STDEV.S($N$5:$N$504)</f>
        <v>71.40617210377151</v>
      </c>
      <c r="I16">
        <v>12</v>
      </c>
      <c r="J16" s="23">
        <f>'$ Portfolio Loss'!P16</f>
        <v>-39.824610230856706</v>
      </c>
      <c r="K16" s="23">
        <f t="shared" si="4"/>
        <v>4911.3697429018757</v>
      </c>
      <c r="L16" s="23">
        <f t="shared" si="5"/>
        <v>70.081165393434176</v>
      </c>
      <c r="M16" s="23">
        <f t="shared" si="1"/>
        <v>1.0383092398685145</v>
      </c>
      <c r="N16" s="23">
        <f t="shared" si="2"/>
        <v>-41.350260776860694</v>
      </c>
      <c r="P16">
        <v>237</v>
      </c>
      <c r="Q16" s="23">
        <v>398.62362986116159</v>
      </c>
      <c r="S16">
        <v>-50</v>
      </c>
      <c r="T16">
        <v>45</v>
      </c>
      <c r="U16" s="40">
        <f t="shared" si="3"/>
        <v>0.09</v>
      </c>
    </row>
    <row r="17" spans="1:21" x14ac:dyDescent="0.3">
      <c r="A17" s="9" t="s">
        <v>4</v>
      </c>
      <c r="B17" s="38">
        <f>SKEW($N$5:$N$504)</f>
        <v>0.34260609800812986</v>
      </c>
      <c r="I17">
        <v>13</v>
      </c>
      <c r="J17" s="23">
        <f>'$ Portfolio Loss'!P17</f>
        <v>72.558275954686906</v>
      </c>
      <c r="K17" s="23">
        <f t="shared" si="4"/>
        <v>4932.5697628987537</v>
      </c>
      <c r="L17" s="23">
        <f t="shared" si="5"/>
        <v>70.232255857965669</v>
      </c>
      <c r="M17" s="23">
        <f t="shared" si="1"/>
        <v>1.0360755279727107</v>
      </c>
      <c r="N17" s="23">
        <f t="shared" si="2"/>
        <v>75.175854068541881</v>
      </c>
      <c r="P17">
        <v>193</v>
      </c>
      <c r="Q17" s="23">
        <v>397.72667272436735</v>
      </c>
      <c r="S17">
        <v>0</v>
      </c>
      <c r="T17">
        <v>54</v>
      </c>
      <c r="U17" s="40">
        <f t="shared" si="3"/>
        <v>0.108</v>
      </c>
    </row>
    <row r="18" spans="1:21" x14ac:dyDescent="0.3">
      <c r="A18" s="9" t="s">
        <v>5</v>
      </c>
      <c r="B18" s="38">
        <f>KURT($N$5:$N$504)</f>
        <v>-0.1977016419222859</v>
      </c>
      <c r="C18" s="23"/>
      <c r="E18" s="1"/>
      <c r="F18" s="1"/>
      <c r="I18">
        <v>14</v>
      </c>
      <c r="J18" s="23">
        <f>'$ Portfolio Loss'!P18</f>
        <v>35.767826695031545</v>
      </c>
      <c r="K18" s="23">
        <f t="shared" si="4"/>
        <v>4713.375822713976</v>
      </c>
      <c r="L18" s="23">
        <f t="shared" si="5"/>
        <v>68.65402990876774</v>
      </c>
      <c r="M18" s="23">
        <f t="shared" si="1"/>
        <v>1.0598929395033723</v>
      </c>
      <c r="N18" s="23">
        <f t="shared" si="2"/>
        <v>37.910066975444174</v>
      </c>
      <c r="P18">
        <v>225</v>
      </c>
      <c r="Q18" s="23">
        <v>396.98942307651782</v>
      </c>
      <c r="S18">
        <v>50</v>
      </c>
      <c r="T18">
        <v>41</v>
      </c>
      <c r="U18" s="40">
        <f t="shared" si="3"/>
        <v>8.2000000000000003E-2</v>
      </c>
    </row>
    <row r="19" spans="1:21" x14ac:dyDescent="0.3">
      <c r="I19">
        <v>15</v>
      </c>
      <c r="J19" s="23">
        <f>'$ Portfolio Loss'!P19</f>
        <v>81.492869819576299</v>
      </c>
      <c r="K19" s="23">
        <f t="shared" si="4"/>
        <v>4829.0385432369631</v>
      </c>
      <c r="L19" s="23">
        <f t="shared" si="5"/>
        <v>69.491283937174188</v>
      </c>
      <c r="M19" s="23">
        <f t="shared" si="1"/>
        <v>1.0471229979653656</v>
      </c>
      <c r="N19" s="23">
        <f t="shared" si="2"/>
        <v>85.333058158275989</v>
      </c>
      <c r="P19">
        <v>194</v>
      </c>
      <c r="Q19" s="23">
        <v>385.16819027517295</v>
      </c>
      <c r="S19">
        <v>100</v>
      </c>
      <c r="T19">
        <v>33</v>
      </c>
      <c r="U19" s="40">
        <f t="shared" si="3"/>
        <v>6.6000000000000003E-2</v>
      </c>
    </row>
    <row r="20" spans="1:21" x14ac:dyDescent="0.3">
      <c r="I20">
        <v>16</v>
      </c>
      <c r="J20" s="23">
        <f>'$ Portfolio Loss'!P20</f>
        <v>87.058226931147146</v>
      </c>
      <c r="K20" s="23">
        <f t="shared" si="4"/>
        <v>4994.0443232264524</v>
      </c>
      <c r="L20" s="23">
        <f t="shared" si="5"/>
        <v>70.668552576280007</v>
      </c>
      <c r="M20" s="23">
        <f t="shared" si="1"/>
        <v>1.0296789578393071</v>
      </c>
      <c r="N20" s="23">
        <f t="shared" si="2"/>
        <v>89.642024377801491</v>
      </c>
      <c r="P20">
        <v>306</v>
      </c>
      <c r="Q20" s="23">
        <v>371.63370252536782</v>
      </c>
      <c r="S20">
        <v>150</v>
      </c>
      <c r="T20">
        <v>40</v>
      </c>
      <c r="U20" s="40">
        <f t="shared" si="3"/>
        <v>0.08</v>
      </c>
    </row>
    <row r="21" spans="1:21" x14ac:dyDescent="0.3">
      <c r="A21" s="9" t="s">
        <v>37</v>
      </c>
      <c r="B21" s="3">
        <v>0.95</v>
      </c>
      <c r="I21">
        <v>17</v>
      </c>
      <c r="J21" s="23">
        <f>'$ Portfolio Loss'!P21</f>
        <v>56.88225094142399</v>
      </c>
      <c r="K21" s="23">
        <f t="shared" si="4"/>
        <v>4888.5370921626527</v>
      </c>
      <c r="L21" s="23">
        <f t="shared" si="5"/>
        <v>69.918074145121111</v>
      </c>
      <c r="M21" s="23">
        <f t="shared" si="1"/>
        <v>1.0407312051777087</v>
      </c>
      <c r="N21" s="23">
        <f t="shared" si="2"/>
        <v>59.199133575489043</v>
      </c>
      <c r="P21">
        <v>292</v>
      </c>
      <c r="Q21" s="23">
        <v>370.56323093882224</v>
      </c>
      <c r="S21">
        <v>200</v>
      </c>
      <c r="T21">
        <v>23</v>
      </c>
      <c r="U21" s="40">
        <f t="shared" si="3"/>
        <v>4.5999999999999999E-2</v>
      </c>
    </row>
    <row r="22" spans="1:21" x14ac:dyDescent="0.3">
      <c r="A22" s="9" t="s">
        <v>30</v>
      </c>
      <c r="B22" s="9" t="s">
        <v>32</v>
      </c>
      <c r="C22" s="27" t="s">
        <v>6</v>
      </c>
      <c r="D22" s="27" t="s">
        <v>34</v>
      </c>
      <c r="E22" s="27" t="s">
        <v>35</v>
      </c>
      <c r="F22" s="27" t="s">
        <v>48</v>
      </c>
      <c r="G22" s="27" t="s">
        <v>31</v>
      </c>
      <c r="I22">
        <v>18</v>
      </c>
      <c r="J22" s="23">
        <f>'$ Portfolio Loss'!P22</f>
        <v>-59.339269308005896</v>
      </c>
      <c r="K22" s="23">
        <f t="shared" si="4"/>
        <v>4806.4937995533764</v>
      </c>
      <c r="L22" s="23">
        <f t="shared" si="5"/>
        <v>69.328881424362933</v>
      </c>
      <c r="M22" s="23">
        <f t="shared" si="1"/>
        <v>1.0495758776685749</v>
      </c>
      <c r="N22" s="23">
        <f t="shared" si="2"/>
        <v>-62.281065664162213</v>
      </c>
      <c r="P22">
        <v>135</v>
      </c>
      <c r="Q22" s="23">
        <v>368.08871191495064</v>
      </c>
      <c r="S22">
        <v>250</v>
      </c>
      <c r="T22">
        <v>30</v>
      </c>
      <c r="U22" s="40">
        <f t="shared" si="3"/>
        <v>0.06</v>
      </c>
    </row>
    <row r="23" spans="1:21" x14ac:dyDescent="0.3">
      <c r="A23" s="2">
        <v>0.995</v>
      </c>
      <c r="B23" s="1">
        <f>_xlfn.PERCENTILE.EXC($N$5:$N$504,A23)</f>
        <v>197.77605102360764</v>
      </c>
      <c r="C23" s="1">
        <f>SQRT(A23*(1-A23)/$B$12)/_xlfn.NORM.DIST(_xlfn.NORM.INV(A23,$B$15,$B$16),$B$15,$B$16,FALSE)</f>
        <v>15.577103939652027</v>
      </c>
      <c r="D23" s="1">
        <f>B23-_xlfn.NORM.S.INV($B$21)*C23</f>
        <v>172.15399511107094</v>
      </c>
      <c r="E23" s="1">
        <f>B23+_xlfn.NORM.S.INV($B$21)*C23</f>
        <v>223.39810693614433</v>
      </c>
      <c r="F23" s="1">
        <f>E23-D23</f>
        <v>51.244111825073389</v>
      </c>
      <c r="G23" s="1">
        <f>SUMIF($Q$5:$Q$504,"&gt;"&amp;B23)/COUNTIF($Q$5:$Q$504,"&gt;"&amp;B23)</f>
        <v>303.15516845899418</v>
      </c>
      <c r="I23">
        <v>19</v>
      </c>
      <c r="J23" s="23">
        <f>'$ Portfolio Loss'!P23</f>
        <v>-39.43281075685627</v>
      </c>
      <c r="K23" s="23">
        <f t="shared" si="4"/>
        <v>4611.4009654313368</v>
      </c>
      <c r="L23" s="23">
        <f t="shared" si="5"/>
        <v>67.907296849685721</v>
      </c>
      <c r="M23" s="23">
        <f t="shared" si="1"/>
        <v>1.0715479034576392</v>
      </c>
      <c r="N23" s="23">
        <f t="shared" si="2"/>
        <v>-42.25414569395118</v>
      </c>
      <c r="P23">
        <v>74</v>
      </c>
      <c r="Q23" s="23">
        <v>367.24874208935574</v>
      </c>
      <c r="S23">
        <v>300</v>
      </c>
      <c r="T23">
        <v>23</v>
      </c>
      <c r="U23" s="40">
        <f t="shared" si="3"/>
        <v>4.5999999999999999E-2</v>
      </c>
    </row>
    <row r="24" spans="1:21" x14ac:dyDescent="0.3">
      <c r="A24" s="154">
        <v>0.99</v>
      </c>
      <c r="B24" s="156">
        <f t="shared" ref="B24:B42" si="6">_xlfn.PERCENTILE.EXC($N$5:$N$504,A24)</f>
        <v>174.82960454623714</v>
      </c>
      <c r="C24" s="156">
        <f t="shared" ref="C24:C42" si="7">SQRT(A24*(1-A24)/$B$12)/_xlfn.NORM.DIST(_xlfn.NORM.INV(A24,$B$15,$B$16),$B$15,$B$16,FALSE)</f>
        <v>11.921646105953309</v>
      </c>
      <c r="D24" s="156">
        <f t="shared" ref="D24:D42" si="8">B24-_xlfn.NORM.S.INV($B$21)*C24</f>
        <v>155.22024170962794</v>
      </c>
      <c r="E24" s="156">
        <f t="shared" ref="E24:E42" si="9">B24+_xlfn.NORM.S.INV($B$21)*C24</f>
        <v>194.43896738284633</v>
      </c>
      <c r="F24" s="156">
        <f t="shared" ref="F24:F42" si="10">E24-D24</f>
        <v>39.218725673218387</v>
      </c>
      <c r="G24" s="1">
        <f t="shared" ref="G24:G42" si="11">SUMIF($Q$5:$Q$504,"&gt;"&amp;B24)/COUNTIF($Q$5:$Q$504,"&gt;"&amp;B24)</f>
        <v>290.81750599689724</v>
      </c>
      <c r="I24">
        <v>20</v>
      </c>
      <c r="J24" s="23">
        <f>'$ Portfolio Loss'!P24</f>
        <v>-55.64056134970815</v>
      </c>
      <c r="K24" s="23">
        <f t="shared" si="4"/>
        <v>4520.4692315440943</v>
      </c>
      <c r="L24" s="23">
        <f t="shared" si="5"/>
        <v>67.234434864465797</v>
      </c>
      <c r="M24" s="23">
        <f t="shared" si="1"/>
        <v>1.082271632318188</v>
      </c>
      <c r="N24" s="23">
        <f t="shared" si="2"/>
        <v>-60.218201155048924</v>
      </c>
      <c r="P24">
        <v>473</v>
      </c>
      <c r="Q24" s="23">
        <v>362.8332638679459</v>
      </c>
      <c r="S24">
        <v>350</v>
      </c>
      <c r="T24">
        <v>16</v>
      </c>
      <c r="U24" s="40">
        <f t="shared" si="3"/>
        <v>3.2000000000000001E-2</v>
      </c>
    </row>
    <row r="25" spans="1:21" x14ac:dyDescent="0.3">
      <c r="A25" s="2">
        <v>0.98499999999999999</v>
      </c>
      <c r="B25" s="1">
        <f t="shared" si="6"/>
        <v>157.4731149681979</v>
      </c>
      <c r="C25" s="1">
        <f t="shared" si="7"/>
        <v>10.249773002391283</v>
      </c>
      <c r="D25" s="1">
        <f t="shared" si="8"/>
        <v>140.61373866978533</v>
      </c>
      <c r="E25" s="1">
        <f t="shared" si="9"/>
        <v>174.33249126661048</v>
      </c>
      <c r="F25" s="1">
        <f t="shared" si="10"/>
        <v>33.718752596825141</v>
      </c>
      <c r="G25" s="1">
        <f t="shared" si="11"/>
        <v>282.65451937394863</v>
      </c>
      <c r="I25">
        <v>21</v>
      </c>
      <c r="J25" s="23">
        <f>'$ Portfolio Loss'!P25</f>
        <v>-112.10616656601997</v>
      </c>
      <c r="K25" s="23">
        <f t="shared" si="4"/>
        <v>5003.308632579141</v>
      </c>
      <c r="L25" s="23">
        <f t="shared" si="5"/>
        <v>70.734069814899954</v>
      </c>
      <c r="M25" s="23">
        <f t="shared" si="1"/>
        <v>1.0287252205220676</v>
      </c>
      <c r="N25" s="23">
        <f t="shared" si="2"/>
        <v>-115.32644092251253</v>
      </c>
      <c r="P25">
        <v>228</v>
      </c>
      <c r="Q25" s="23">
        <v>361.29698374360873</v>
      </c>
      <c r="S25">
        <v>400</v>
      </c>
      <c r="T25">
        <v>11</v>
      </c>
      <c r="U25" s="40">
        <f t="shared" si="3"/>
        <v>2.1999999999999999E-2</v>
      </c>
    </row>
    <row r="26" spans="1:21" x14ac:dyDescent="0.3">
      <c r="A26" s="2">
        <v>0.98</v>
      </c>
      <c r="B26" s="1">
        <f t="shared" si="6"/>
        <v>153.25182550930612</v>
      </c>
      <c r="C26" s="1">
        <f t="shared" si="7"/>
        <v>9.2335928554748428</v>
      </c>
      <c r="D26" s="1">
        <f t="shared" si="8"/>
        <v>138.06391681118512</v>
      </c>
      <c r="E26" s="1">
        <f t="shared" si="9"/>
        <v>168.43973420742711</v>
      </c>
      <c r="F26" s="1">
        <f t="shared" si="10"/>
        <v>30.375817396241985</v>
      </c>
      <c r="G26" s="1">
        <f t="shared" si="11"/>
        <v>281.52675003141553</v>
      </c>
      <c r="I26">
        <v>22</v>
      </c>
      <c r="J26" s="23">
        <f>'$ Portfolio Loss'!P26</f>
        <v>-55.451828801084048</v>
      </c>
      <c r="K26" s="23">
        <f t="shared" si="4"/>
        <v>4887.6044336674759</v>
      </c>
      <c r="L26" s="23">
        <f t="shared" si="5"/>
        <v>69.911404174622874</v>
      </c>
      <c r="M26" s="23">
        <f t="shared" si="1"/>
        <v>1.0408304972247944</v>
      </c>
      <c r="N26" s="23">
        <f t="shared" si="2"/>
        <v>-57.715954543056483</v>
      </c>
      <c r="P26">
        <v>477</v>
      </c>
      <c r="Q26" s="23">
        <v>353.68308267535281</v>
      </c>
      <c r="S26">
        <v>450</v>
      </c>
      <c r="T26">
        <v>5</v>
      </c>
      <c r="U26" s="40">
        <f t="shared" si="3"/>
        <v>0.01</v>
      </c>
    </row>
    <row r="27" spans="1:21" x14ac:dyDescent="0.3">
      <c r="A27" s="2">
        <v>0.97499999999999998</v>
      </c>
      <c r="B27" s="1">
        <f t="shared" si="6"/>
        <v>150.43714980550732</v>
      </c>
      <c r="C27" s="1">
        <f t="shared" si="7"/>
        <v>8.5305136189420168</v>
      </c>
      <c r="D27" s="1">
        <f t="shared" si="8"/>
        <v>136.40570353963162</v>
      </c>
      <c r="E27" s="1">
        <f t="shared" si="9"/>
        <v>164.46859607138302</v>
      </c>
      <c r="F27" s="1">
        <f t="shared" si="10"/>
        <v>28.062892531751402</v>
      </c>
      <c r="G27" s="1">
        <f t="shared" si="11"/>
        <v>278.10246904032374</v>
      </c>
      <c r="I27">
        <v>23</v>
      </c>
      <c r="J27" s="23">
        <f>'$ Portfolio Loss'!P27</f>
        <v>25.203174980855692</v>
      </c>
      <c r="K27" s="23">
        <f t="shared" si="4"/>
        <v>4632.4601693943641</v>
      </c>
      <c r="L27" s="23">
        <f t="shared" si="5"/>
        <v>68.062178700026664</v>
      </c>
      <c r="M27" s="23">
        <f t="shared" si="1"/>
        <v>1.0691094960309842</v>
      </c>
      <c r="N27" s="23">
        <f t="shared" si="2"/>
        <v>26.944953702163339</v>
      </c>
      <c r="P27">
        <v>304</v>
      </c>
      <c r="Q27" s="23">
        <v>349.58283346235669</v>
      </c>
      <c r="S27">
        <v>500</v>
      </c>
      <c r="T27">
        <v>1</v>
      </c>
      <c r="U27" s="40">
        <f t="shared" si="3"/>
        <v>2E-3</v>
      </c>
    </row>
    <row r="28" spans="1:21" x14ac:dyDescent="0.3">
      <c r="A28" s="2">
        <v>0.97</v>
      </c>
      <c r="B28" s="1">
        <f t="shared" si="6"/>
        <v>146.44886579576666</v>
      </c>
      <c r="C28" s="1">
        <f t="shared" si="7"/>
        <v>8.0060902993188421</v>
      </c>
      <c r="D28" s="1">
        <f t="shared" si="8"/>
        <v>133.28001912923108</v>
      </c>
      <c r="E28" s="1">
        <f t="shared" si="9"/>
        <v>159.61771246230225</v>
      </c>
      <c r="F28" s="1">
        <f t="shared" si="10"/>
        <v>26.337693333071172</v>
      </c>
      <c r="G28" s="1">
        <f t="shared" si="11"/>
        <v>274.74178113976058</v>
      </c>
      <c r="I28">
        <v>24</v>
      </c>
      <c r="J28" s="23">
        <f>'$ Portfolio Loss'!P28</f>
        <v>23.094865730034144</v>
      </c>
      <c r="K28" s="23">
        <f t="shared" si="4"/>
        <v>4386.5149286160004</v>
      </c>
      <c r="L28" s="23">
        <f t="shared" si="5"/>
        <v>66.230770255342804</v>
      </c>
      <c r="M28" s="23">
        <f t="shared" si="1"/>
        <v>1.098672434100014</v>
      </c>
      <c r="N28" s="23">
        <f t="shared" si="2"/>
        <v>25.37369234682961</v>
      </c>
      <c r="P28">
        <v>320</v>
      </c>
      <c r="Q28" s="23">
        <v>345.2991505150091</v>
      </c>
    </row>
    <row r="29" spans="1:21" x14ac:dyDescent="0.3">
      <c r="A29" s="2">
        <v>0.96499999999999997</v>
      </c>
      <c r="B29" s="1">
        <f t="shared" si="6"/>
        <v>143.74312603547494</v>
      </c>
      <c r="C29" s="1">
        <f t="shared" si="7"/>
        <v>7.5951640795767421</v>
      </c>
      <c r="D29" s="1">
        <f t="shared" si="8"/>
        <v>131.2501928518916</v>
      </c>
      <c r="E29" s="1">
        <f t="shared" si="9"/>
        <v>156.23605921905829</v>
      </c>
      <c r="F29" s="1">
        <f t="shared" si="10"/>
        <v>24.985866367166693</v>
      </c>
      <c r="G29" s="1">
        <f t="shared" si="11"/>
        <v>271.50964112228797</v>
      </c>
      <c r="I29">
        <v>25</v>
      </c>
      <c r="J29" s="23">
        <f>'$ Portfolio Loss'!P29</f>
        <v>1.7622115508602292</v>
      </c>
      <c r="K29" s="23">
        <f t="shared" si="4"/>
        <v>4123.5103562720396</v>
      </c>
      <c r="L29" s="23">
        <f t="shared" si="5"/>
        <v>64.214564985461351</v>
      </c>
      <c r="M29" s="23">
        <f t="shared" si="1"/>
        <v>1.1331684888814715</v>
      </c>
      <c r="N29" s="23">
        <f t="shared" si="2"/>
        <v>1.9968826001777602</v>
      </c>
      <c r="P29">
        <v>437</v>
      </c>
      <c r="Q29" s="23">
        <v>343.07124397637995</v>
      </c>
    </row>
    <row r="30" spans="1:21" x14ac:dyDescent="0.3">
      <c r="A30" s="2">
        <v>0.96</v>
      </c>
      <c r="B30" s="1">
        <f t="shared" si="6"/>
        <v>140.31575478628554</v>
      </c>
      <c r="C30" s="1">
        <f t="shared" si="7"/>
        <v>7.2617492546240205</v>
      </c>
      <c r="D30" s="1">
        <f t="shared" si="8"/>
        <v>128.37124018680507</v>
      </c>
      <c r="E30" s="1">
        <f t="shared" si="9"/>
        <v>152.26026938576601</v>
      </c>
      <c r="F30" s="1">
        <f t="shared" si="10"/>
        <v>23.889029198960941</v>
      </c>
      <c r="G30" s="1">
        <f t="shared" si="11"/>
        <v>271.50964112228797</v>
      </c>
      <c r="I30">
        <v>26</v>
      </c>
      <c r="J30" s="23">
        <f>'$ Portfolio Loss'!P30</f>
        <v>-11.092839921404448</v>
      </c>
      <c r="K30" s="23">
        <f t="shared" si="4"/>
        <v>3883.4828007470314</v>
      </c>
      <c r="L30" s="23">
        <f t="shared" si="5"/>
        <v>62.31759623691395</v>
      </c>
      <c r="M30" s="23">
        <f t="shared" si="1"/>
        <v>1.167662521707685</v>
      </c>
      <c r="N30" s="23">
        <f t="shared" si="2"/>
        <v>-12.952693435526795</v>
      </c>
      <c r="P30">
        <v>21</v>
      </c>
      <c r="Q30" s="23">
        <v>332.49301875650593</v>
      </c>
    </row>
    <row r="31" spans="1:21" x14ac:dyDescent="0.3">
      <c r="A31" s="2">
        <v>0.95499999999999996</v>
      </c>
      <c r="B31" s="1">
        <f t="shared" si="6"/>
        <v>139.51140595279625</v>
      </c>
      <c r="C31" s="1">
        <f t="shared" si="7"/>
        <v>6.9841069205334625</v>
      </c>
      <c r="D31" s="1">
        <f t="shared" si="8"/>
        <v>128.02357235353992</v>
      </c>
      <c r="E31" s="1">
        <f t="shared" si="9"/>
        <v>150.99923955205259</v>
      </c>
      <c r="F31" s="1">
        <f t="shared" si="10"/>
        <v>22.975667198512667</v>
      </c>
      <c r="G31" s="1">
        <f t="shared" si="11"/>
        <v>270.42145343071269</v>
      </c>
      <c r="I31">
        <v>27</v>
      </c>
      <c r="J31" s="23">
        <f>'$ Portfolio Loss'!P31</f>
        <v>83.47111815237804</v>
      </c>
      <c r="K31" s="23">
        <f t="shared" si="4"/>
        <v>4068.5194866387046</v>
      </c>
      <c r="L31" s="23">
        <f t="shared" si="5"/>
        <v>63.784947179085322</v>
      </c>
      <c r="M31" s="23">
        <f t="shared" si="1"/>
        <v>1.1408008438802277</v>
      </c>
      <c r="N31" s="23">
        <f t="shared" si="2"/>
        <v>95.223922027859061</v>
      </c>
      <c r="P31">
        <v>175</v>
      </c>
      <c r="Q31" s="23">
        <v>328.63575734326071</v>
      </c>
    </row>
    <row r="32" spans="1:21" x14ac:dyDescent="0.3">
      <c r="A32" s="2">
        <v>0.95</v>
      </c>
      <c r="B32" s="1">
        <f t="shared" si="6"/>
        <v>137.60632363365093</v>
      </c>
      <c r="C32" s="1">
        <f t="shared" si="7"/>
        <v>6.7482130513991967</v>
      </c>
      <c r="D32" s="1">
        <f t="shared" si="8"/>
        <v>126.50650092061571</v>
      </c>
      <c r="E32" s="1">
        <f t="shared" si="9"/>
        <v>148.70614634668615</v>
      </c>
      <c r="F32" s="1">
        <f t="shared" si="10"/>
        <v>22.199645426070447</v>
      </c>
      <c r="G32" s="1">
        <f t="shared" si="11"/>
        <v>269.34833804578159</v>
      </c>
      <c r="I32">
        <v>28</v>
      </c>
      <c r="J32" s="23">
        <f>'$ Portfolio Loss'!P32</f>
        <v>-1.6298478305016033</v>
      </c>
      <c r="K32" s="23">
        <f t="shared" si="4"/>
        <v>3824.5677016774175</v>
      </c>
      <c r="L32" s="23">
        <f t="shared" si="5"/>
        <v>61.843089360715297</v>
      </c>
      <c r="M32" s="23">
        <f t="shared" si="1"/>
        <v>1.1766217102177874</v>
      </c>
      <c r="N32" s="23">
        <f t="shared" si="2"/>
        <v>-1.917714341719547</v>
      </c>
      <c r="P32">
        <v>322</v>
      </c>
      <c r="Q32" s="23">
        <v>326.27629782936276</v>
      </c>
    </row>
    <row r="33" spans="1:17" x14ac:dyDescent="0.3">
      <c r="A33" s="2">
        <v>0.94499999999999995</v>
      </c>
      <c r="B33" s="1">
        <f t="shared" si="6"/>
        <v>130.08363611410681</v>
      </c>
      <c r="C33" s="1">
        <f t="shared" si="7"/>
        <v>6.5445538288187466</v>
      </c>
      <c r="D33" s="1">
        <f t="shared" si="8"/>
        <v>119.31880301199516</v>
      </c>
      <c r="E33" s="1">
        <f t="shared" si="9"/>
        <v>140.84846921621846</v>
      </c>
      <c r="F33" s="1">
        <f t="shared" si="10"/>
        <v>21.529666204223304</v>
      </c>
      <c r="G33" s="1">
        <f t="shared" si="11"/>
        <v>264.07432975785241</v>
      </c>
      <c r="I33">
        <v>29</v>
      </c>
      <c r="J33" s="23">
        <f>'$ Portfolio Loss'!P33</f>
        <v>26.017542645062349</v>
      </c>
      <c r="K33" s="23">
        <f t="shared" si="4"/>
        <v>3635.7083910940305</v>
      </c>
      <c r="L33" s="23">
        <f t="shared" si="5"/>
        <v>60.296835664021629</v>
      </c>
      <c r="M33" s="23">
        <f t="shared" si="1"/>
        <v>1.2067950294143679</v>
      </c>
      <c r="N33" s="23">
        <f t="shared" si="2"/>
        <v>31.397841141637588</v>
      </c>
      <c r="P33">
        <v>132</v>
      </c>
      <c r="Q33" s="23">
        <v>325.55991530150197</v>
      </c>
    </row>
    <row r="34" spans="1:17" x14ac:dyDescent="0.3">
      <c r="A34" s="2">
        <v>0.94</v>
      </c>
      <c r="B34" s="1">
        <f t="shared" si="6"/>
        <v>123.05449498583694</v>
      </c>
      <c r="C34" s="1">
        <f t="shared" si="7"/>
        <v>6.3664129743014675</v>
      </c>
      <c r="D34" s="1">
        <f t="shared" si="8"/>
        <v>112.58267751438626</v>
      </c>
      <c r="E34" s="1">
        <f t="shared" si="9"/>
        <v>133.52631245728762</v>
      </c>
      <c r="F34" s="1">
        <f t="shared" si="10"/>
        <v>20.943634942901355</v>
      </c>
      <c r="G34" s="1">
        <f t="shared" si="11"/>
        <v>258.95785431185806</v>
      </c>
      <c r="I34">
        <v>30</v>
      </c>
      <c r="J34" s="23">
        <f>'$ Portfolio Loss'!P34</f>
        <v>130.07833819139523</v>
      </c>
      <c r="K34" s="23">
        <f t="shared" si="4"/>
        <v>4432.7883316264888</v>
      </c>
      <c r="L34" s="23">
        <f t="shared" si="5"/>
        <v>66.579188427214163</v>
      </c>
      <c r="M34" s="23">
        <f t="shared" si="1"/>
        <v>1.0929229281355028</v>
      </c>
      <c r="N34" s="23">
        <f t="shared" si="2"/>
        <v>142.16559826313988</v>
      </c>
      <c r="P34">
        <v>451</v>
      </c>
      <c r="Q34" s="23">
        <v>323.05078943706189</v>
      </c>
    </row>
    <row r="35" spans="1:17" x14ac:dyDescent="0.3">
      <c r="A35" s="2">
        <v>0.93500000000000005</v>
      </c>
      <c r="B35" s="1">
        <f t="shared" si="6"/>
        <v>117.03385579845116</v>
      </c>
      <c r="C35" s="1">
        <f t="shared" si="7"/>
        <v>6.2088933607625183</v>
      </c>
      <c r="D35" s="1">
        <f t="shared" si="8"/>
        <v>106.82113503464602</v>
      </c>
      <c r="E35" s="1">
        <f t="shared" si="9"/>
        <v>127.24657656225629</v>
      </c>
      <c r="F35" s="1">
        <f t="shared" si="10"/>
        <v>20.425441527610275</v>
      </c>
      <c r="G35" s="1">
        <f t="shared" si="11"/>
        <v>254.84592730524565</v>
      </c>
      <c r="I35">
        <v>31</v>
      </c>
      <c r="J35" s="23">
        <f>'$ Portfolio Loss'!P35</f>
        <v>155.08620579541093</v>
      </c>
      <c r="K35" s="23">
        <f t="shared" si="4"/>
        <v>5609.9249054098937</v>
      </c>
      <c r="L35" s="23">
        <f t="shared" si="5"/>
        <v>74.89943194317226</v>
      </c>
      <c r="M35" s="23">
        <f t="shared" si="1"/>
        <v>0.97151499925880991</v>
      </c>
      <c r="N35" s="23">
        <f t="shared" si="2"/>
        <v>150.66857510838028</v>
      </c>
      <c r="P35">
        <v>141</v>
      </c>
      <c r="Q35" s="23">
        <v>317.75897188702044</v>
      </c>
    </row>
    <row r="36" spans="1:17" x14ac:dyDescent="0.3">
      <c r="A36" s="2">
        <v>0.93</v>
      </c>
      <c r="B36" s="1">
        <f t="shared" si="6"/>
        <v>109.4072174304046</v>
      </c>
      <c r="C36" s="1">
        <f t="shared" si="7"/>
        <v>6.068327357347397</v>
      </c>
      <c r="D36" s="1">
        <f t="shared" si="8"/>
        <v>99.425707167142889</v>
      </c>
      <c r="E36" s="1">
        <f t="shared" si="9"/>
        <v>119.38872769366631</v>
      </c>
      <c r="F36" s="1">
        <f t="shared" si="10"/>
        <v>19.963020526523422</v>
      </c>
      <c r="G36" s="1">
        <f t="shared" si="11"/>
        <v>246.09471088228608</v>
      </c>
      <c r="I36">
        <v>32</v>
      </c>
      <c r="J36" s="23">
        <f>'$ Portfolio Loss'!P36</f>
        <v>-32.206177312229556</v>
      </c>
      <c r="K36" s="23">
        <f t="shared" si="4"/>
        <v>5335.5636825093061</v>
      </c>
      <c r="L36" s="23">
        <f t="shared" si="5"/>
        <v>73.044942894832261</v>
      </c>
      <c r="M36" s="23">
        <f t="shared" si="1"/>
        <v>0.99618014177274805</v>
      </c>
      <c r="N36" s="23">
        <f t="shared" si="2"/>
        <v>-32.083154280855098</v>
      </c>
      <c r="P36">
        <v>142</v>
      </c>
      <c r="Q36" s="23">
        <v>315.49461456381835</v>
      </c>
    </row>
    <row r="37" spans="1:17" x14ac:dyDescent="0.3">
      <c r="A37" s="2">
        <v>0.92500000000000004</v>
      </c>
      <c r="B37" s="1">
        <f t="shared" si="6"/>
        <v>105.89736302102642</v>
      </c>
      <c r="C37" s="1">
        <f t="shared" si="7"/>
        <v>5.9419054697495985</v>
      </c>
      <c r="D37" s="1">
        <f t="shared" si="8"/>
        <v>96.123798258106007</v>
      </c>
      <c r="E37" s="1">
        <f t="shared" si="9"/>
        <v>115.67092778394684</v>
      </c>
      <c r="F37" s="1">
        <f t="shared" si="10"/>
        <v>19.54712952584083</v>
      </c>
      <c r="G37" s="1">
        <f t="shared" si="11"/>
        <v>240.5994777864575</v>
      </c>
      <c r="I37">
        <v>33</v>
      </c>
      <c r="J37" s="23">
        <f>'$ Portfolio Loss'!P37</f>
        <v>27.475564070495238</v>
      </c>
      <c r="K37" s="23">
        <f t="shared" si="4"/>
        <v>5060.7242588182608</v>
      </c>
      <c r="L37" s="23">
        <f t="shared" si="5"/>
        <v>71.138767622290601</v>
      </c>
      <c r="M37" s="23">
        <f t="shared" si="1"/>
        <v>1.0228729566290073</v>
      </c>
      <c r="N37" s="23">
        <f t="shared" si="2"/>
        <v>28.104011455837188</v>
      </c>
      <c r="P37">
        <v>242</v>
      </c>
      <c r="Q37" s="23">
        <v>310.58337376644658</v>
      </c>
    </row>
    <row r="38" spans="1:17" x14ac:dyDescent="0.3">
      <c r="A38" s="2">
        <v>0.92</v>
      </c>
      <c r="B38" s="1">
        <f t="shared" si="6"/>
        <v>104.72393006382819</v>
      </c>
      <c r="C38" s="1">
        <f t="shared" si="7"/>
        <v>5.8274336827135027</v>
      </c>
      <c r="D38" s="1">
        <f t="shared" si="8"/>
        <v>95.138654634997721</v>
      </c>
      <c r="E38" s="1">
        <f t="shared" si="9"/>
        <v>114.30920549265866</v>
      </c>
      <c r="F38" s="1">
        <f t="shared" si="10"/>
        <v>19.170550857660942</v>
      </c>
      <c r="G38" s="1">
        <f t="shared" si="11"/>
        <v>239.70938401982366</v>
      </c>
      <c r="I38">
        <v>34</v>
      </c>
      <c r="J38" s="23">
        <f>'$ Portfolio Loss'!P38</f>
        <v>41.076332986156558</v>
      </c>
      <c r="K38" s="23">
        <f t="shared" si="4"/>
        <v>4858.3167111845414</v>
      </c>
      <c r="L38" s="23">
        <f t="shared" si="5"/>
        <v>69.701626316640144</v>
      </c>
      <c r="M38" s="23">
        <f t="shared" si="1"/>
        <v>1.0439630380817182</v>
      </c>
      <c r="N38" s="23">
        <f t="shared" si="2"/>
        <v>42.8821733774843</v>
      </c>
      <c r="P38">
        <v>429</v>
      </c>
      <c r="Q38" s="23">
        <v>309.21464244621154</v>
      </c>
    </row>
    <row r="39" spans="1:17" x14ac:dyDescent="0.3">
      <c r="A39" s="2">
        <v>0.91500000000000004</v>
      </c>
      <c r="B39" s="1">
        <f t="shared" si="6"/>
        <v>102.62477111263937</v>
      </c>
      <c r="C39" s="1">
        <f t="shared" si="7"/>
        <v>5.723169854422161</v>
      </c>
      <c r="D39" s="1">
        <f t="shared" si="8"/>
        <v>93.210994419933755</v>
      </c>
      <c r="E39" s="1">
        <f t="shared" si="9"/>
        <v>112.03854780534498</v>
      </c>
      <c r="F39" s="1">
        <f t="shared" si="10"/>
        <v>18.827553385411221</v>
      </c>
      <c r="G39" s="1">
        <f t="shared" si="11"/>
        <v>238.82300107715474</v>
      </c>
      <c r="I39">
        <v>35</v>
      </c>
      <c r="J39" s="23">
        <f>'$ Portfolio Loss'!P39</f>
        <v>-43.392817476582422</v>
      </c>
      <c r="K39" s="23">
        <f t="shared" si="4"/>
        <v>4679.7939050268287</v>
      </c>
      <c r="L39" s="23">
        <f t="shared" si="5"/>
        <v>68.409019178956427</v>
      </c>
      <c r="M39" s="23">
        <f t="shared" si="1"/>
        <v>1.0636890053693402</v>
      </c>
      <c r="N39" s="23">
        <f t="shared" si="2"/>
        <v>-46.15646286183928</v>
      </c>
      <c r="P39">
        <v>485</v>
      </c>
      <c r="Q39" s="23">
        <v>307.36840882849748</v>
      </c>
    </row>
    <row r="40" spans="1:17" x14ac:dyDescent="0.3">
      <c r="A40" s="2">
        <v>0.91</v>
      </c>
      <c r="B40" s="1">
        <f t="shared" si="6"/>
        <v>101.52637445265184</v>
      </c>
      <c r="C40" s="1">
        <f t="shared" si="7"/>
        <v>5.6277103934001236</v>
      </c>
      <c r="D40" s="1">
        <f t="shared" si="8"/>
        <v>92.269614600635151</v>
      </c>
      <c r="E40" s="1">
        <f t="shared" si="9"/>
        <v>110.78313430466852</v>
      </c>
      <c r="F40" s="1">
        <f t="shared" si="10"/>
        <v>18.513519704033371</v>
      </c>
      <c r="G40" s="1">
        <f t="shared" si="11"/>
        <v>238.82300107715474</v>
      </c>
      <c r="I40">
        <v>36</v>
      </c>
      <c r="J40" s="23">
        <f>'$ Portfolio Loss'!P40</f>
        <v>81.319532510622594</v>
      </c>
      <c r="K40" s="23">
        <f t="shared" si="4"/>
        <v>4795.7782527899917</v>
      </c>
      <c r="L40" s="23">
        <f t="shared" si="5"/>
        <v>69.251557764356406</v>
      </c>
      <c r="M40" s="23">
        <f t="shared" si="1"/>
        <v>1.0507477942425247</v>
      </c>
      <c r="N40" s="23">
        <f t="shared" si="2"/>
        <v>85.446319414369967</v>
      </c>
      <c r="P40">
        <v>427</v>
      </c>
      <c r="Q40" s="23">
        <v>304.37279513481457</v>
      </c>
    </row>
    <row r="41" spans="1:17" x14ac:dyDescent="0.3">
      <c r="A41" s="2">
        <v>0.90500000000000003</v>
      </c>
      <c r="B41" s="1">
        <f t="shared" si="6"/>
        <v>97.85512237401062</v>
      </c>
      <c r="C41" s="1">
        <f t="shared" si="7"/>
        <v>5.5399098991037778</v>
      </c>
      <c r="D41" s="1">
        <f t="shared" si="8"/>
        <v>88.742781483485416</v>
      </c>
      <c r="E41" s="1">
        <f t="shared" si="9"/>
        <v>106.96746326453582</v>
      </c>
      <c r="F41" s="1">
        <f t="shared" si="10"/>
        <v>18.224681781050407</v>
      </c>
      <c r="G41" s="1">
        <f t="shared" si="11"/>
        <v>236.13627936288393</v>
      </c>
      <c r="I41">
        <v>37</v>
      </c>
      <c r="J41" s="23">
        <f>'$ Portfolio Loss'!P41</f>
        <v>-15.751944281506439</v>
      </c>
      <c r="K41" s="23">
        <f t="shared" si="4"/>
        <v>4522.9189825414533</v>
      </c>
      <c r="L41" s="23">
        <f t="shared" si="5"/>
        <v>67.252650375590804</v>
      </c>
      <c r="M41" s="23">
        <f t="shared" si="1"/>
        <v>1.0819784969421296</v>
      </c>
      <c r="N41" s="23">
        <f t="shared" si="2"/>
        <v>-17.043264997620511</v>
      </c>
      <c r="P41">
        <v>20</v>
      </c>
      <c r="Q41" s="23">
        <v>301.74918335375224</v>
      </c>
    </row>
    <row r="42" spans="1:17" x14ac:dyDescent="0.3">
      <c r="A42" s="2">
        <v>0.9</v>
      </c>
      <c r="B42" s="1">
        <f t="shared" si="6"/>
        <v>92.315259418915758</v>
      </c>
      <c r="C42" s="1">
        <f t="shared" si="7"/>
        <v>5.4588229897879383</v>
      </c>
      <c r="D42" s="1">
        <f t="shared" si="8"/>
        <v>83.336294625276992</v>
      </c>
      <c r="E42" s="1">
        <f t="shared" si="9"/>
        <v>101.29422421255452</v>
      </c>
      <c r="F42" s="1">
        <f t="shared" si="10"/>
        <v>17.957929587277533</v>
      </c>
      <c r="G42" s="1">
        <f t="shared" si="11"/>
        <v>234.36372661361051</v>
      </c>
      <c r="I42">
        <v>38</v>
      </c>
      <c r="J42" s="23">
        <f>'$ Portfolio Loss'!P42</f>
        <v>-97.387233190371262</v>
      </c>
      <c r="K42" s="23">
        <f t="shared" si="4"/>
        <v>4820.6002348975107</v>
      </c>
      <c r="L42" s="23">
        <f t="shared" si="5"/>
        <v>69.430542521987476</v>
      </c>
      <c r="M42" s="23">
        <f t="shared" si="1"/>
        <v>1.0480390751046278</v>
      </c>
      <c r="N42" s="23">
        <f t="shared" si="2"/>
        <v>-102.0656257998354</v>
      </c>
      <c r="P42">
        <v>459</v>
      </c>
      <c r="Q42" s="23">
        <v>300.72392787091064</v>
      </c>
    </row>
    <row r="43" spans="1:17" x14ac:dyDescent="0.3">
      <c r="A43" s="2"/>
      <c r="I43">
        <v>39</v>
      </c>
      <c r="J43" s="23">
        <f>'$ Portfolio Loss'!P43</f>
        <v>-45.240596867106433</v>
      </c>
      <c r="K43" s="23">
        <f t="shared" si="4"/>
        <v>4654.1669170971827</v>
      </c>
      <c r="L43" s="23">
        <f t="shared" si="5"/>
        <v>68.22145496174339</v>
      </c>
      <c r="M43" s="23">
        <f t="shared" si="1"/>
        <v>1.0666134518761188</v>
      </c>
      <c r="N43" s="23">
        <f t="shared" si="2"/>
        <v>-48.254229189360316</v>
      </c>
      <c r="P43">
        <v>376</v>
      </c>
      <c r="Q43" s="23">
        <v>298.43406062657118</v>
      </c>
    </row>
    <row r="44" spans="1:17" x14ac:dyDescent="0.3">
      <c r="A44" s="2"/>
      <c r="I44">
        <v>40</v>
      </c>
      <c r="J44" s="23">
        <f>'$ Portfolio Loss'!P44</f>
        <v>35.174552520771613</v>
      </c>
      <c r="K44" s="23">
        <f t="shared" si="4"/>
        <v>4449.1518507735427</v>
      </c>
      <c r="L44" s="23">
        <f t="shared" si="5"/>
        <v>66.701962870469885</v>
      </c>
      <c r="M44" s="23">
        <f t="shared" si="1"/>
        <v>1.0909112481451579</v>
      </c>
      <c r="N44" s="23">
        <f t="shared" si="2"/>
        <v>38.372314993382375</v>
      </c>
      <c r="P44">
        <v>298</v>
      </c>
      <c r="Q44" s="23">
        <v>297.24319851093549</v>
      </c>
    </row>
    <row r="45" spans="1:17" x14ac:dyDescent="0.3">
      <c r="A45" s="2"/>
      <c r="I45">
        <v>41</v>
      </c>
      <c r="J45" s="23">
        <f>'$ Portfolio Loss'!P45</f>
        <v>-51.852351654193626</v>
      </c>
      <c r="K45" s="23">
        <f t="shared" si="4"/>
        <v>4343.5227220513389</v>
      </c>
      <c r="L45" s="23">
        <f t="shared" si="5"/>
        <v>65.905407380967901</v>
      </c>
      <c r="M45" s="23">
        <f t="shared" si="1"/>
        <v>1.1040963778302895</v>
      </c>
      <c r="N45" s="23">
        <f t="shared" si="2"/>
        <v>-57.2499936433776</v>
      </c>
      <c r="P45">
        <v>249</v>
      </c>
      <c r="Q45" s="23">
        <v>295.80145751929712</v>
      </c>
    </row>
    <row r="46" spans="1:17" x14ac:dyDescent="0.3">
      <c r="A46" s="9"/>
      <c r="B46" s="155"/>
      <c r="C46" s="155"/>
      <c r="D46" s="155"/>
      <c r="E46" s="155"/>
      <c r="F46" s="155"/>
      <c r="G46" s="155"/>
      <c r="I46">
        <v>42</v>
      </c>
      <c r="J46" s="23">
        <f>'$ Portfolio Loss'!P46</f>
        <v>-28.987070945604501</v>
      </c>
      <c r="K46" s="23">
        <f t="shared" si="4"/>
        <v>4133.3263756485885</v>
      </c>
      <c r="L46" s="23">
        <f t="shared" si="5"/>
        <v>64.290950962391193</v>
      </c>
      <c r="M46" s="23">
        <f t="shared" si="1"/>
        <v>1.1318221379447748</v>
      </c>
      <c r="N46" s="23">
        <f t="shared" si="2"/>
        <v>-32.808208610410951</v>
      </c>
      <c r="P46">
        <v>221</v>
      </c>
      <c r="Q46" s="23">
        <v>289.24395544044444</v>
      </c>
    </row>
    <row r="47" spans="1:17" x14ac:dyDescent="0.3">
      <c r="I47">
        <v>43</v>
      </c>
      <c r="J47" s="23">
        <f>'$ Portfolio Loss'!P47</f>
        <v>9.0124274134759617</v>
      </c>
      <c r="K47" s="23">
        <f t="shared" si="4"/>
        <v>3890.2002239826634</v>
      </c>
      <c r="L47" s="23">
        <f t="shared" si="5"/>
        <v>62.371469631416119</v>
      </c>
      <c r="M47" s="23">
        <f t="shared" si="1"/>
        <v>1.1666539525004962</v>
      </c>
      <c r="N47" s="23">
        <f t="shared" si="2"/>
        <v>10.514384063555555</v>
      </c>
      <c r="P47">
        <v>445</v>
      </c>
      <c r="Q47" s="23">
        <v>288.4563360201708</v>
      </c>
    </row>
    <row r="48" spans="1:17" x14ac:dyDescent="0.3">
      <c r="I48">
        <v>44</v>
      </c>
      <c r="J48" s="23">
        <f>'$ Portfolio Loss'!P48</f>
        <v>-0.76697302039065107</v>
      </c>
      <c r="K48" s="23">
        <f t="shared" si="4"/>
        <v>3656.8235054005436</v>
      </c>
      <c r="L48" s="23">
        <f t="shared" si="5"/>
        <v>60.471675232298168</v>
      </c>
      <c r="M48" s="23">
        <f t="shared" si="1"/>
        <v>1.2033058665768814</v>
      </c>
      <c r="N48" s="23">
        <f t="shared" si="2"/>
        <v>-0.92290313494226051</v>
      </c>
      <c r="P48">
        <v>127</v>
      </c>
      <c r="Q48" s="23">
        <v>287.56112058670232</v>
      </c>
    </row>
    <row r="49" spans="9:17" x14ac:dyDescent="0.3">
      <c r="I49">
        <v>45</v>
      </c>
      <c r="J49" s="23">
        <f>'$ Portfolio Loss'!P49</f>
        <v>59.84980215948417</v>
      </c>
      <c r="K49" s="23">
        <f t="shared" si="4"/>
        <v>3652.3340241882747</v>
      </c>
      <c r="L49" s="23">
        <f t="shared" si="5"/>
        <v>60.434543302554005</v>
      </c>
      <c r="M49" s="23">
        <f t="shared" si="1"/>
        <v>1.2040451965437644</v>
      </c>
      <c r="N49" s="23">
        <f t="shared" si="2"/>
        <v>72.061866804221538</v>
      </c>
      <c r="P49">
        <v>296</v>
      </c>
      <c r="Q49" s="23">
        <v>285.0253766564216</v>
      </c>
    </row>
    <row r="50" spans="9:17" x14ac:dyDescent="0.3">
      <c r="I50">
        <v>46</v>
      </c>
      <c r="J50" s="23">
        <f>'$ Portfolio Loss'!P50</f>
        <v>-70.807302666375108</v>
      </c>
      <c r="K50" s="23">
        <f t="shared" si="4"/>
        <v>3734.0144293902372</v>
      </c>
      <c r="L50" s="23">
        <f t="shared" si="5"/>
        <v>61.106582537319476</v>
      </c>
      <c r="M50" s="23">
        <f t="shared" si="1"/>
        <v>1.1908033234278177</v>
      </c>
      <c r="N50" s="23">
        <f t="shared" si="2"/>
        <v>-84.317571338078849</v>
      </c>
      <c r="P50">
        <v>415</v>
      </c>
      <c r="Q50" s="23">
        <v>280.22995320013587</v>
      </c>
    </row>
    <row r="51" spans="9:17" x14ac:dyDescent="0.3">
      <c r="I51">
        <v>47</v>
      </c>
      <c r="J51" s="23">
        <f>'$ Portfolio Loss'!P51</f>
        <v>-101.25381715687399</v>
      </c>
      <c r="K51" s="23">
        <f t="shared" si="4"/>
        <v>4125.1136929570839</v>
      </c>
      <c r="L51" s="23">
        <f t="shared" si="5"/>
        <v>64.227047985697453</v>
      </c>
      <c r="M51" s="23">
        <f t="shared" si="1"/>
        <v>1.1329482492323224</v>
      </c>
      <c r="N51" s="23">
        <f t="shared" si="2"/>
        <v>-114.71533487597007</v>
      </c>
      <c r="P51">
        <v>365</v>
      </c>
      <c r="Q51" s="23">
        <v>279.25218601473887</v>
      </c>
    </row>
    <row r="52" spans="9:17" x14ac:dyDescent="0.3">
      <c r="I52">
        <v>48</v>
      </c>
      <c r="J52" s="23">
        <f>'$ Portfolio Loss'!P52</f>
        <v>24.048701912724937</v>
      </c>
      <c r="K52" s="23">
        <f t="shared" si="4"/>
        <v>3912.3072752008848</v>
      </c>
      <c r="L52" s="23">
        <f t="shared" si="5"/>
        <v>62.548439430579599</v>
      </c>
      <c r="M52" s="23">
        <f t="shared" si="1"/>
        <v>1.1633531105043271</v>
      </c>
      <c r="N52" s="23">
        <f t="shared" si="2"/>
        <v>27.977132173759916</v>
      </c>
      <c r="P52">
        <v>336</v>
      </c>
      <c r="Q52" s="23">
        <v>278.87291847191335</v>
      </c>
    </row>
    <row r="53" spans="9:17" x14ac:dyDescent="0.3">
      <c r="I53">
        <v>49</v>
      </c>
      <c r="J53" s="23">
        <f>'$ Portfolio Loss'!P53</f>
        <v>29.747836032629493</v>
      </c>
      <c r="K53" s="23">
        <f t="shared" si="4"/>
        <v>3730.6648636062841</v>
      </c>
      <c r="L53" s="23">
        <f t="shared" si="5"/>
        <v>61.079168818888526</v>
      </c>
      <c r="M53" s="23">
        <f t="shared" si="1"/>
        <v>1.1913377830094778</v>
      </c>
      <c r="N53" s="23">
        <f t="shared" si="2"/>
        <v>35.439721028442278</v>
      </c>
      <c r="P53">
        <v>185</v>
      </c>
      <c r="Q53" s="23">
        <v>276.22330775100767</v>
      </c>
    </row>
    <row r="54" spans="9:17" x14ac:dyDescent="0.3">
      <c r="I54">
        <v>50</v>
      </c>
      <c r="J54" s="23">
        <f>'$ Portfolio Loss'!P54</f>
        <v>-23.652915855562242</v>
      </c>
      <c r="K54" s="23">
        <f t="shared" si="4"/>
        <v>3540.3925974981257</v>
      </c>
      <c r="L54" s="23">
        <f t="shared" si="5"/>
        <v>59.501198286237276</v>
      </c>
      <c r="M54" s="23">
        <f t="shared" si="1"/>
        <v>1.2229320360693838</v>
      </c>
      <c r="N54" s="23">
        <f t="shared" si="2"/>
        <v>-28.925908546220544</v>
      </c>
      <c r="P54">
        <v>205</v>
      </c>
      <c r="Q54" s="23">
        <v>274.37533271452634</v>
      </c>
    </row>
    <row r="55" spans="9:17" x14ac:dyDescent="0.3">
      <c r="I55">
        <v>51</v>
      </c>
      <c r="J55" s="23">
        <f>'$ Portfolio Loss'!P55</f>
        <v>43.190384607334636</v>
      </c>
      <c r="K55" s="23">
        <f t="shared" si="4"/>
        <v>3439.8936010000075</v>
      </c>
      <c r="L55" s="23">
        <f t="shared" si="5"/>
        <v>58.650606143500404</v>
      </c>
      <c r="M55" s="23">
        <f t="shared" si="1"/>
        <v>1.2406678524467409</v>
      </c>
      <c r="N55" s="23">
        <f t="shared" si="2"/>
        <v>53.584921717130641</v>
      </c>
      <c r="P55">
        <v>233</v>
      </c>
      <c r="Q55" s="23">
        <v>271.33513202371756</v>
      </c>
    </row>
    <row r="56" spans="9:17" x14ac:dyDescent="0.3">
      <c r="I56">
        <v>52</v>
      </c>
      <c r="J56" s="23">
        <f>'$ Portfolio Loss'!P56</f>
        <v>84.450097055050719</v>
      </c>
      <c r="K56" s="23">
        <f t="shared" si="4"/>
        <v>3661.4091184964564</v>
      </c>
      <c r="L56" s="23">
        <f t="shared" si="5"/>
        <v>60.509578733424149</v>
      </c>
      <c r="M56" s="23">
        <f t="shared" si="1"/>
        <v>1.2025521097961636</v>
      </c>
      <c r="N56" s="23">
        <f t="shared" si="2"/>
        <v>101.55564238604202</v>
      </c>
      <c r="P56">
        <v>453</v>
      </c>
      <c r="Q56" s="23">
        <v>269.64890491036687</v>
      </c>
    </row>
    <row r="57" spans="9:17" x14ac:dyDescent="0.3">
      <c r="I57">
        <v>53</v>
      </c>
      <c r="J57" s="23">
        <f>'$ Portfolio Loss'!P57</f>
        <v>-2.4106247774107032</v>
      </c>
      <c r="K57" s="23">
        <f t="shared" si="4"/>
        <v>3442.0732380957165</v>
      </c>
      <c r="L57" s="23">
        <f t="shared" si="5"/>
        <v>58.669184740336355</v>
      </c>
      <c r="M57" s="23">
        <f t="shared" si="1"/>
        <v>1.2402749738352528</v>
      </c>
      <c r="N57" s="23">
        <f t="shared" si="2"/>
        <v>-2.9898375827296721</v>
      </c>
      <c r="P57">
        <v>302</v>
      </c>
      <c r="Q57" s="23">
        <v>268.13988688830193</v>
      </c>
    </row>
    <row r="58" spans="9:17" x14ac:dyDescent="0.3">
      <c r="I58">
        <v>54</v>
      </c>
      <c r="J58" s="23">
        <f>'$ Portfolio Loss'!P58</f>
        <v>-75.519634658701762</v>
      </c>
      <c r="K58" s="23">
        <f t="shared" si="4"/>
        <v>3577.7417569490008</v>
      </c>
      <c r="L58" s="23">
        <f t="shared" si="5"/>
        <v>59.814227044650515</v>
      </c>
      <c r="M58" s="23">
        <f t="shared" si="1"/>
        <v>1.2165320052441286</v>
      </c>
      <c r="N58" s="23">
        <f t="shared" si="2"/>
        <v>-91.872052586654448</v>
      </c>
      <c r="P58">
        <v>111</v>
      </c>
      <c r="Q58" s="23">
        <v>267.81250289055208</v>
      </c>
    </row>
    <row r="59" spans="9:17" x14ac:dyDescent="0.3">
      <c r="I59">
        <v>55</v>
      </c>
      <c r="J59" s="23">
        <f>'$ Portfolio Loss'!P59</f>
        <v>-45.211974040936184</v>
      </c>
      <c r="K59" s="23">
        <f t="shared" si="4"/>
        <v>3485.7246073327578</v>
      </c>
      <c r="L59" s="23">
        <f t="shared" si="5"/>
        <v>59.040025468598486</v>
      </c>
      <c r="M59" s="23">
        <f t="shared" si="1"/>
        <v>1.2324845897544228</v>
      </c>
      <c r="N59" s="23">
        <f t="shared" si="2"/>
        <v>-55.723061277830844</v>
      </c>
      <c r="P59">
        <v>408</v>
      </c>
      <c r="Q59" s="23">
        <v>267.34990378738786</v>
      </c>
    </row>
    <row r="60" spans="9:17" x14ac:dyDescent="0.3">
      <c r="I60">
        <v>56</v>
      </c>
      <c r="J60" s="23">
        <f>'$ Portfolio Loss'!P60</f>
        <v>-38.067827783341272</v>
      </c>
      <c r="K60" s="23">
        <f t="shared" si="4"/>
        <v>3363.5307016213201</v>
      </c>
      <c r="L60" s="23">
        <f t="shared" si="5"/>
        <v>57.995954183212817</v>
      </c>
      <c r="M60" s="23">
        <f t="shared" si="1"/>
        <v>1.2546723748847071</v>
      </c>
      <c r="N60" s="23">
        <f t="shared" si="2"/>
        <v>-47.762651891626831</v>
      </c>
      <c r="P60">
        <v>256</v>
      </c>
      <c r="Q60" s="23">
        <v>266.26891878406803</v>
      </c>
    </row>
    <row r="61" spans="9:17" x14ac:dyDescent="0.3">
      <c r="I61">
        <v>57</v>
      </c>
      <c r="J61" s="23">
        <f>'$ Portfolio Loss'!P61</f>
        <v>-12.17901148486817</v>
      </c>
      <c r="K61" s="23">
        <f t="shared" si="4"/>
        <v>3170.6185587689538</v>
      </c>
      <c r="L61" s="23">
        <f t="shared" si="5"/>
        <v>56.308245921613945</v>
      </c>
      <c r="M61" s="23">
        <f t="shared" si="1"/>
        <v>1.2922782512183539</v>
      </c>
      <c r="N61" s="23">
        <f t="shared" si="2"/>
        <v>-15.738671663233687</v>
      </c>
      <c r="P61">
        <v>100</v>
      </c>
      <c r="Q61" s="23">
        <v>264.30014915176275</v>
      </c>
    </row>
    <row r="62" spans="9:17" x14ac:dyDescent="0.3">
      <c r="I62">
        <v>58</v>
      </c>
      <c r="J62" s="23">
        <f>'$ Portfolio Loss'!P62</f>
        <v>18.049147858888318</v>
      </c>
      <c r="K62" s="23">
        <f t="shared" si="4"/>
        <v>2999.9277495487372</v>
      </c>
      <c r="L62" s="23">
        <f t="shared" si="5"/>
        <v>54.771596193179704</v>
      </c>
      <c r="M62" s="23">
        <f t="shared" si="1"/>
        <v>1.3285338866537777</v>
      </c>
      <c r="N62" s="23">
        <f t="shared" si="2"/>
        <v>23.978904555757609</v>
      </c>
      <c r="P62">
        <v>370</v>
      </c>
      <c r="Q62" s="23">
        <v>261.25223397933001</v>
      </c>
    </row>
    <row r="63" spans="9:17" x14ac:dyDescent="0.3">
      <c r="I63">
        <v>59</v>
      </c>
      <c r="J63" s="23">
        <f>'$ Portfolio Loss'!P63</f>
        <v>41.47714379673198</v>
      </c>
      <c r="K63" s="23">
        <f t="shared" si="4"/>
        <v>2923.1532920279001</v>
      </c>
      <c r="L63" s="23">
        <f t="shared" si="5"/>
        <v>54.06619361512238</v>
      </c>
      <c r="M63" s="23">
        <f t="shared" si="1"/>
        <v>1.3458672916157273</v>
      </c>
      <c r="N63" s="23">
        <f t="shared" si="2"/>
        <v>55.822731185663734</v>
      </c>
      <c r="P63">
        <v>110</v>
      </c>
      <c r="Q63" s="23">
        <v>256.13946826303533</v>
      </c>
    </row>
    <row r="64" spans="9:17" x14ac:dyDescent="0.3">
      <c r="I64">
        <v>60</v>
      </c>
      <c r="J64" s="23">
        <f>'$ Portfolio Loss'!P64</f>
        <v>14.292364227270809</v>
      </c>
      <c r="K64" s="23">
        <f t="shared" si="4"/>
        <v>2760.0203950185241</v>
      </c>
      <c r="L64" s="23">
        <f t="shared" si="5"/>
        <v>52.53589625216766</v>
      </c>
      <c r="M64" s="23">
        <f t="shared" si="1"/>
        <v>1.3850705281487212</v>
      </c>
      <c r="N64" s="23">
        <f t="shared" si="2"/>
        <v>19.795932468759869</v>
      </c>
      <c r="P64">
        <v>197</v>
      </c>
      <c r="Q64" s="23">
        <v>255.44918654731813</v>
      </c>
    </row>
    <row r="65" spans="9:17" x14ac:dyDescent="0.3">
      <c r="I65">
        <v>61</v>
      </c>
      <c r="J65" s="23">
        <f>'$ Portfolio Loss'!P65</f>
        <v>-39.02391067921053</v>
      </c>
      <c r="K65" s="23">
        <f t="shared" si="4"/>
        <v>2685.7911075993529</v>
      </c>
      <c r="L65" s="23">
        <f t="shared" si="5"/>
        <v>51.824618740511276</v>
      </c>
      <c r="M65" s="23">
        <f t="shared" si="1"/>
        <v>1.4040802100850807</v>
      </c>
      <c r="N65" s="23">
        <f t="shared" si="2"/>
        <v>-54.792700704807345</v>
      </c>
      <c r="P65">
        <v>70</v>
      </c>
      <c r="Q65" s="23">
        <v>252.31087048513132</v>
      </c>
    </row>
    <row r="66" spans="9:17" x14ac:dyDescent="0.3">
      <c r="I66">
        <v>62</v>
      </c>
      <c r="J66" s="23">
        <f>'$ Portfolio Loss'!P66</f>
        <v>-31.425997423397348</v>
      </c>
      <c r="K66" s="23">
        <f t="shared" si="4"/>
        <v>2583.8992399867143</v>
      </c>
      <c r="L66" s="23">
        <f t="shared" si="5"/>
        <v>50.832069011468676</v>
      </c>
      <c r="M66" s="23">
        <f t="shared" si="1"/>
        <v>1.4314963562143992</v>
      </c>
      <c r="N66" s="23">
        <f t="shared" si="2"/>
        <v>-44.986200801996404</v>
      </c>
      <c r="P66">
        <v>241</v>
      </c>
      <c r="Q66" s="23">
        <v>249.19403823308539</v>
      </c>
    </row>
    <row r="67" spans="9:17" x14ac:dyDescent="0.3">
      <c r="I67">
        <v>63</v>
      </c>
      <c r="J67" s="23">
        <f>'$ Portfolio Loss'!P67</f>
        <v>-45.503498612602925</v>
      </c>
      <c r="K67" s="23">
        <f t="shared" si="4"/>
        <v>2553.0993887467407</v>
      </c>
      <c r="L67" s="23">
        <f t="shared" si="5"/>
        <v>50.52820389393176</v>
      </c>
      <c r="M67" s="23">
        <f t="shared" si="1"/>
        <v>1.4401050494790135</v>
      </c>
      <c r="N67" s="23">
        <f t="shared" si="2"/>
        <v>-65.529818120970759</v>
      </c>
      <c r="P67">
        <v>465</v>
      </c>
      <c r="Q67" s="23">
        <v>245.45199242557189</v>
      </c>
    </row>
    <row r="68" spans="9:17" x14ac:dyDescent="0.3">
      <c r="I68">
        <v>64</v>
      </c>
      <c r="J68" s="23">
        <f>'$ Portfolio Loss'!P68</f>
        <v>-75.332368974681231</v>
      </c>
      <c r="K68" s="23">
        <f t="shared" si="4"/>
        <v>2740.4113743421872</v>
      </c>
      <c r="L68" s="23">
        <f t="shared" si="5"/>
        <v>52.348938617150466</v>
      </c>
      <c r="M68" s="23">
        <f t="shared" si="1"/>
        <v>1.3900171329341307</v>
      </c>
      <c r="N68" s="23">
        <f t="shared" si="2"/>
        <v>-104.71328353932246</v>
      </c>
      <c r="P68">
        <v>481</v>
      </c>
      <c r="Q68" s="23">
        <v>245.30249936322068</v>
      </c>
    </row>
    <row r="69" spans="9:17" x14ac:dyDescent="0.3">
      <c r="I69">
        <v>65</v>
      </c>
      <c r="J69" s="23">
        <f>'$ Portfolio Loss'!P69</f>
        <v>-13.703420104413453</v>
      </c>
      <c r="K69" s="23">
        <f t="shared" si="4"/>
        <v>2587.2537152351383</v>
      </c>
      <c r="L69" s="23">
        <f t="shared" si="5"/>
        <v>50.865053968664363</v>
      </c>
      <c r="M69" s="23">
        <f t="shared" si="1"/>
        <v>1.4305680598232344</v>
      </c>
      <c r="N69" s="23">
        <f t="shared" si="2"/>
        <v>-19.603675111713457</v>
      </c>
      <c r="P69">
        <v>240</v>
      </c>
      <c r="Q69" s="23">
        <v>243.51964780109992</v>
      </c>
    </row>
    <row r="70" spans="9:17" x14ac:dyDescent="0.3">
      <c r="I70">
        <v>66</v>
      </c>
      <c r="J70" s="23">
        <f>'$ Portfolio Loss'!P70</f>
        <v>-52.041807418727331</v>
      </c>
      <c r="K70" s="23">
        <f t="shared" si="4"/>
        <v>2594.5194754855042</v>
      </c>
      <c r="L70" s="23">
        <f t="shared" si="5"/>
        <v>50.936425821660322</v>
      </c>
      <c r="M70" s="23">
        <f t="shared" ref="M70:M133" si="12">$M$2/L70</f>
        <v>1.4285635553528206</v>
      </c>
      <c r="N70" s="23">
        <f t="shared" ref="N70:N133" si="13">M70*J70</f>
        <v>-74.345029433083909</v>
      </c>
      <c r="P70">
        <v>284</v>
      </c>
      <c r="Q70" s="23">
        <v>242.60918361081738</v>
      </c>
    </row>
    <row r="71" spans="9:17" x14ac:dyDescent="0.3">
      <c r="I71">
        <v>67</v>
      </c>
      <c r="J71" s="23">
        <f>'$ Portfolio Loss'!P71</f>
        <v>27.793594823559033</v>
      </c>
      <c r="K71" s="23">
        <f t="shared" ref="K71:K134" si="14">K70*$K$2+(1-$K$2)*J71^2</f>
        <v>2485.1973417493441</v>
      </c>
      <c r="L71" s="23">
        <f t="shared" ref="L71:L134" si="15">SQRT(K71)</f>
        <v>49.851753647683687</v>
      </c>
      <c r="M71" s="23">
        <f t="shared" si="12"/>
        <v>1.4596461757998214</v>
      </c>
      <c r="N71" s="23">
        <f t="shared" si="13"/>
        <v>40.56881439593765</v>
      </c>
      <c r="P71">
        <v>469</v>
      </c>
      <c r="Q71" s="23">
        <v>241.49577667076429</v>
      </c>
    </row>
    <row r="72" spans="9:17" x14ac:dyDescent="0.3">
      <c r="I72">
        <v>68</v>
      </c>
      <c r="J72" s="23">
        <f>'$ Portfolio Loss'!P72</f>
        <v>-21.149687750057637</v>
      </c>
      <c r="K72" s="23">
        <f t="shared" si="14"/>
        <v>2362.9240587598797</v>
      </c>
      <c r="L72" s="23">
        <f t="shared" si="15"/>
        <v>48.609917288140693</v>
      </c>
      <c r="M72" s="23">
        <f t="shared" si="12"/>
        <v>1.4969357206972436</v>
      </c>
      <c r="N72" s="23">
        <f t="shared" si="13"/>
        <v>-31.659723074654192</v>
      </c>
      <c r="P72">
        <v>490</v>
      </c>
      <c r="Q72" s="23">
        <v>235.03233797229754</v>
      </c>
    </row>
    <row r="73" spans="9:17" x14ac:dyDescent="0.3">
      <c r="I73">
        <v>69</v>
      </c>
      <c r="J73" s="23">
        <f>'$ Portfolio Loss'!P73</f>
        <v>14.972752358245998</v>
      </c>
      <c r="K73" s="23">
        <f t="shared" si="14"/>
        <v>2234.5996140251686</v>
      </c>
      <c r="L73" s="23">
        <f t="shared" si="15"/>
        <v>47.271551847016497</v>
      </c>
      <c r="M73" s="23">
        <f t="shared" si="12"/>
        <v>1.5393173848881976</v>
      </c>
      <c r="N73" s="23">
        <f t="shared" si="13"/>
        <v>23.047818004673822</v>
      </c>
      <c r="P73">
        <v>56</v>
      </c>
      <c r="Q73" s="23">
        <v>234.58036165942224</v>
      </c>
    </row>
    <row r="74" spans="9:17" x14ac:dyDescent="0.3">
      <c r="I74">
        <v>70</v>
      </c>
      <c r="J74" s="23">
        <f>'$ Portfolio Loss'!P74</f>
        <v>10.577998784774536</v>
      </c>
      <c r="K74" s="23">
        <f t="shared" si="14"/>
        <v>2107.2372806810999</v>
      </c>
      <c r="L74" s="23">
        <f t="shared" si="15"/>
        <v>45.904654237681605</v>
      </c>
      <c r="M74" s="23">
        <f t="shared" si="12"/>
        <v>1.5851534616074976</v>
      </c>
      <c r="N74" s="23">
        <f t="shared" si="13"/>
        <v>16.767751390565259</v>
      </c>
      <c r="P74">
        <v>378</v>
      </c>
      <c r="Q74" s="23">
        <v>234.02570492037722</v>
      </c>
    </row>
    <row r="75" spans="9:17" x14ac:dyDescent="0.3">
      <c r="I75">
        <v>71</v>
      </c>
      <c r="J75" s="23">
        <f>'$ Portfolio Loss'!P75</f>
        <v>-49.688514878745991</v>
      </c>
      <c r="K75" s="23">
        <f t="shared" si="14"/>
        <v>2128.9399544915559</v>
      </c>
      <c r="L75" s="23">
        <f t="shared" si="15"/>
        <v>46.140437302777656</v>
      </c>
      <c r="M75" s="23">
        <f t="shared" si="12"/>
        <v>1.5770531408547308</v>
      </c>
      <c r="N75" s="23">
        <f t="shared" si="13"/>
        <v>-78.361428453933385</v>
      </c>
      <c r="P75">
        <v>134</v>
      </c>
      <c r="Q75" s="23">
        <v>233.72526211770335</v>
      </c>
    </row>
    <row r="76" spans="9:17" x14ac:dyDescent="0.3">
      <c r="I76">
        <v>72</v>
      </c>
      <c r="J76" s="23">
        <f>'$ Portfolio Loss'!P76</f>
        <v>42.140566460897389</v>
      </c>
      <c r="K76" s="23">
        <f t="shared" si="14"/>
        <v>2107.7531977207814</v>
      </c>
      <c r="L76" s="23">
        <f t="shared" si="15"/>
        <v>45.910273335287187</v>
      </c>
      <c r="M76" s="23">
        <f t="shared" si="12"/>
        <v>1.5849594498673465</v>
      </c>
      <c r="N76" s="23">
        <f t="shared" si="13"/>
        <v>66.791089034962283</v>
      </c>
      <c r="P76">
        <v>216</v>
      </c>
      <c r="Q76" s="23">
        <v>233.55034437352361</v>
      </c>
    </row>
    <row r="77" spans="9:17" x14ac:dyDescent="0.3">
      <c r="I77">
        <v>73</v>
      </c>
      <c r="J77" s="23">
        <f>'$ Portfolio Loss'!P77</f>
        <v>-52.090910776058081</v>
      </c>
      <c r="K77" s="23">
        <f t="shared" si="14"/>
        <v>2144.0957849862893</v>
      </c>
      <c r="L77" s="23">
        <f t="shared" si="15"/>
        <v>46.304381919925127</v>
      </c>
      <c r="M77" s="23">
        <f t="shared" si="12"/>
        <v>1.5714694495780444</v>
      </c>
      <c r="N77" s="23">
        <f t="shared" si="13"/>
        <v>-81.859274885271006</v>
      </c>
      <c r="P77">
        <v>461</v>
      </c>
      <c r="Q77" s="23">
        <v>230.57391127875664</v>
      </c>
    </row>
    <row r="78" spans="9:17" x14ac:dyDescent="0.3">
      <c r="I78">
        <v>74</v>
      </c>
      <c r="J78" s="23">
        <f>'$ Portfolio Loss'!P78</f>
        <v>42.062891708150346</v>
      </c>
      <c r="K78" s="23">
        <f t="shared" si="14"/>
        <v>2121.6072494182072</v>
      </c>
      <c r="L78" s="23">
        <f t="shared" si="15"/>
        <v>46.060908039444982</v>
      </c>
      <c r="M78" s="23">
        <f t="shared" si="12"/>
        <v>1.5797760979102289</v>
      </c>
      <c r="N78" s="23">
        <f t="shared" si="13"/>
        <v>66.449950929522274</v>
      </c>
      <c r="P78">
        <v>334</v>
      </c>
      <c r="Q78" s="23">
        <v>230.48015660439836</v>
      </c>
    </row>
    <row r="79" spans="9:17" x14ac:dyDescent="0.3">
      <c r="I79">
        <v>75</v>
      </c>
      <c r="J79" s="23">
        <f>'$ Portfolio Loss'!P79</f>
        <v>29.492935027308704</v>
      </c>
      <c r="K79" s="23">
        <f t="shared" si="14"/>
        <v>2046.500807444618</v>
      </c>
      <c r="L79" s="23">
        <f t="shared" si="15"/>
        <v>45.23826706942495</v>
      </c>
      <c r="M79" s="23">
        <f t="shared" si="12"/>
        <v>1.6085037355008758</v>
      </c>
      <c r="N79" s="23">
        <f t="shared" si="13"/>
        <v>47.439496162310675</v>
      </c>
      <c r="P79">
        <v>254</v>
      </c>
      <c r="Q79" s="23">
        <v>224.57121111576964</v>
      </c>
    </row>
    <row r="80" spans="9:17" x14ac:dyDescent="0.3">
      <c r="I80">
        <v>76</v>
      </c>
      <c r="J80" s="23">
        <f>'$ Portfolio Loss'!P80</f>
        <v>90.974661000205742</v>
      </c>
      <c r="K80" s="23">
        <f t="shared" si="14"/>
        <v>2420.2940956440825</v>
      </c>
      <c r="L80" s="23">
        <f t="shared" si="15"/>
        <v>49.196484586239315</v>
      </c>
      <c r="M80" s="23">
        <f t="shared" si="12"/>
        <v>1.4790878287492424</v>
      </c>
      <c r="N80" s="23">
        <f t="shared" si="13"/>
        <v>134.55951380999269</v>
      </c>
      <c r="P80">
        <v>444</v>
      </c>
      <c r="Q80" s="23">
        <v>223.71655314941248</v>
      </c>
    </row>
    <row r="81" spans="9:17" x14ac:dyDescent="0.3">
      <c r="I81">
        <v>77</v>
      </c>
      <c r="J81" s="23">
        <f>'$ Portfolio Loss'!P81</f>
        <v>-7.7669676584409899</v>
      </c>
      <c r="K81" s="23">
        <f t="shared" si="14"/>
        <v>2278.6959971018737</v>
      </c>
      <c r="L81" s="23">
        <f t="shared" si="15"/>
        <v>47.735688924554907</v>
      </c>
      <c r="M81" s="23">
        <f t="shared" si="12"/>
        <v>1.5243505060492799</v>
      </c>
      <c r="N81" s="23">
        <f t="shared" si="13"/>
        <v>-11.839581080612913</v>
      </c>
      <c r="P81">
        <v>120</v>
      </c>
      <c r="Q81" s="23">
        <v>223.18177726717462</v>
      </c>
    </row>
    <row r="82" spans="9:17" x14ac:dyDescent="0.3">
      <c r="I82">
        <v>78</v>
      </c>
      <c r="J82" s="23">
        <f>'$ Portfolio Loss'!P82</f>
        <v>-18.078819578435287</v>
      </c>
      <c r="K82" s="23">
        <f t="shared" si="14"/>
        <v>2161.5848603167378</v>
      </c>
      <c r="L82" s="23">
        <f t="shared" si="15"/>
        <v>46.492847410292455</v>
      </c>
      <c r="M82" s="23">
        <f t="shared" si="12"/>
        <v>1.5650992705739843</v>
      </c>
      <c r="N82" s="23">
        <f t="shared" si="13"/>
        <v>-28.295147335047734</v>
      </c>
      <c r="P82">
        <v>430</v>
      </c>
      <c r="Q82" s="23">
        <v>221.78439210469594</v>
      </c>
    </row>
    <row r="83" spans="9:17" x14ac:dyDescent="0.3">
      <c r="I83">
        <v>79</v>
      </c>
      <c r="J83" s="23">
        <f>'$ Portfolio Loss'!P83</f>
        <v>-35.439429521753482</v>
      </c>
      <c r="K83" s="23">
        <f t="shared" si="14"/>
        <v>2107.2469585873732</v>
      </c>
      <c r="L83" s="23">
        <f t="shared" si="15"/>
        <v>45.904759650687346</v>
      </c>
      <c r="M83" s="23">
        <f t="shared" si="12"/>
        <v>1.5851498215537816</v>
      </c>
      <c r="N83" s="23">
        <f t="shared" si="13"/>
        <v>-56.176805382375349</v>
      </c>
      <c r="P83">
        <v>375</v>
      </c>
      <c r="Q83" s="23">
        <v>219.47420297060245</v>
      </c>
    </row>
    <row r="84" spans="9:17" x14ac:dyDescent="0.3">
      <c r="I84">
        <v>80</v>
      </c>
      <c r="J84" s="23">
        <f>'$ Portfolio Loss'!P84</f>
        <v>-44.390868681701249</v>
      </c>
      <c r="K84" s="23">
        <f t="shared" si="14"/>
        <v>2099.0450944110935</v>
      </c>
      <c r="L84" s="23">
        <f t="shared" si="15"/>
        <v>45.815336890730087</v>
      </c>
      <c r="M84" s="23">
        <f t="shared" si="12"/>
        <v>1.5882437303103005</v>
      </c>
      <c r="N84" s="23">
        <f t="shared" si="13"/>
        <v>-70.503518866739881</v>
      </c>
      <c r="P84">
        <v>495</v>
      </c>
      <c r="Q84" s="23">
        <v>216.89441804844625</v>
      </c>
    </row>
    <row r="85" spans="9:17" x14ac:dyDescent="0.3">
      <c r="I85">
        <v>81</v>
      </c>
      <c r="J85" s="23">
        <f>'$ Portfolio Loss'!P85</f>
        <v>-31.677569586667232</v>
      </c>
      <c r="K85" s="23">
        <f t="shared" si="14"/>
        <v>2033.3104936415166</v>
      </c>
      <c r="L85" s="23">
        <f t="shared" si="15"/>
        <v>45.092244273727566</v>
      </c>
      <c r="M85" s="23">
        <f t="shared" si="12"/>
        <v>1.6137125738749809</v>
      </c>
      <c r="N85" s="23">
        <f t="shared" si="13"/>
        <v>-51.118492351804598</v>
      </c>
      <c r="P85">
        <v>435</v>
      </c>
      <c r="Q85" s="23">
        <v>216.83943067530046</v>
      </c>
    </row>
    <row r="86" spans="9:17" x14ac:dyDescent="0.3">
      <c r="I86">
        <v>82</v>
      </c>
      <c r="J86" s="23">
        <f>'$ Portfolio Loss'!P86</f>
        <v>-42.637269321383428</v>
      </c>
      <c r="K86" s="23">
        <f t="shared" si="14"/>
        <v>2020.3880681340765</v>
      </c>
      <c r="L86" s="23">
        <f t="shared" si="15"/>
        <v>44.948727102489528</v>
      </c>
      <c r="M86" s="23">
        <f t="shared" si="12"/>
        <v>1.6188650104115201</v>
      </c>
      <c r="N86" s="23">
        <f t="shared" si="13"/>
        <v>-69.023983443880169</v>
      </c>
      <c r="P86">
        <v>223</v>
      </c>
      <c r="Q86" s="23">
        <v>214.99195746590047</v>
      </c>
    </row>
    <row r="87" spans="9:17" x14ac:dyDescent="0.3">
      <c r="I87">
        <v>83</v>
      </c>
      <c r="J87" s="23">
        <f>'$ Portfolio Loss'!P87</f>
        <v>-42.78123194343425</v>
      </c>
      <c r="K87" s="23">
        <f t="shared" si="14"/>
        <v>2008.9788124419072</v>
      </c>
      <c r="L87" s="23">
        <f t="shared" si="15"/>
        <v>44.821633308503017</v>
      </c>
      <c r="M87" s="23">
        <f t="shared" si="12"/>
        <v>1.6234553762892887</v>
      </c>
      <c r="N87" s="23">
        <f t="shared" si="13"/>
        <v>-69.453421002847392</v>
      </c>
      <c r="P87">
        <v>488</v>
      </c>
      <c r="Q87" s="23">
        <v>212.72127901506764</v>
      </c>
    </row>
    <row r="88" spans="9:17" x14ac:dyDescent="0.3">
      <c r="I88">
        <v>84</v>
      </c>
      <c r="J88" s="23">
        <f>'$ Portfolio Loss'!P88</f>
        <v>52.159878670374383</v>
      </c>
      <c r="K88" s="23">
        <f t="shared" si="14"/>
        <v>2051.6792602698833</v>
      </c>
      <c r="L88" s="23">
        <f t="shared" si="15"/>
        <v>45.295466222017005</v>
      </c>
      <c r="M88" s="23">
        <f t="shared" si="12"/>
        <v>1.6064725156396904</v>
      </c>
      <c r="N88" s="23">
        <f t="shared" si="13"/>
        <v>83.793411503057371</v>
      </c>
      <c r="P88">
        <v>366</v>
      </c>
      <c r="Q88" s="23">
        <v>212.20568215720363</v>
      </c>
    </row>
    <row r="89" spans="9:17" x14ac:dyDescent="0.3">
      <c r="I89">
        <v>85</v>
      </c>
      <c r="J89" s="23">
        <f>'$ Portfolio Loss'!P89</f>
        <v>-25.871490935322072</v>
      </c>
      <c r="K89" s="23">
        <f t="shared" si="14"/>
        <v>1968.7385472466774</v>
      </c>
      <c r="L89" s="23">
        <f t="shared" si="15"/>
        <v>44.37046931515011</v>
      </c>
      <c r="M89" s="23">
        <f t="shared" si="12"/>
        <v>1.6399628557435759</v>
      </c>
      <c r="N89" s="23">
        <f t="shared" si="13"/>
        <v>-42.428284156634824</v>
      </c>
      <c r="P89">
        <v>472</v>
      </c>
      <c r="Q89" s="23">
        <v>211.12406874366189</v>
      </c>
    </row>
    <row r="90" spans="9:17" x14ac:dyDescent="0.3">
      <c r="I90">
        <v>86</v>
      </c>
      <c r="J90" s="23">
        <f>'$ Portfolio Loss'!P90</f>
        <v>-23.92512322683433</v>
      </c>
      <c r="K90" s="23">
        <f t="shared" si="14"/>
        <v>1884.9589256970291</v>
      </c>
      <c r="L90" s="23">
        <f t="shared" si="15"/>
        <v>43.416113664134301</v>
      </c>
      <c r="M90" s="23">
        <f t="shared" si="12"/>
        <v>1.676011863513883</v>
      </c>
      <c r="N90" s="23">
        <f t="shared" si="13"/>
        <v>-40.09879036420589</v>
      </c>
      <c r="P90">
        <v>318</v>
      </c>
      <c r="Q90" s="23">
        <v>210.42502180824454</v>
      </c>
    </row>
    <row r="91" spans="9:17" x14ac:dyDescent="0.3">
      <c r="I91">
        <v>87</v>
      </c>
      <c r="J91" s="23">
        <f>'$ Portfolio Loss'!P91</f>
        <v>62.287658887842554</v>
      </c>
      <c r="K91" s="23">
        <f t="shared" si="14"/>
        <v>2004.6465371389015</v>
      </c>
      <c r="L91" s="23">
        <f t="shared" si="15"/>
        <v>44.773279276136357</v>
      </c>
      <c r="M91" s="23">
        <f t="shared" si="12"/>
        <v>1.6252086678748072</v>
      </c>
      <c r="N91" s="23">
        <f t="shared" si="13"/>
        <v>101.23044312615099</v>
      </c>
      <c r="P91">
        <v>31</v>
      </c>
      <c r="Q91" s="23">
        <v>207.67738255266778</v>
      </c>
    </row>
    <row r="92" spans="9:17" x14ac:dyDescent="0.3">
      <c r="I92">
        <v>88</v>
      </c>
      <c r="J92" s="23">
        <f>'$ Portfolio Loss'!P92</f>
        <v>15.815665313972204</v>
      </c>
      <c r="K92" s="23">
        <f t="shared" si="14"/>
        <v>1899.3758610699824</v>
      </c>
      <c r="L92" s="23">
        <f t="shared" si="15"/>
        <v>43.581829482824403</v>
      </c>
      <c r="M92" s="23">
        <f t="shared" si="12"/>
        <v>1.6696389856105818</v>
      </c>
      <c r="N92" s="23">
        <f t="shared" si="13"/>
        <v>26.406451391577015</v>
      </c>
      <c r="P92">
        <v>23</v>
      </c>
      <c r="Q92" s="23">
        <v>204.28704111658016</v>
      </c>
    </row>
    <row r="93" spans="9:17" x14ac:dyDescent="0.3">
      <c r="I93">
        <v>89</v>
      </c>
      <c r="J93" s="23">
        <f>'$ Portfolio Loss'!P93</f>
        <v>21.396406804200524</v>
      </c>
      <c r="K93" s="23">
        <f t="shared" si="14"/>
        <v>1812.8816828536337</v>
      </c>
      <c r="L93" s="23">
        <f t="shared" si="15"/>
        <v>42.577948316630213</v>
      </c>
      <c r="M93" s="23">
        <f t="shared" si="12"/>
        <v>1.7090048827067408</v>
      </c>
      <c r="N93" s="23">
        <f t="shared" si="13"/>
        <v>36.566563700758429</v>
      </c>
      <c r="P93">
        <v>299</v>
      </c>
      <c r="Q93" s="23">
        <v>201.57457239049933</v>
      </c>
    </row>
    <row r="94" spans="9:17" x14ac:dyDescent="0.3">
      <c r="I94">
        <v>90</v>
      </c>
      <c r="J94" s="23">
        <f>'$ Portfolio Loss'!P94</f>
        <v>98.788857615676534</v>
      </c>
      <c r="K94" s="23">
        <f t="shared" si="14"/>
        <v>2289.663085223041</v>
      </c>
      <c r="L94" s="23">
        <f t="shared" si="15"/>
        <v>47.85042408613576</v>
      </c>
      <c r="M94" s="23">
        <f t="shared" si="12"/>
        <v>1.5206954370513002</v>
      </c>
      <c r="N94" s="23">
        <f t="shared" si="13"/>
        <v>150.22776500766989</v>
      </c>
      <c r="P94">
        <v>321</v>
      </c>
      <c r="Q94" s="23">
        <v>201.27924529235548</v>
      </c>
    </row>
    <row r="95" spans="9:17" x14ac:dyDescent="0.3">
      <c r="I95">
        <v>91</v>
      </c>
      <c r="J95" s="23">
        <f>'$ Portfolio Loss'!P95</f>
        <v>14.180501838131022</v>
      </c>
      <c r="K95" s="23">
        <f t="shared" si="14"/>
        <v>2164.3484980525327</v>
      </c>
      <c r="L95" s="23">
        <f t="shared" si="15"/>
        <v>46.522559023043144</v>
      </c>
      <c r="M95" s="23">
        <f t="shared" si="12"/>
        <v>1.5640997205831801</v>
      </c>
      <c r="N95" s="23">
        <f t="shared" si="13"/>
        <v>22.179718962750005</v>
      </c>
      <c r="P95">
        <v>416</v>
      </c>
      <c r="Q95" s="23">
        <v>200.31730549361703</v>
      </c>
    </row>
    <row r="96" spans="9:17" x14ac:dyDescent="0.3">
      <c r="I96">
        <v>92</v>
      </c>
      <c r="J96" s="23">
        <f>'$ Portfolio Loss'!P96</f>
        <v>40.34537678045308</v>
      </c>
      <c r="K96" s="23">
        <f t="shared" si="14"/>
        <v>2132.1525538227843</v>
      </c>
      <c r="L96" s="23">
        <f t="shared" si="15"/>
        <v>46.175237452803472</v>
      </c>
      <c r="M96" s="23">
        <f t="shared" si="12"/>
        <v>1.5758645885282478</v>
      </c>
      <c r="N96" s="23">
        <f t="shared" si="13"/>
        <v>63.578850579145815</v>
      </c>
      <c r="P96">
        <v>418</v>
      </c>
      <c r="Q96" s="23">
        <v>199.80176750299225</v>
      </c>
    </row>
    <row r="97" spans="9:17" x14ac:dyDescent="0.3">
      <c r="I97">
        <v>93</v>
      </c>
      <c r="J97" s="23">
        <f>'$ Portfolio Loss'!P97</f>
        <v>33.763832907512551</v>
      </c>
      <c r="K97" s="23">
        <f t="shared" si="14"/>
        <v>2072.623185349803</v>
      </c>
      <c r="L97" s="23">
        <f t="shared" si="15"/>
        <v>45.52607149040869</v>
      </c>
      <c r="M97" s="23">
        <f t="shared" si="12"/>
        <v>1.5983351777692132</v>
      </c>
      <c r="N97" s="23">
        <f t="shared" si="13"/>
        <v>53.965921872399086</v>
      </c>
      <c r="P97">
        <v>280</v>
      </c>
      <c r="Q97" s="23">
        <v>196.90049186895445</v>
      </c>
    </row>
    <row r="98" spans="9:17" x14ac:dyDescent="0.3">
      <c r="I98">
        <v>94</v>
      </c>
      <c r="J98" s="23">
        <f>'$ Portfolio Loss'!P98</f>
        <v>83.999946449876006</v>
      </c>
      <c r="K98" s="23">
        <f t="shared" si="14"/>
        <v>2371.6252544437375</v>
      </c>
      <c r="L98" s="23">
        <f t="shared" si="15"/>
        <v>48.699335256692542</v>
      </c>
      <c r="M98" s="23">
        <f t="shared" si="12"/>
        <v>1.4941871626216165</v>
      </c>
      <c r="N98" s="23">
        <f t="shared" si="13"/>
        <v>125.51164164630796</v>
      </c>
      <c r="P98">
        <v>294</v>
      </c>
      <c r="Q98" s="23">
        <v>196.07105386391072</v>
      </c>
    </row>
    <row r="99" spans="9:17" x14ac:dyDescent="0.3">
      <c r="I99">
        <v>95</v>
      </c>
      <c r="J99" s="23">
        <f>'$ Portfolio Loss'!P99</f>
        <v>45.596149453640464</v>
      </c>
      <c r="K99" s="23">
        <f t="shared" si="14"/>
        <v>2354.0682698770361</v>
      </c>
      <c r="L99" s="23">
        <f t="shared" si="15"/>
        <v>48.518741429235732</v>
      </c>
      <c r="M99" s="23">
        <f t="shared" si="12"/>
        <v>1.4997487450263915</v>
      </c>
      <c r="N99" s="23">
        <f t="shared" si="13"/>
        <v>68.38276792113308</v>
      </c>
      <c r="P99">
        <v>93</v>
      </c>
      <c r="Q99" s="23">
        <v>195.23655076035598</v>
      </c>
    </row>
    <row r="100" spans="9:17" x14ac:dyDescent="0.3">
      <c r="I100">
        <v>96</v>
      </c>
      <c r="J100" s="23">
        <f>'$ Portfolio Loss'!P100</f>
        <v>27.742666606205603</v>
      </c>
      <c r="K100" s="23">
        <f t="shared" si="14"/>
        <v>2259.0035067097983</v>
      </c>
      <c r="L100" s="23">
        <f t="shared" si="15"/>
        <v>47.528975443510227</v>
      </c>
      <c r="M100" s="23">
        <f t="shared" si="12"/>
        <v>1.530980226056861</v>
      </c>
      <c r="N100" s="23">
        <f t="shared" si="13"/>
        <v>42.473473992188786</v>
      </c>
      <c r="P100">
        <v>371</v>
      </c>
      <c r="Q100" s="23">
        <v>193.08074472124113</v>
      </c>
    </row>
    <row r="101" spans="9:17" x14ac:dyDescent="0.3">
      <c r="I101">
        <v>97</v>
      </c>
      <c r="J101" s="23">
        <f>'$ Portfolio Loss'!P101</f>
        <v>55.943662541565573</v>
      </c>
      <c r="K101" s="23">
        <f t="shared" si="14"/>
        <v>2311.2448990210846</v>
      </c>
      <c r="L101" s="23">
        <f t="shared" si="15"/>
        <v>48.075408464422686</v>
      </c>
      <c r="M101" s="23">
        <f t="shared" si="12"/>
        <v>1.513578852327492</v>
      </c>
      <c r="N101" s="23">
        <f t="shared" si="13"/>
        <v>84.675144544659318</v>
      </c>
      <c r="P101">
        <v>41</v>
      </c>
      <c r="Q101" s="23">
        <v>190.83464183329994</v>
      </c>
    </row>
    <row r="102" spans="9:17" x14ac:dyDescent="0.3">
      <c r="I102">
        <v>98</v>
      </c>
      <c r="J102" s="23">
        <f>'$ Portfolio Loss'!P102</f>
        <v>-75.187363725979594</v>
      </c>
      <c r="K102" s="23">
        <f t="shared" si="14"/>
        <v>2511.7585849235847</v>
      </c>
      <c r="L102" s="23">
        <f t="shared" si="15"/>
        <v>50.117447909122276</v>
      </c>
      <c r="M102" s="23">
        <f t="shared" si="12"/>
        <v>1.4519079602916409</v>
      </c>
      <c r="N102" s="23">
        <f t="shared" si="13"/>
        <v>-109.16513190709274</v>
      </c>
      <c r="P102">
        <v>335</v>
      </c>
      <c r="Q102" s="23">
        <v>189.97623565413039</v>
      </c>
    </row>
    <row r="103" spans="9:17" x14ac:dyDescent="0.3">
      <c r="I103">
        <v>99</v>
      </c>
      <c r="J103" s="23">
        <f>'$ Portfolio Loss'!P103</f>
        <v>54.684932618347375</v>
      </c>
      <c r="K103" s="23">
        <f t="shared" si="14"/>
        <v>2540.4795811565614</v>
      </c>
      <c r="L103" s="23">
        <f t="shared" si="15"/>
        <v>50.403170348268382</v>
      </c>
      <c r="M103" s="23">
        <f t="shared" si="12"/>
        <v>1.4436774723885237</v>
      </c>
      <c r="N103" s="23">
        <f t="shared" si="13"/>
        <v>78.947405300192472</v>
      </c>
      <c r="P103">
        <v>358</v>
      </c>
      <c r="Q103" s="23">
        <v>189.90646497344113</v>
      </c>
    </row>
    <row r="104" spans="9:17" x14ac:dyDescent="0.3">
      <c r="I104">
        <v>100</v>
      </c>
      <c r="J104" s="23">
        <f>'$ Portfolio Loss'!P104</f>
        <v>17.608126440696651</v>
      </c>
      <c r="K104" s="23">
        <f t="shared" si="14"/>
        <v>2406.6535732922612</v>
      </c>
      <c r="L104" s="23">
        <f t="shared" si="15"/>
        <v>49.057655603302742</v>
      </c>
      <c r="M104" s="23">
        <f t="shared" si="12"/>
        <v>1.4832735212046582</v>
      </c>
      <c r="N104" s="23">
        <f t="shared" si="13"/>
        <v>26.117667707508968</v>
      </c>
      <c r="P104">
        <v>466</v>
      </c>
      <c r="Q104" s="23">
        <v>184.0983410910975</v>
      </c>
    </row>
    <row r="105" spans="9:17" x14ac:dyDescent="0.3">
      <c r="I105">
        <v>101</v>
      </c>
      <c r="J105" s="23">
        <f>'$ Portfolio Loss'!P105</f>
        <v>46.923438349458593</v>
      </c>
      <c r="K105" s="23">
        <f t="shared" si="14"/>
        <v>2394.3629028868522</v>
      </c>
      <c r="L105" s="23">
        <f t="shared" si="15"/>
        <v>48.932227650975101</v>
      </c>
      <c r="M105" s="23">
        <f t="shared" si="12"/>
        <v>1.4870755954088724</v>
      </c>
      <c r="N105" s="23">
        <f t="shared" si="13"/>
        <v>69.778700022152648</v>
      </c>
      <c r="P105">
        <v>63</v>
      </c>
      <c r="Q105" s="23">
        <v>177.18852721644447</v>
      </c>
    </row>
    <row r="106" spans="9:17" x14ac:dyDescent="0.3">
      <c r="I106">
        <v>102</v>
      </c>
      <c r="J106" s="23">
        <f>'$ Portfolio Loss'!P106</f>
        <v>-64.205861462356552</v>
      </c>
      <c r="K106" s="23">
        <f t="shared" si="14"/>
        <v>2498.0446874810405</v>
      </c>
      <c r="L106" s="23">
        <f t="shared" si="15"/>
        <v>49.9804430500675</v>
      </c>
      <c r="M106" s="23">
        <f t="shared" si="12"/>
        <v>1.4558878859049653</v>
      </c>
      <c r="N106" s="23">
        <f t="shared" si="13"/>
        <v>-93.476535907137361</v>
      </c>
      <c r="P106">
        <v>62</v>
      </c>
      <c r="Q106" s="23">
        <v>175.42802742888682</v>
      </c>
    </row>
    <row r="107" spans="9:17" x14ac:dyDescent="0.3">
      <c r="I107">
        <v>103</v>
      </c>
      <c r="J107" s="23">
        <f>'$ Portfolio Loss'!P107</f>
        <v>-25.158564551336895</v>
      </c>
      <c r="K107" s="23">
        <f t="shared" si="14"/>
        <v>2386.1392084492054</v>
      </c>
      <c r="L107" s="23">
        <f t="shared" si="15"/>
        <v>48.848123898970833</v>
      </c>
      <c r="M107" s="23">
        <f t="shared" si="12"/>
        <v>1.4896359524319289</v>
      </c>
      <c r="N107" s="23">
        <f t="shared" si="13"/>
        <v>-37.477102267250899</v>
      </c>
      <c r="P107">
        <v>364</v>
      </c>
      <c r="Q107" s="23">
        <v>175.20654004118765</v>
      </c>
    </row>
    <row r="108" spans="9:17" x14ac:dyDescent="0.3">
      <c r="I108">
        <v>104</v>
      </c>
      <c r="J108" s="23">
        <f>'$ Portfolio Loss'!P108</f>
        <v>-46.415000211824008</v>
      </c>
      <c r="K108" s="23">
        <f t="shared" si="14"/>
        <v>2372.2319906220705</v>
      </c>
      <c r="L108" s="23">
        <f t="shared" si="15"/>
        <v>48.7055642675667</v>
      </c>
      <c r="M108" s="23">
        <f t="shared" si="12"/>
        <v>1.4939960692994476</v>
      </c>
      <c r="N108" s="23">
        <f t="shared" si="13"/>
        <v>-69.343827872998091</v>
      </c>
      <c r="P108">
        <v>133</v>
      </c>
      <c r="Q108" s="23">
        <v>170.29276390011745</v>
      </c>
    </row>
    <row r="109" spans="9:17" x14ac:dyDescent="0.3">
      <c r="I109">
        <v>105</v>
      </c>
      <c r="J109" s="23">
        <f>'$ Portfolio Loss'!P109</f>
        <v>41.544658048424026</v>
      </c>
      <c r="K109" s="23">
        <f t="shared" si="14"/>
        <v>2333.4555879263753</v>
      </c>
      <c r="L109" s="23">
        <f t="shared" si="15"/>
        <v>48.30585459265135</v>
      </c>
      <c r="M109" s="23">
        <f t="shared" si="12"/>
        <v>1.5063582288807282</v>
      </c>
      <c r="N109" s="23">
        <f t="shared" si="13"/>
        <v>62.581137517279508</v>
      </c>
      <c r="P109">
        <v>423</v>
      </c>
      <c r="Q109" s="23">
        <v>165.24856138442433</v>
      </c>
    </row>
    <row r="110" spans="9:17" x14ac:dyDescent="0.3">
      <c r="I110">
        <v>106</v>
      </c>
      <c r="J110" s="23">
        <f>'$ Portfolio Loss'!P110</f>
        <v>43.216045745144584</v>
      </c>
      <c r="K110" s="23">
        <f t="shared" si="14"/>
        <v>2305.5058492415787</v>
      </c>
      <c r="L110" s="23">
        <f t="shared" si="15"/>
        <v>48.015683367432963</v>
      </c>
      <c r="M110" s="23">
        <f t="shared" si="12"/>
        <v>1.5154615422616349</v>
      </c>
      <c r="N110" s="23">
        <f t="shared" si="13"/>
        <v>65.492255335386176</v>
      </c>
      <c r="P110">
        <v>279</v>
      </c>
      <c r="Q110" s="23">
        <v>162.97627952366688</v>
      </c>
    </row>
    <row r="111" spans="9:17" x14ac:dyDescent="0.3">
      <c r="I111">
        <v>107</v>
      </c>
      <c r="J111" s="23">
        <f>'$ Portfolio Loss'!P111</f>
        <v>-69.165800514263537</v>
      </c>
      <c r="K111" s="23">
        <f t="shared" si="14"/>
        <v>2454.209975933818</v>
      </c>
      <c r="L111" s="23">
        <f t="shared" si="15"/>
        <v>49.539983608534008</v>
      </c>
      <c r="M111" s="23">
        <f t="shared" si="12"/>
        <v>1.4688321688548411</v>
      </c>
      <c r="N111" s="23">
        <f t="shared" si="13"/>
        <v>-101.592952779947</v>
      </c>
      <c r="P111">
        <v>231</v>
      </c>
      <c r="Q111" s="23">
        <v>161.31129371950277</v>
      </c>
    </row>
    <row r="112" spans="9:17" x14ac:dyDescent="0.3">
      <c r="I112">
        <v>108</v>
      </c>
      <c r="J112" s="23">
        <f>'$ Portfolio Loss'!P112</f>
        <v>-29.763899731253332</v>
      </c>
      <c r="K112" s="23">
        <f t="shared" si="14"/>
        <v>2360.110761010515</v>
      </c>
      <c r="L112" s="23">
        <f t="shared" si="15"/>
        <v>48.580971182249073</v>
      </c>
      <c r="M112" s="23">
        <f t="shared" si="12"/>
        <v>1.4978276431687334</v>
      </c>
      <c r="N112" s="23">
        <f t="shared" si="13"/>
        <v>-44.581191785973672</v>
      </c>
      <c r="P112">
        <v>226</v>
      </c>
      <c r="Q112" s="23">
        <v>161.04813305478092</v>
      </c>
    </row>
    <row r="113" spans="9:17" x14ac:dyDescent="0.3">
      <c r="I113">
        <v>109</v>
      </c>
      <c r="J113" s="23">
        <f>'$ Portfolio Loss'!P113</f>
        <v>19.397871418801515</v>
      </c>
      <c r="K113" s="23">
        <f t="shared" si="14"/>
        <v>2241.0807602847058</v>
      </c>
      <c r="L113" s="23">
        <f t="shared" si="15"/>
        <v>47.340054502341943</v>
      </c>
      <c r="M113" s="23">
        <f t="shared" si="12"/>
        <v>1.5370899407214773</v>
      </c>
      <c r="N113" s="23">
        <f t="shared" si="13"/>
        <v>29.81627302924846</v>
      </c>
      <c r="P113">
        <v>313</v>
      </c>
      <c r="Q113" s="23">
        <v>158.52015361557272</v>
      </c>
    </row>
    <row r="114" spans="9:17" x14ac:dyDescent="0.3">
      <c r="I114">
        <v>110</v>
      </c>
      <c r="J114" s="23">
        <f>'$ Portfolio Loss'!P114</f>
        <v>1.7180168891118228</v>
      </c>
      <c r="K114" s="23">
        <f t="shared" si="14"/>
        <v>2106.7930095894994</v>
      </c>
      <c r="L114" s="23">
        <f t="shared" si="15"/>
        <v>45.899814918902443</v>
      </c>
      <c r="M114" s="23">
        <f t="shared" si="12"/>
        <v>1.5853205878350907</v>
      </c>
      <c r="N114" s="23">
        <f t="shared" si="13"/>
        <v>2.7236075445573689</v>
      </c>
      <c r="P114">
        <v>406</v>
      </c>
      <c r="Q114" s="23">
        <v>158.39682825586337</v>
      </c>
    </row>
    <row r="115" spans="9:17" x14ac:dyDescent="0.3">
      <c r="I115">
        <v>111</v>
      </c>
      <c r="J115" s="23">
        <f>'$ Portfolio Loss'!P115</f>
        <v>-18.899386624620092</v>
      </c>
      <c r="K115" s="23">
        <f t="shared" si="14"/>
        <v>2001.8166379013414</v>
      </c>
      <c r="L115" s="23">
        <f t="shared" si="15"/>
        <v>44.741665569146413</v>
      </c>
      <c r="M115" s="23">
        <f t="shared" si="12"/>
        <v>1.6263570129346108</v>
      </c>
      <c r="N115" s="23">
        <f t="shared" si="13"/>
        <v>-30.737149977113468</v>
      </c>
      <c r="P115">
        <v>486</v>
      </c>
      <c r="Q115" s="23">
        <v>157.47212235277382</v>
      </c>
    </row>
    <row r="116" spans="9:17" x14ac:dyDescent="0.3">
      <c r="I116">
        <v>112</v>
      </c>
      <c r="J116" s="23">
        <f>'$ Portfolio Loss'!P116</f>
        <v>-27.654003693322011</v>
      </c>
      <c r="K116" s="23">
        <f t="shared" si="14"/>
        <v>1927.5922748434768</v>
      </c>
      <c r="L116" s="23">
        <f t="shared" si="15"/>
        <v>43.90435371171607</v>
      </c>
      <c r="M116" s="23">
        <f t="shared" si="12"/>
        <v>1.6573737093717513</v>
      </c>
      <c r="N116" s="23">
        <f t="shared" si="13"/>
        <v>-45.833018680181212</v>
      </c>
      <c r="P116">
        <v>350</v>
      </c>
      <c r="Q116" s="23">
        <v>152.1415617381713</v>
      </c>
    </row>
    <row r="117" spans="9:17" x14ac:dyDescent="0.3">
      <c r="I117">
        <v>113</v>
      </c>
      <c r="J117" s="23">
        <f>'$ Portfolio Loss'!P117</f>
        <v>10.472959496466501</v>
      </c>
      <c r="K117" s="23">
        <f t="shared" si="14"/>
        <v>1818.5177111897458</v>
      </c>
      <c r="L117" s="23">
        <f t="shared" si="15"/>
        <v>42.644081783874135</v>
      </c>
      <c r="M117" s="23">
        <f t="shared" si="12"/>
        <v>1.7063545168481673</v>
      </c>
      <c r="N117" s="23">
        <f t="shared" si="13"/>
        <v>17.870581741563523</v>
      </c>
      <c r="P117">
        <v>464</v>
      </c>
      <c r="Q117" s="23">
        <v>151.20976294928761</v>
      </c>
    </row>
    <row r="118" spans="9:17" x14ac:dyDescent="0.3">
      <c r="I118">
        <v>114</v>
      </c>
      <c r="J118" s="23">
        <f>'$ Portfolio Loss'!P118</f>
        <v>-67.019059327893046</v>
      </c>
      <c r="K118" s="23">
        <f t="shared" si="14"/>
        <v>1978.8999073101002</v>
      </c>
      <c r="L118" s="23">
        <f t="shared" si="15"/>
        <v>44.484827832757766</v>
      </c>
      <c r="M118" s="23">
        <f t="shared" si="12"/>
        <v>1.6357469526986204</v>
      </c>
      <c r="N118" s="23">
        <f t="shared" si="13"/>
        <v>-109.6262220683291</v>
      </c>
      <c r="P118">
        <v>337</v>
      </c>
      <c r="Q118" s="23">
        <v>150.86089242232126</v>
      </c>
    </row>
    <row r="119" spans="9:17" x14ac:dyDescent="0.3">
      <c r="I119">
        <v>115</v>
      </c>
      <c r="J119" s="23">
        <f>'$ Portfolio Loss'!P119</f>
        <v>-71.669762178946257</v>
      </c>
      <c r="K119" s="23">
        <f t="shared" si="14"/>
        <v>2168.3592015186973</v>
      </c>
      <c r="L119" s="23">
        <f t="shared" si="15"/>
        <v>46.565644004122795</v>
      </c>
      <c r="M119" s="23">
        <f t="shared" si="12"/>
        <v>1.5626525333207844</v>
      </c>
      <c r="N119" s="23">
        <f t="shared" si="13"/>
        <v>-111.9949354314285</v>
      </c>
      <c r="P119">
        <v>65</v>
      </c>
      <c r="Q119" s="23">
        <v>147.27281869972734</v>
      </c>
    </row>
    <row r="120" spans="9:17" x14ac:dyDescent="0.3">
      <c r="I120">
        <v>116</v>
      </c>
      <c r="J120" s="23">
        <f>'$ Portfolio Loss'!P120</f>
        <v>-3.4396613283497572</v>
      </c>
      <c r="K120" s="23">
        <f t="shared" si="14"/>
        <v>2038.9675256308001</v>
      </c>
      <c r="L120" s="23">
        <f t="shared" si="15"/>
        <v>45.154928032616773</v>
      </c>
      <c r="M120" s="23">
        <f t="shared" si="12"/>
        <v>1.6114724292372973</v>
      </c>
      <c r="N120" s="23">
        <f t="shared" si="13"/>
        <v>-5.5429193965493724</v>
      </c>
      <c r="P120">
        <v>92</v>
      </c>
      <c r="Q120" s="23">
        <v>146.96660654056279</v>
      </c>
    </row>
    <row r="121" spans="9:17" x14ac:dyDescent="0.3">
      <c r="I121">
        <v>117</v>
      </c>
      <c r="J121" s="23">
        <f>'$ Portfolio Loss'!P121</f>
        <v>-18.888991996265759</v>
      </c>
      <c r="K121" s="23">
        <f t="shared" si="14"/>
        <v>1938.0371152110515</v>
      </c>
      <c r="L121" s="23">
        <f t="shared" si="15"/>
        <v>44.023142950169422</v>
      </c>
      <c r="M121" s="23">
        <f t="shared" si="12"/>
        <v>1.6529015579628497</v>
      </c>
      <c r="N121" s="23">
        <f t="shared" si="13"/>
        <v>-31.22164429897547</v>
      </c>
      <c r="P121">
        <v>351</v>
      </c>
      <c r="Q121" s="23">
        <v>146.86749751479121</v>
      </c>
    </row>
    <row r="122" spans="9:17" x14ac:dyDescent="0.3">
      <c r="I122">
        <v>118</v>
      </c>
      <c r="J122" s="23">
        <f>'$ Portfolio Loss'!P122</f>
        <v>66.048228246800136</v>
      </c>
      <c r="K122" s="23">
        <f t="shared" si="14"/>
        <v>2083.496995570873</v>
      </c>
      <c r="L122" s="23">
        <f t="shared" si="15"/>
        <v>45.645339253541245</v>
      </c>
      <c r="M122" s="23">
        <f t="shared" si="12"/>
        <v>1.5941588507990108</v>
      </c>
      <c r="N122" s="23">
        <f t="shared" si="13"/>
        <v>105.29136763922966</v>
      </c>
      <c r="P122">
        <v>450</v>
      </c>
      <c r="Q122" s="23">
        <v>146.11098022395328</v>
      </c>
    </row>
    <row r="123" spans="9:17" x14ac:dyDescent="0.3">
      <c r="I123">
        <v>119</v>
      </c>
      <c r="J123" s="23">
        <f>'$ Portfolio Loss'!P123</f>
        <v>48.198099265851852</v>
      </c>
      <c r="K123" s="23">
        <f t="shared" si="14"/>
        <v>2097.8705822070751</v>
      </c>
      <c r="L123" s="23">
        <f t="shared" si="15"/>
        <v>45.802517203829261</v>
      </c>
      <c r="M123" s="23">
        <f t="shared" si="12"/>
        <v>1.588688264554001</v>
      </c>
      <c r="N123" s="23">
        <f t="shared" si="13"/>
        <v>76.571754677467652</v>
      </c>
      <c r="P123">
        <v>47</v>
      </c>
      <c r="Q123" s="23">
        <v>145.69329937009911</v>
      </c>
    </row>
    <row r="124" spans="9:17" x14ac:dyDescent="0.3">
      <c r="I124">
        <v>120</v>
      </c>
      <c r="J124" s="23">
        <f>'$ Portfolio Loss'!P124</f>
        <v>5.6860837377735152</v>
      </c>
      <c r="K124" s="23">
        <f t="shared" si="14"/>
        <v>1973.9382401710288</v>
      </c>
      <c r="L124" s="23">
        <f t="shared" si="15"/>
        <v>44.429024749267555</v>
      </c>
      <c r="M124" s="23">
        <f t="shared" si="12"/>
        <v>1.6378014592804198</v>
      </c>
      <c r="N124" s="23">
        <f t="shared" si="13"/>
        <v>9.3126762433161261</v>
      </c>
      <c r="P124">
        <v>389</v>
      </c>
      <c r="Q124" s="23">
        <v>144.56426172852389</v>
      </c>
    </row>
    <row r="125" spans="9:17" x14ac:dyDescent="0.3">
      <c r="I125">
        <v>121</v>
      </c>
      <c r="J125" s="23">
        <f>'$ Portfolio Loss'!P125</f>
        <v>91.200542542463154</v>
      </c>
      <c r="K125" s="23">
        <f t="shared" si="14"/>
        <v>2354.5542833631453</v>
      </c>
      <c r="L125" s="23">
        <f t="shared" si="15"/>
        <v>48.523749683666708</v>
      </c>
      <c r="M125" s="23">
        <f t="shared" si="12"/>
        <v>1.4995939523043411</v>
      </c>
      <c r="N125" s="23">
        <f t="shared" si="13"/>
        <v>136.76378204355251</v>
      </c>
      <c r="P125">
        <v>499</v>
      </c>
      <c r="Q125" s="23">
        <v>139.83893044167635</v>
      </c>
    </row>
    <row r="126" spans="9:17" x14ac:dyDescent="0.3">
      <c r="I126">
        <v>122</v>
      </c>
      <c r="J126" s="23">
        <f>'$ Portfolio Loss'!P126</f>
        <v>-19.239699253575964</v>
      </c>
      <c r="K126" s="23">
        <f t="shared" si="14"/>
        <v>2235.4909880034397</v>
      </c>
      <c r="L126" s="23">
        <f t="shared" si="15"/>
        <v>47.280979135413851</v>
      </c>
      <c r="M126" s="23">
        <f t="shared" si="12"/>
        <v>1.5390104625446304</v>
      </c>
      <c r="N126" s="23">
        <f t="shared" si="13"/>
        <v>-29.610098447465525</v>
      </c>
      <c r="P126">
        <v>331</v>
      </c>
      <c r="Q126" s="23">
        <v>139.50137646911986</v>
      </c>
    </row>
    <row r="127" spans="9:17" x14ac:dyDescent="0.3">
      <c r="I127">
        <v>123</v>
      </c>
      <c r="J127" s="23">
        <f>'$ Portfolio Loss'!P127</f>
        <v>-34.816118621238274</v>
      </c>
      <c r="K127" s="23">
        <f t="shared" si="14"/>
        <v>2174.0912556741214</v>
      </c>
      <c r="L127" s="23">
        <f t="shared" si="15"/>
        <v>46.627151485739738</v>
      </c>
      <c r="M127" s="23">
        <f t="shared" si="12"/>
        <v>1.5605911845378486</v>
      </c>
      <c r="N127" s="23">
        <f t="shared" si="13"/>
        <v>-54.333727800128486</v>
      </c>
      <c r="P127">
        <v>393</v>
      </c>
      <c r="Q127" s="23">
        <v>137.37462023429475</v>
      </c>
    </row>
    <row r="128" spans="9:17" x14ac:dyDescent="0.3">
      <c r="I128">
        <v>124</v>
      </c>
      <c r="J128" s="23">
        <f>'$ Portfolio Loss'!P128</f>
        <v>-87.853599859987298</v>
      </c>
      <c r="K128" s="23">
        <f t="shared" si="14"/>
        <v>2506.7410808351997</v>
      </c>
      <c r="L128" s="23">
        <f t="shared" si="15"/>
        <v>50.067365427343987</v>
      </c>
      <c r="M128" s="23">
        <f t="shared" si="12"/>
        <v>1.4533603066123311</v>
      </c>
      <c r="N128" s="23">
        <f t="shared" si="13"/>
        <v>-127.68293482950818</v>
      </c>
      <c r="P128">
        <v>392</v>
      </c>
      <c r="Q128" s="23">
        <v>137.36728092217166</v>
      </c>
    </row>
    <row r="129" spans="9:17" x14ac:dyDescent="0.3">
      <c r="I129">
        <v>125</v>
      </c>
      <c r="J129" s="23">
        <f>'$ Portfolio Loss'!P129</f>
        <v>-49.33026997747038</v>
      </c>
      <c r="K129" s="23">
        <f t="shared" si="14"/>
        <v>2502.3451481480947</v>
      </c>
      <c r="L129" s="23">
        <f t="shared" si="15"/>
        <v>50.023445984339133</v>
      </c>
      <c r="M129" s="23">
        <f t="shared" si="12"/>
        <v>1.4546363237658027</v>
      </c>
      <c r="N129" s="23">
        <f t="shared" si="13"/>
        <v>-71.757602570402057</v>
      </c>
      <c r="P129">
        <v>442</v>
      </c>
      <c r="Q129" s="23">
        <v>136.41936568991966</v>
      </c>
    </row>
    <row r="130" spans="9:17" x14ac:dyDescent="0.3">
      <c r="I130">
        <v>126</v>
      </c>
      <c r="J130" s="23">
        <f>'$ Portfolio Loss'!P130</f>
        <v>0.40734739194158465</v>
      </c>
      <c r="K130" s="23">
        <f t="shared" si="14"/>
        <v>2352.2143951730723</v>
      </c>
      <c r="L130" s="23">
        <f t="shared" si="15"/>
        <v>48.49963293853957</v>
      </c>
      <c r="M130" s="23">
        <f t="shared" si="12"/>
        <v>1.5003396347549229</v>
      </c>
      <c r="N130" s="23">
        <f t="shared" si="13"/>
        <v>0.61115943724400756</v>
      </c>
      <c r="P130">
        <v>257</v>
      </c>
      <c r="Q130" s="23">
        <v>133.47426479516403</v>
      </c>
    </row>
    <row r="131" spans="9:17" x14ac:dyDescent="0.3">
      <c r="I131">
        <v>127</v>
      </c>
      <c r="J131" s="23">
        <f>'$ Portfolio Loss'!P131</f>
        <v>39.593918074420799</v>
      </c>
      <c r="K131" s="23">
        <f t="shared" si="14"/>
        <v>2305.1422323717247</v>
      </c>
      <c r="L131" s="23">
        <f t="shared" si="15"/>
        <v>48.011896779566257</v>
      </c>
      <c r="M131" s="23">
        <f t="shared" si="12"/>
        <v>1.5155810632277555</v>
      </c>
      <c r="N131" s="23">
        <f t="shared" si="13"/>
        <v>60.007792452583324</v>
      </c>
      <c r="P131">
        <v>293</v>
      </c>
      <c r="Q131" s="23">
        <v>132.3071060203421</v>
      </c>
    </row>
    <row r="132" spans="9:17" x14ac:dyDescent="0.3">
      <c r="I132">
        <v>128</v>
      </c>
      <c r="J132" s="23">
        <f>'$ Portfolio Loss'!P132</f>
        <v>107.18655683130601</v>
      </c>
      <c r="K132" s="23">
        <f t="shared" si="14"/>
        <v>2856.1711763504691</v>
      </c>
      <c r="L132" s="23">
        <f t="shared" si="15"/>
        <v>53.443158368031256</v>
      </c>
      <c r="M132" s="23">
        <f t="shared" si="12"/>
        <v>1.3615572842394652</v>
      </c>
      <c r="N132" s="23">
        <f t="shared" si="13"/>
        <v>145.94063722621209</v>
      </c>
      <c r="P132">
        <v>192</v>
      </c>
      <c r="Q132" s="23">
        <v>129.77548734668156</v>
      </c>
    </row>
    <row r="133" spans="9:17" x14ac:dyDescent="0.3">
      <c r="I133">
        <v>129</v>
      </c>
      <c r="J133" s="23">
        <f>'$ Portfolio Loss'!P133</f>
        <v>13.553403503401569</v>
      </c>
      <c r="K133" s="23">
        <f t="shared" si="14"/>
        <v>2695.822590561002</v>
      </c>
      <c r="L133" s="23">
        <f t="shared" si="15"/>
        <v>51.921311525817622</v>
      </c>
      <c r="M133" s="23">
        <f t="shared" si="12"/>
        <v>1.4014653988964392</v>
      </c>
      <c r="N133" s="23">
        <f t="shared" si="13"/>
        <v>18.994626047299075</v>
      </c>
      <c r="P133">
        <v>436</v>
      </c>
      <c r="Q133" s="23">
        <v>129.12652886847528</v>
      </c>
    </row>
    <row r="134" spans="9:17" x14ac:dyDescent="0.3">
      <c r="I134">
        <v>130</v>
      </c>
      <c r="J134" s="23">
        <f>'$ Portfolio Loss'!P134</f>
        <v>9.043945226152573</v>
      </c>
      <c r="K134" s="23">
        <f t="shared" si="14"/>
        <v>2538.9808118425608</v>
      </c>
      <c r="L134" s="23">
        <f t="shared" si="15"/>
        <v>50.388300346832111</v>
      </c>
      <c r="M134" s="23">
        <f t="shared" ref="M134:M197" si="16">$M$2/L134</f>
        <v>1.4441035134722706</v>
      </c>
      <c r="N134" s="23">
        <f t="shared" ref="N134:N197" si="17">M134*J134</f>
        <v>13.0603930767377</v>
      </c>
      <c r="P134">
        <v>498</v>
      </c>
      <c r="Q134" s="23">
        <v>129.07731626701585</v>
      </c>
    </row>
    <row r="135" spans="9:17" x14ac:dyDescent="0.3">
      <c r="I135">
        <v>131</v>
      </c>
      <c r="J135" s="23">
        <f>'$ Portfolio Loss'!P135</f>
        <v>42.910175496283046</v>
      </c>
      <c r="K135" s="23">
        <f t="shared" ref="K135:K198" si="18">K134*$K$2+(1-$K$2)*J135^2</f>
        <v>2497.1189527993156</v>
      </c>
      <c r="L135" s="23">
        <f t="shared" ref="L135:L198" si="19">SQRT(K135)</f>
        <v>49.97118122277395</v>
      </c>
      <c r="M135" s="23">
        <f t="shared" si="16"/>
        <v>1.4561577250768254</v>
      </c>
      <c r="N135" s="23">
        <f t="shared" si="17"/>
        <v>62.483983533314856</v>
      </c>
      <c r="P135">
        <v>165</v>
      </c>
      <c r="Q135" s="23">
        <v>128.93796946039103</v>
      </c>
    </row>
    <row r="136" spans="9:17" x14ac:dyDescent="0.3">
      <c r="I136">
        <v>132</v>
      </c>
      <c r="J136" s="23">
        <f>'$ Portfolio Loss'!P136</f>
        <v>-28.333702697371336</v>
      </c>
      <c r="K136" s="23">
        <f t="shared" si="18"/>
        <v>2395.4597381439385</v>
      </c>
      <c r="L136" s="23">
        <f t="shared" si="19"/>
        <v>48.943434065704245</v>
      </c>
      <c r="M136" s="23">
        <f t="shared" si="16"/>
        <v>1.4867351046735191</v>
      </c>
      <c r="N136" s="23">
        <f t="shared" si="17"/>
        <v>-42.124710445564745</v>
      </c>
      <c r="P136">
        <v>107</v>
      </c>
      <c r="Q136" s="23">
        <v>128.07958797544657</v>
      </c>
    </row>
    <row r="137" spans="9:17" x14ac:dyDescent="0.3">
      <c r="I137">
        <v>133</v>
      </c>
      <c r="J137" s="23">
        <f>'$ Portfolio Loss'!P137</f>
        <v>-24.83953552730236</v>
      </c>
      <c r="K137" s="23">
        <f t="shared" si="18"/>
        <v>2288.7523053680288</v>
      </c>
      <c r="L137" s="23">
        <f t="shared" si="19"/>
        <v>47.840906193006305</v>
      </c>
      <c r="M137" s="23">
        <f t="shared" si="16"/>
        <v>1.5209979776552327</v>
      </c>
      <c r="N137" s="23">
        <f t="shared" si="17"/>
        <v>-37.780883302922192</v>
      </c>
      <c r="P137">
        <v>3</v>
      </c>
      <c r="Q137" s="23">
        <v>120.79994359940871</v>
      </c>
    </row>
    <row r="138" spans="9:17" x14ac:dyDescent="0.3">
      <c r="I138">
        <v>134</v>
      </c>
      <c r="J138" s="23">
        <f>'$ Portfolio Loss'!P138</f>
        <v>-87.609325575729599</v>
      </c>
      <c r="K138" s="23">
        <f t="shared" si="18"/>
        <v>2611.9508027159986</v>
      </c>
      <c r="L138" s="23">
        <f t="shared" si="19"/>
        <v>51.10724804483214</v>
      </c>
      <c r="M138" s="23">
        <f t="shared" si="16"/>
        <v>1.4237886865856051</v>
      </c>
      <c r="N138" s="23">
        <f t="shared" si="17"/>
        <v>-124.7371665941187</v>
      </c>
      <c r="P138">
        <v>96</v>
      </c>
      <c r="Q138" s="23">
        <v>120.61599200505157</v>
      </c>
    </row>
    <row r="139" spans="9:17" x14ac:dyDescent="0.3">
      <c r="I139">
        <v>135</v>
      </c>
      <c r="J139" s="23">
        <f>'$ Portfolio Loss'!P139</f>
        <v>-36.315758456334152</v>
      </c>
      <c r="K139" s="23">
        <f t="shared" si="18"/>
        <v>2534.3638132885671</v>
      </c>
      <c r="L139" s="23">
        <f t="shared" si="19"/>
        <v>50.342465308013743</v>
      </c>
      <c r="M139" s="23">
        <f t="shared" si="16"/>
        <v>1.4454183187801308</v>
      </c>
      <c r="N139" s="23">
        <f t="shared" si="17"/>
        <v>-52.491462533179828</v>
      </c>
      <c r="P139">
        <v>338</v>
      </c>
      <c r="Q139" s="23">
        <v>117.73917008135925</v>
      </c>
    </row>
    <row r="140" spans="9:17" x14ac:dyDescent="0.3">
      <c r="I140">
        <v>136</v>
      </c>
      <c r="J140" s="23">
        <f>'$ Portfolio Loss'!P140</f>
        <v>24.892207019420312</v>
      </c>
      <c r="K140" s="23">
        <f t="shared" si="18"/>
        <v>2419.4793027091137</v>
      </c>
      <c r="L140" s="23">
        <f t="shared" si="19"/>
        <v>49.188202881474673</v>
      </c>
      <c r="M140" s="23">
        <f t="shared" si="16"/>
        <v>1.4793368593704301</v>
      </c>
      <c r="N140" s="23">
        <f t="shared" si="17"/>
        <v>36.823959354907821</v>
      </c>
      <c r="P140">
        <v>89</v>
      </c>
      <c r="Q140" s="23">
        <v>117.45423866232618</v>
      </c>
    </row>
    <row r="141" spans="9:17" x14ac:dyDescent="0.3">
      <c r="I141">
        <v>137</v>
      </c>
      <c r="J141" s="23">
        <f>'$ Portfolio Loss'!P141</f>
        <v>15.156891216052827</v>
      </c>
      <c r="K141" s="23">
        <f t="shared" si="18"/>
        <v>2288.0944256266821</v>
      </c>
      <c r="L141" s="23">
        <f t="shared" si="19"/>
        <v>47.834029995670257</v>
      </c>
      <c r="M141" s="23">
        <f t="shared" si="16"/>
        <v>1.521216622880045</v>
      </c>
      <c r="N141" s="23">
        <f t="shared" si="17"/>
        <v>23.0569148690441</v>
      </c>
      <c r="P141">
        <v>356</v>
      </c>
      <c r="Q141" s="23">
        <v>115.75576886050477</v>
      </c>
    </row>
    <row r="142" spans="9:17" x14ac:dyDescent="0.3">
      <c r="I142">
        <v>138</v>
      </c>
      <c r="J142" s="23">
        <f>'$ Portfolio Loss'!P142</f>
        <v>-72.369997942865666</v>
      </c>
      <c r="K142" s="23">
        <f t="shared" si="18"/>
        <v>2465.0537562241043</v>
      </c>
      <c r="L142" s="23">
        <f t="shared" si="19"/>
        <v>49.649307711428406</v>
      </c>
      <c r="M142" s="23">
        <f t="shared" si="16"/>
        <v>1.4655979090722917</v>
      </c>
      <c r="N142" s="23">
        <f t="shared" si="17"/>
        <v>-106.06531766462997</v>
      </c>
      <c r="P142">
        <v>324</v>
      </c>
      <c r="Q142" s="23">
        <v>115.72818372351249</v>
      </c>
    </row>
    <row r="143" spans="9:17" x14ac:dyDescent="0.3">
      <c r="I143">
        <v>139</v>
      </c>
      <c r="J143" s="23">
        <f>'$ Portfolio Loss'!P143</f>
        <v>-34.399038984664003</v>
      </c>
      <c r="K143" s="23">
        <f t="shared" si="18"/>
        <v>2388.1481638347641</v>
      </c>
      <c r="L143" s="23">
        <f t="shared" si="19"/>
        <v>48.868682853487712</v>
      </c>
      <c r="M143" s="23">
        <f t="shared" si="16"/>
        <v>1.4890092656459442</v>
      </c>
      <c r="N143" s="23">
        <f t="shared" si="17"/>
        <v>-51.220487777480749</v>
      </c>
      <c r="P143">
        <v>425</v>
      </c>
      <c r="Q143" s="23">
        <v>115.72426186518376</v>
      </c>
    </row>
    <row r="144" spans="9:17" x14ac:dyDescent="0.3">
      <c r="I144">
        <v>140</v>
      </c>
      <c r="J144" s="23">
        <f>'$ Portfolio Loss'!P144</f>
        <v>-31.84725860632534</v>
      </c>
      <c r="K144" s="23">
        <f t="shared" si="18"/>
        <v>2305.7141468489676</v>
      </c>
      <c r="L144" s="23">
        <f t="shared" si="19"/>
        <v>48.017852376475226</v>
      </c>
      <c r="M144" s="23">
        <f t="shared" si="16"/>
        <v>1.5153930875177075</v>
      </c>
      <c r="N144" s="23">
        <f t="shared" si="17"/>
        <v>-48.261115548414239</v>
      </c>
      <c r="P144">
        <v>290</v>
      </c>
      <c r="Q144" s="23">
        <v>115.59131738066903</v>
      </c>
    </row>
    <row r="145" spans="9:17" x14ac:dyDescent="0.3">
      <c r="I145">
        <v>141</v>
      </c>
      <c r="J145" s="23">
        <f>'$ Portfolio Loss'!P145</f>
        <v>-12.457893633387357</v>
      </c>
      <c r="K145" s="23">
        <f t="shared" si="18"/>
        <v>2176.6832448648775</v>
      </c>
      <c r="L145" s="23">
        <f t="shared" si="19"/>
        <v>46.654938054453332</v>
      </c>
      <c r="M145" s="23">
        <f t="shared" si="16"/>
        <v>1.559661733637445</v>
      </c>
      <c r="N145" s="23">
        <f t="shared" si="17"/>
        <v>-19.430099981719813</v>
      </c>
      <c r="P145">
        <v>12</v>
      </c>
      <c r="Q145" s="23">
        <v>114.95116616164376</v>
      </c>
    </row>
    <row r="146" spans="9:17" x14ac:dyDescent="0.3">
      <c r="I146">
        <v>142</v>
      </c>
      <c r="J146" s="23">
        <f>'$ Portfolio Loss'!P146</f>
        <v>20.865210194791871</v>
      </c>
      <c r="K146" s="23">
        <f t="shared" si="18"/>
        <v>2072.2036699613554</v>
      </c>
      <c r="L146" s="23">
        <f t="shared" si="19"/>
        <v>45.52146383807704</v>
      </c>
      <c r="M146" s="23">
        <f t="shared" si="16"/>
        <v>1.5984969601941985</v>
      </c>
      <c r="N146" s="23">
        <f t="shared" si="17"/>
        <v>33.352975070187803</v>
      </c>
      <c r="P146">
        <v>345</v>
      </c>
      <c r="Q146" s="23">
        <v>113.08327980171985</v>
      </c>
    </row>
    <row r="147" spans="9:17" x14ac:dyDescent="0.3">
      <c r="I147">
        <v>143</v>
      </c>
      <c r="J147" s="23">
        <f>'$ Portfolio Loss'!P147</f>
        <v>21.858328850499674</v>
      </c>
      <c r="K147" s="23">
        <f t="shared" si="18"/>
        <v>1976.5386421718692</v>
      </c>
      <c r="L147" s="23">
        <f t="shared" si="19"/>
        <v>44.458279793215901</v>
      </c>
      <c r="M147" s="23">
        <f t="shared" si="16"/>
        <v>1.6367237308147038</v>
      </c>
      <c r="N147" s="23">
        <f t="shared" si="17"/>
        <v>35.7760455455645</v>
      </c>
      <c r="P147">
        <v>84</v>
      </c>
      <c r="Q147" s="23">
        <v>112.08644869158873</v>
      </c>
    </row>
    <row r="148" spans="9:17" x14ac:dyDescent="0.3">
      <c r="I148">
        <v>144</v>
      </c>
      <c r="J148" s="23">
        <f>'$ Portfolio Loss'!P148</f>
        <v>-25.103977404985926</v>
      </c>
      <c r="K148" s="23">
        <f t="shared" si="18"/>
        <v>1895.7589045345596</v>
      </c>
      <c r="L148" s="23">
        <f t="shared" si="19"/>
        <v>43.540313555767597</v>
      </c>
      <c r="M148" s="23">
        <f t="shared" si="16"/>
        <v>1.6712309955130604</v>
      </c>
      <c r="N148" s="23">
        <f t="shared" si="17"/>
        <v>-41.954545149872004</v>
      </c>
      <c r="P148">
        <v>69</v>
      </c>
      <c r="Q148" s="23">
        <v>111.23089523367339</v>
      </c>
    </row>
    <row r="149" spans="9:17" x14ac:dyDescent="0.3">
      <c r="I149">
        <v>145</v>
      </c>
      <c r="J149" s="23">
        <f>'$ Portfolio Loss'!P149</f>
        <v>107.14864104106528</v>
      </c>
      <c r="K149" s="23">
        <f t="shared" si="18"/>
        <v>2470.8632468793103</v>
      </c>
      <c r="L149" s="23">
        <f t="shared" si="19"/>
        <v>49.707778534946726</v>
      </c>
      <c r="M149" s="23">
        <f t="shared" si="16"/>
        <v>1.4638739391179729</v>
      </c>
      <c r="N149" s="23">
        <f t="shared" si="17"/>
        <v>156.85210323192192</v>
      </c>
      <c r="P149">
        <v>55</v>
      </c>
      <c r="Q149" s="23">
        <v>110.53564269956441</v>
      </c>
    </row>
    <row r="150" spans="9:17" x14ac:dyDescent="0.3">
      <c r="I150">
        <v>146</v>
      </c>
      <c r="J150" s="23">
        <f>'$ Portfolio Loss'!P150</f>
        <v>53.356654524550322</v>
      </c>
      <c r="K150" s="23">
        <f t="shared" si="18"/>
        <v>2493.4274069896846</v>
      </c>
      <c r="L150" s="23">
        <f t="shared" si="19"/>
        <v>49.934230814038628</v>
      </c>
      <c r="M150" s="23">
        <f t="shared" si="16"/>
        <v>1.4572352549045113</v>
      </c>
      <c r="N150" s="23">
        <f t="shared" si="17"/>
        <v>77.753198056935034</v>
      </c>
      <c r="P150">
        <v>297</v>
      </c>
      <c r="Q150" s="23">
        <v>109.08381193976761</v>
      </c>
    </row>
    <row r="151" spans="9:17" x14ac:dyDescent="0.3">
      <c r="I151">
        <v>147</v>
      </c>
      <c r="J151" s="23">
        <f>'$ Portfolio Loss'!P151</f>
        <v>23.081471128129124</v>
      </c>
      <c r="K151" s="23">
        <f t="shared" si="18"/>
        <v>2375.7870211366226</v>
      </c>
      <c r="L151" s="23">
        <f t="shared" si="19"/>
        <v>48.742045721703377</v>
      </c>
      <c r="M151" s="23">
        <f t="shared" si="16"/>
        <v>1.4928778735348769</v>
      </c>
      <c r="N151" s="23">
        <f t="shared" si="17"/>
        <v>34.457817535818059</v>
      </c>
      <c r="P151">
        <v>203</v>
      </c>
      <c r="Q151" s="23">
        <v>108.76917708842754</v>
      </c>
    </row>
    <row r="152" spans="9:17" x14ac:dyDescent="0.3">
      <c r="I152">
        <v>148</v>
      </c>
      <c r="J152" s="23">
        <f>'$ Portfolio Loss'!P152</f>
        <v>38.41166371422878</v>
      </c>
      <c r="K152" s="23">
        <f t="shared" si="18"/>
        <v>2321.7671544261252</v>
      </c>
      <c r="L152" s="23">
        <f t="shared" si="19"/>
        <v>48.184719096681732</v>
      </c>
      <c r="M152" s="23">
        <f t="shared" si="16"/>
        <v>1.5101451857123589</v>
      </c>
      <c r="N152" s="23">
        <f t="shared" si="17"/>
        <v>58.0071890332447</v>
      </c>
      <c r="P152">
        <v>424</v>
      </c>
      <c r="Q152" s="23">
        <v>108.11449685625269</v>
      </c>
    </row>
    <row r="153" spans="9:17" x14ac:dyDescent="0.3">
      <c r="I153">
        <v>149</v>
      </c>
      <c r="J153" s="23">
        <f>'$ Portfolio Loss'!P153</f>
        <v>7.9674619568995695</v>
      </c>
      <c r="K153" s="23">
        <f t="shared" si="18"/>
        <v>2186.2699521626359</v>
      </c>
      <c r="L153" s="23">
        <f t="shared" si="19"/>
        <v>46.757565721096256</v>
      </c>
      <c r="M153" s="23">
        <f t="shared" si="16"/>
        <v>1.5562384492554</v>
      </c>
      <c r="N153" s="23">
        <f t="shared" si="17"/>
        <v>12.399270640306781</v>
      </c>
      <c r="P153">
        <v>404</v>
      </c>
      <c r="Q153" s="23">
        <v>107.11588373961266</v>
      </c>
    </row>
    <row r="154" spans="9:17" x14ac:dyDescent="0.3">
      <c r="I154">
        <v>150</v>
      </c>
      <c r="J154" s="23">
        <f>'$ Portfolio Loss'!P154</f>
        <v>19.359922914582057</v>
      </c>
      <c r="K154" s="23">
        <f t="shared" si="18"/>
        <v>2077.5821519483911</v>
      </c>
      <c r="L154" s="23">
        <f t="shared" si="19"/>
        <v>45.580501883463185</v>
      </c>
      <c r="M154" s="23">
        <f t="shared" si="16"/>
        <v>1.5964265105022044</v>
      </c>
      <c r="N154" s="23">
        <f t="shared" si="17"/>
        <v>30.906694182117899</v>
      </c>
      <c r="P154">
        <v>431</v>
      </c>
      <c r="Q154" s="23">
        <v>106.96121001926247</v>
      </c>
    </row>
    <row r="155" spans="9:17" x14ac:dyDescent="0.3">
      <c r="I155">
        <v>151</v>
      </c>
      <c r="J155" s="23">
        <f>'$ Portfolio Loss'!P155</f>
        <v>-120.39769123922815</v>
      </c>
      <c r="K155" s="23">
        <f t="shared" si="18"/>
        <v>2822.6634661756793</v>
      </c>
      <c r="L155" s="23">
        <f t="shared" si="19"/>
        <v>53.128744255588039</v>
      </c>
      <c r="M155" s="23">
        <f t="shared" si="16"/>
        <v>1.3696149342190187</v>
      </c>
      <c r="N155" s="23">
        <f t="shared" si="17"/>
        <v>-164.89847596673718</v>
      </c>
      <c r="P155">
        <v>150</v>
      </c>
      <c r="Q155" s="23">
        <v>106.74348818028352</v>
      </c>
    </row>
    <row r="156" spans="9:17" x14ac:dyDescent="0.3">
      <c r="I156">
        <v>152</v>
      </c>
      <c r="J156" s="23">
        <f>'$ Portfolio Loss'!P156</f>
        <v>7.5972480953714694</v>
      </c>
      <c r="K156" s="23">
        <f t="shared" si="18"/>
        <v>2656.7667489224959</v>
      </c>
      <c r="L156" s="23">
        <f t="shared" si="19"/>
        <v>51.543833277342657</v>
      </c>
      <c r="M156" s="23">
        <f t="shared" si="16"/>
        <v>1.41172894878081</v>
      </c>
      <c r="N156" s="23">
        <f t="shared" si="17"/>
        <v>10.725255067305776</v>
      </c>
      <c r="P156">
        <v>59</v>
      </c>
      <c r="Q156" s="23">
        <v>105.30522525810809</v>
      </c>
    </row>
    <row r="157" spans="9:17" x14ac:dyDescent="0.3">
      <c r="I157">
        <v>153</v>
      </c>
      <c r="J157" s="23">
        <f>'$ Portfolio Loss'!P157</f>
        <v>61.820757565295935</v>
      </c>
      <c r="K157" s="23">
        <f t="shared" si="18"/>
        <v>2726.669107943972</v>
      </c>
      <c r="L157" s="23">
        <f t="shared" si="19"/>
        <v>52.217517251818592</v>
      </c>
      <c r="M157" s="23">
        <f t="shared" si="16"/>
        <v>1.3935155365170497</v>
      </c>
      <c r="N157" s="23">
        <f t="shared" si="17"/>
        <v>86.148186146493828</v>
      </c>
      <c r="P157">
        <v>448</v>
      </c>
      <c r="Q157" s="23">
        <v>104.09279379148421</v>
      </c>
    </row>
    <row r="158" spans="9:17" x14ac:dyDescent="0.3">
      <c r="I158">
        <v>154</v>
      </c>
      <c r="J158" s="23">
        <f>'$ Portfolio Loss'!P158</f>
        <v>-63.194243897371052</v>
      </c>
      <c r="K158" s="23">
        <f t="shared" si="18"/>
        <v>2802.6797091729586</v>
      </c>
      <c r="L158" s="23">
        <f t="shared" si="19"/>
        <v>52.940341037558106</v>
      </c>
      <c r="M158" s="23">
        <f t="shared" si="16"/>
        <v>1.3744890973999029</v>
      </c>
      <c r="N158" s="23">
        <f t="shared" si="17"/>
        <v>-86.859799255366852</v>
      </c>
      <c r="P158">
        <v>303</v>
      </c>
      <c r="Q158" s="23">
        <v>100.80309004472707</v>
      </c>
    </row>
    <row r="159" spans="9:17" x14ac:dyDescent="0.3">
      <c r="I159">
        <v>155</v>
      </c>
      <c r="J159" s="23">
        <f>'$ Portfolio Loss'!P159</f>
        <v>-20.937162408294171</v>
      </c>
      <c r="K159" s="23">
        <f t="shared" si="18"/>
        <v>2660.8208128052584</v>
      </c>
      <c r="L159" s="23">
        <f t="shared" si="19"/>
        <v>51.583144657971935</v>
      </c>
      <c r="M159" s="23">
        <f t="shared" si="16"/>
        <v>1.4106530738139216</v>
      </c>
      <c r="N159" s="23">
        <f t="shared" si="17"/>
        <v>-29.535072508201459</v>
      </c>
      <c r="P159">
        <v>374</v>
      </c>
      <c r="Q159" s="23">
        <v>98.282558929130403</v>
      </c>
    </row>
    <row r="160" spans="9:17" x14ac:dyDescent="0.3">
      <c r="I160">
        <v>156</v>
      </c>
      <c r="J160" s="23">
        <f>'$ Portfolio Loss'!P160</f>
        <v>-63.222461090364959</v>
      </c>
      <c r="K160" s="23">
        <f t="shared" si="18"/>
        <v>2740.9963392163054</v>
      </c>
      <c r="L160" s="23">
        <f t="shared" si="19"/>
        <v>52.35452548936248</v>
      </c>
      <c r="M160" s="23">
        <f t="shared" si="16"/>
        <v>1.3898688009987035</v>
      </c>
      <c r="N160" s="23">
        <f t="shared" si="17"/>
        <v>-87.870926191852732</v>
      </c>
      <c r="P160">
        <v>14</v>
      </c>
      <c r="Q160" s="23">
        <v>98.254766831354985</v>
      </c>
    </row>
    <row r="161" spans="9:17" x14ac:dyDescent="0.3">
      <c r="I161">
        <v>157</v>
      </c>
      <c r="J161" s="23">
        <f>'$ Portfolio Loss'!P161</f>
        <v>-82.1583569084396</v>
      </c>
      <c r="K161" s="23">
        <f t="shared" si="18"/>
        <v>2981.5362954569996</v>
      </c>
      <c r="L161" s="23">
        <f t="shared" si="19"/>
        <v>54.603445820360086</v>
      </c>
      <c r="M161" s="23">
        <f t="shared" si="16"/>
        <v>1.332625083921424</v>
      </c>
      <c r="N161" s="23">
        <f t="shared" si="17"/>
        <v>-109.48628726995562</v>
      </c>
      <c r="P161">
        <v>428</v>
      </c>
      <c r="Q161" s="23">
        <v>96.40120066587474</v>
      </c>
    </row>
    <row r="162" spans="9:17" x14ac:dyDescent="0.3">
      <c r="I162">
        <v>158</v>
      </c>
      <c r="J162" s="23">
        <f>'$ Portfolio Loss'!P162</f>
        <v>49.54171393076831</v>
      </c>
      <c r="K162" s="23">
        <f t="shared" si="18"/>
        <v>2949.9070028814649</v>
      </c>
      <c r="L162" s="23">
        <f t="shared" si="19"/>
        <v>54.313046341385281</v>
      </c>
      <c r="M162" s="23">
        <f t="shared" si="16"/>
        <v>1.3397503264940296</v>
      </c>
      <c r="N162" s="23">
        <f t="shared" si="17"/>
        <v>66.373527413820653</v>
      </c>
      <c r="P162">
        <v>419</v>
      </c>
      <c r="Q162" s="23">
        <v>95.808023674694084</v>
      </c>
    </row>
    <row r="163" spans="9:17" x14ac:dyDescent="0.3">
      <c r="I163">
        <v>159</v>
      </c>
      <c r="J163" s="23">
        <f>'$ Portfolio Loss'!P163</f>
        <v>-33.801581568774054</v>
      </c>
      <c r="K163" s="23">
        <f t="shared" si="18"/>
        <v>2841.465397701606</v>
      </c>
      <c r="L163" s="23">
        <f t="shared" si="19"/>
        <v>53.305397453743893</v>
      </c>
      <c r="M163" s="23">
        <f t="shared" si="16"/>
        <v>1.3650760531689008</v>
      </c>
      <c r="N163" s="23">
        <f t="shared" si="17"/>
        <v>-46.141729558768745</v>
      </c>
      <c r="P163">
        <v>151</v>
      </c>
      <c r="Q163" s="23">
        <v>89.454860694298404</v>
      </c>
    </row>
    <row r="164" spans="9:17" x14ac:dyDescent="0.3">
      <c r="I164">
        <v>160</v>
      </c>
      <c r="J164" s="23">
        <f>'$ Portfolio Loss'!P164</f>
        <v>-2.791838083330731</v>
      </c>
      <c r="K164" s="23">
        <f t="shared" si="18"/>
        <v>2671.4451354325215</v>
      </c>
      <c r="L164" s="23">
        <f t="shared" si="19"/>
        <v>51.686024565955172</v>
      </c>
      <c r="M164" s="23">
        <f t="shared" si="16"/>
        <v>1.4078451995452197</v>
      </c>
      <c r="N164" s="23">
        <f t="shared" si="17"/>
        <v>-3.9304758435246967</v>
      </c>
      <c r="P164">
        <v>180</v>
      </c>
      <c r="Q164" s="23">
        <v>87.88462237729054</v>
      </c>
    </row>
    <row r="165" spans="9:17" x14ac:dyDescent="0.3">
      <c r="I165">
        <v>161</v>
      </c>
      <c r="J165" s="23">
        <f>'$ Portfolio Loss'!P165</f>
        <v>-14.791293190472061</v>
      </c>
      <c r="K165" s="23">
        <f t="shared" si="18"/>
        <v>2524.2853685613604</v>
      </c>
      <c r="L165" s="23">
        <f t="shared" si="19"/>
        <v>50.242266753813574</v>
      </c>
      <c r="M165" s="23">
        <f t="shared" si="16"/>
        <v>1.4483009280872678</v>
      </c>
      <c r="N165" s="23">
        <f t="shared" si="17"/>
        <v>-21.42224365537157</v>
      </c>
      <c r="P165">
        <v>399</v>
      </c>
      <c r="Q165" s="23">
        <v>85.713936466005791</v>
      </c>
    </row>
    <row r="166" spans="9:17" x14ac:dyDescent="0.3">
      <c r="I166">
        <v>162</v>
      </c>
      <c r="J166" s="23">
        <f>'$ Portfolio Loss'!P166</f>
        <v>57.163245013412961</v>
      </c>
      <c r="K166" s="23">
        <f t="shared" si="18"/>
        <v>2568.8864412754879</v>
      </c>
      <c r="L166" s="23">
        <f t="shared" si="19"/>
        <v>50.684183344269123</v>
      </c>
      <c r="M166" s="23">
        <f t="shared" si="16"/>
        <v>1.4356731581230844</v>
      </c>
      <c r="N166" s="23">
        <f t="shared" si="17"/>
        <v>82.067736496970241</v>
      </c>
      <c r="P166">
        <v>159</v>
      </c>
      <c r="Q166" s="23">
        <v>80.341601755349402</v>
      </c>
    </row>
    <row r="167" spans="9:17" x14ac:dyDescent="0.3">
      <c r="I167">
        <v>163</v>
      </c>
      <c r="J167" s="23">
        <f>'$ Portfolio Loss'!P167</f>
        <v>-13.40463791807997</v>
      </c>
      <c r="K167" s="23">
        <f t="shared" si="18"/>
        <v>2425.5343138618482</v>
      </c>
      <c r="L167" s="23">
        <f t="shared" si="19"/>
        <v>49.249713845481864</v>
      </c>
      <c r="M167" s="23">
        <f t="shared" si="16"/>
        <v>1.4774892255629173</v>
      </c>
      <c r="N167" s="23">
        <f t="shared" si="17"/>
        <v>-19.805208096535292</v>
      </c>
      <c r="P167">
        <v>475</v>
      </c>
      <c r="Q167" s="23">
        <v>80.017886179599557</v>
      </c>
    </row>
    <row r="168" spans="9:17" x14ac:dyDescent="0.3">
      <c r="I168">
        <v>164</v>
      </c>
      <c r="J168" s="23">
        <f>'$ Portfolio Loss'!P168</f>
        <v>28.543314137965353</v>
      </c>
      <c r="K168" s="23">
        <f t="shared" si="18"/>
        <v>2328.8855019488519</v>
      </c>
      <c r="L168" s="23">
        <f t="shared" si="19"/>
        <v>48.258527764000966</v>
      </c>
      <c r="M168" s="23">
        <f t="shared" si="16"/>
        <v>1.5078355047340857</v>
      </c>
      <c r="N168" s="23">
        <f t="shared" si="17"/>
        <v>43.038622480002552</v>
      </c>
      <c r="P168">
        <v>438</v>
      </c>
      <c r="Q168" s="23">
        <v>79.790310025869019</v>
      </c>
    </row>
    <row r="169" spans="9:17" x14ac:dyDescent="0.3">
      <c r="I169">
        <v>165</v>
      </c>
      <c r="J169" s="23">
        <f>'$ Portfolio Loss'!P169</f>
        <v>-2.4376457887829019</v>
      </c>
      <c r="K169" s="23">
        <f t="shared" si="18"/>
        <v>2189.5088988514153</v>
      </c>
      <c r="L169" s="23">
        <f t="shared" si="19"/>
        <v>46.792188438364533</v>
      </c>
      <c r="M169" s="23">
        <f t="shared" si="16"/>
        <v>1.5550869492801089</v>
      </c>
      <c r="N169" s="23">
        <f t="shared" si="17"/>
        <v>-3.790751153103908</v>
      </c>
      <c r="P169">
        <v>117</v>
      </c>
      <c r="Q169" s="23">
        <v>78.477817982296457</v>
      </c>
    </row>
    <row r="170" spans="9:17" x14ac:dyDescent="0.3">
      <c r="I170">
        <v>166</v>
      </c>
      <c r="J170" s="23">
        <f>'$ Portfolio Loss'!P170</f>
        <v>108.46901713282568</v>
      </c>
      <c r="K170" s="23">
        <f t="shared" si="18"/>
        <v>2764.0700255860047</v>
      </c>
      <c r="L170" s="23">
        <f t="shared" si="19"/>
        <v>52.574423682870787</v>
      </c>
      <c r="M170" s="23">
        <f t="shared" si="16"/>
        <v>1.3840555249389079</v>
      </c>
      <c r="N170" s="23">
        <f t="shared" si="17"/>
        <v>150.12714244738044</v>
      </c>
      <c r="P170">
        <v>73</v>
      </c>
      <c r="Q170" s="23">
        <v>77.040294635085829</v>
      </c>
    </row>
    <row r="171" spans="9:17" x14ac:dyDescent="0.3">
      <c r="I171">
        <v>167</v>
      </c>
      <c r="J171" s="23">
        <f>'$ Portfolio Loss'!P171</f>
        <v>12.470583163538322</v>
      </c>
      <c r="K171" s="23">
        <f t="shared" si="18"/>
        <v>2607.5567507171681</v>
      </c>
      <c r="L171" s="23">
        <f t="shared" si="19"/>
        <v>51.064241409396928</v>
      </c>
      <c r="M171" s="23">
        <f t="shared" si="16"/>
        <v>1.4249878106554184</v>
      </c>
      <c r="N171" s="23">
        <f t="shared" si="17"/>
        <v>17.770428999806793</v>
      </c>
      <c r="P171">
        <v>27</v>
      </c>
      <c r="Q171" s="23">
        <v>76.805477619114839</v>
      </c>
    </row>
    <row r="172" spans="9:17" x14ac:dyDescent="0.3">
      <c r="I172">
        <v>168</v>
      </c>
      <c r="J172" s="23">
        <f>'$ Portfolio Loss'!P172</f>
        <v>0.69950210104252619</v>
      </c>
      <c r="K172" s="23">
        <f t="shared" si="18"/>
        <v>2451.1327038654995</v>
      </c>
      <c r="L172" s="23">
        <f t="shared" si="19"/>
        <v>49.508915397789714</v>
      </c>
      <c r="M172" s="23">
        <f t="shared" si="16"/>
        <v>1.4697539015771866</v>
      </c>
      <c r="N172" s="23">
        <f t="shared" si="17"/>
        <v>1.0280959421686922</v>
      </c>
      <c r="P172">
        <v>167</v>
      </c>
      <c r="Q172" s="23">
        <v>76.492081949603104</v>
      </c>
    </row>
    <row r="173" spans="9:17" x14ac:dyDescent="0.3">
      <c r="I173">
        <v>169</v>
      </c>
      <c r="J173" s="23">
        <f>'$ Portfolio Loss'!P173</f>
        <v>104.31658925619558</v>
      </c>
      <c r="K173" s="23">
        <f t="shared" si="18"/>
        <v>2956.981789276319</v>
      </c>
      <c r="L173" s="23">
        <f t="shared" si="19"/>
        <v>54.3781370522779</v>
      </c>
      <c r="M173" s="23">
        <f t="shared" si="16"/>
        <v>1.3381466433614817</v>
      </c>
      <c r="N173" s="23">
        <f t="shared" si="17"/>
        <v>139.59089376009652</v>
      </c>
      <c r="P173">
        <v>36</v>
      </c>
      <c r="Q173" s="23">
        <v>73.09512933505566</v>
      </c>
    </row>
    <row r="174" spans="9:17" x14ac:dyDescent="0.3">
      <c r="I174">
        <v>170</v>
      </c>
      <c r="J174" s="23">
        <f>'$ Portfolio Loss'!P174</f>
        <v>121.97466921265186</v>
      </c>
      <c r="K174" s="23">
        <f t="shared" si="18"/>
        <v>3672.2320776918909</v>
      </c>
      <c r="L174" s="23">
        <f t="shared" si="19"/>
        <v>60.598944526220016</v>
      </c>
      <c r="M174" s="23">
        <f t="shared" si="16"/>
        <v>1.2007786956961246</v>
      </c>
      <c r="N174" s="23">
        <f t="shared" si="17"/>
        <v>146.46458420513434</v>
      </c>
      <c r="P174">
        <v>491</v>
      </c>
      <c r="Q174" s="23">
        <v>72.591451084973457</v>
      </c>
    </row>
    <row r="175" spans="9:17" x14ac:dyDescent="0.3">
      <c r="I175">
        <v>171</v>
      </c>
      <c r="J175" s="23">
        <f>'$ Portfolio Loss'!P175</f>
        <v>150.82436472908739</v>
      </c>
      <c r="K175" s="23">
        <f t="shared" si="18"/>
        <v>4816.7774927863447</v>
      </c>
      <c r="L175" s="23">
        <f t="shared" si="19"/>
        <v>69.403007807921014</v>
      </c>
      <c r="M175" s="23">
        <f t="shared" si="16"/>
        <v>1.0484548705748089</v>
      </c>
      <c r="N175" s="23">
        <f t="shared" si="17"/>
        <v>158.1325398015631</v>
      </c>
      <c r="P175">
        <v>369</v>
      </c>
      <c r="Q175" s="23">
        <v>72.515865306103592</v>
      </c>
    </row>
    <row r="176" spans="9:17" x14ac:dyDescent="0.3">
      <c r="I176">
        <v>172</v>
      </c>
      <c r="J176" s="23">
        <f>'$ Portfolio Loss'!P176</f>
        <v>-23.621238437392094</v>
      </c>
      <c r="K176" s="23">
        <f t="shared" si="18"/>
        <v>4561.2486175381318</v>
      </c>
      <c r="L176" s="23">
        <f t="shared" si="19"/>
        <v>67.537016646711095</v>
      </c>
      <c r="M176" s="23">
        <f t="shared" si="16"/>
        <v>1.0774227998461614</v>
      </c>
      <c r="N176" s="23">
        <f t="shared" si="17"/>
        <v>-25.450060853048758</v>
      </c>
      <c r="P176">
        <v>213</v>
      </c>
      <c r="Q176" s="23">
        <v>71.68636580821034</v>
      </c>
    </row>
    <row r="177" spans="9:17" x14ac:dyDescent="0.3">
      <c r="I177">
        <v>173</v>
      </c>
      <c r="J177" s="23">
        <f>'$ Portfolio Loss'!P177</f>
        <v>28.138868324731448</v>
      </c>
      <c r="K177" s="23">
        <f t="shared" si="18"/>
        <v>4335.0814551216381</v>
      </c>
      <c r="L177" s="23">
        <f t="shared" si="19"/>
        <v>65.841335459737124</v>
      </c>
      <c r="M177" s="23">
        <f t="shared" si="16"/>
        <v>1.105170802819661</v>
      </c>
      <c r="N177" s="23">
        <f t="shared" si="17"/>
        <v>31.098255696880184</v>
      </c>
      <c r="P177">
        <v>476</v>
      </c>
      <c r="Q177" s="23">
        <v>70.569479646020341</v>
      </c>
    </row>
    <row r="178" spans="9:17" x14ac:dyDescent="0.3">
      <c r="I178">
        <v>174</v>
      </c>
      <c r="J178" s="23">
        <f>'$ Portfolio Loss'!P178</f>
        <v>-105.74613258189856</v>
      </c>
      <c r="K178" s="23">
        <f t="shared" si="18"/>
        <v>4745.911241176048</v>
      </c>
      <c r="L178" s="23">
        <f t="shared" si="19"/>
        <v>68.890574400102423</v>
      </c>
      <c r="M178" s="23">
        <f t="shared" si="16"/>
        <v>1.0562536631810708</v>
      </c>
      <c r="N178" s="23">
        <f t="shared" si="17"/>
        <v>-111.69473990686154</v>
      </c>
      <c r="P178">
        <v>343</v>
      </c>
      <c r="Q178" s="23">
        <v>69.289658451596722</v>
      </c>
    </row>
    <row r="179" spans="9:17" x14ac:dyDescent="0.3">
      <c r="I179">
        <v>175</v>
      </c>
      <c r="J179" s="23">
        <f>'$ Portfolio Loss'!P179</f>
        <v>-53.229231986304512</v>
      </c>
      <c r="K179" s="23">
        <f t="shared" si="18"/>
        <v>4631.1576349765946</v>
      </c>
      <c r="L179" s="23">
        <f t="shared" si="19"/>
        <v>68.052609317913706</v>
      </c>
      <c r="M179" s="23">
        <f t="shared" si="16"/>
        <v>1.0692598314463437</v>
      </c>
      <c r="N179" s="23">
        <f t="shared" si="17"/>
        <v>-56.915879621694295</v>
      </c>
      <c r="P179">
        <v>460</v>
      </c>
      <c r="Q179" s="23">
        <v>66.419359312027268</v>
      </c>
    </row>
    <row r="180" spans="9:17" x14ac:dyDescent="0.3">
      <c r="I180">
        <v>176</v>
      </c>
      <c r="J180" s="23">
        <f>'$ Portfolio Loss'!P180</f>
        <v>237.67317481744431</v>
      </c>
      <c r="K180" s="23">
        <f t="shared" si="18"/>
        <v>7742.6004585462088</v>
      </c>
      <c r="L180" s="23">
        <f t="shared" si="19"/>
        <v>87.992047700608765</v>
      </c>
      <c r="M180" s="23">
        <f t="shared" si="16"/>
        <v>0.82696020231670164</v>
      </c>
      <c r="N180" s="23">
        <f t="shared" si="17"/>
        <v>196.54625673228654</v>
      </c>
      <c r="P180">
        <v>447</v>
      </c>
      <c r="Q180" s="23">
        <v>65.295097390301194</v>
      </c>
    </row>
    <row r="181" spans="9:17" x14ac:dyDescent="0.3">
      <c r="I181">
        <v>177</v>
      </c>
      <c r="J181" s="23">
        <f>'$ Portfolio Loss'!P181</f>
        <v>13.650749048196303</v>
      </c>
      <c r="K181" s="23">
        <f t="shared" si="18"/>
        <v>7289.2250080080457</v>
      </c>
      <c r="L181" s="23">
        <f t="shared" si="19"/>
        <v>85.37695829676791</v>
      </c>
      <c r="M181" s="23">
        <f t="shared" si="16"/>
        <v>0.85228992717009178</v>
      </c>
      <c r="N181" s="23">
        <f t="shared" si="17"/>
        <v>11.634395912104427</v>
      </c>
      <c r="P181">
        <v>286</v>
      </c>
      <c r="Q181" s="23">
        <v>64.508372786706786</v>
      </c>
    </row>
    <row r="182" spans="9:17" x14ac:dyDescent="0.3">
      <c r="I182">
        <v>178</v>
      </c>
      <c r="J182" s="23">
        <f>'$ Portfolio Loss'!P182</f>
        <v>77.727174276462392</v>
      </c>
      <c r="K182" s="23">
        <f t="shared" si="18"/>
        <v>7214.3623247877758</v>
      </c>
      <c r="L182" s="23">
        <f t="shared" si="19"/>
        <v>84.937402390158923</v>
      </c>
      <c r="M182" s="23">
        <f t="shared" si="16"/>
        <v>0.85670057620207063</v>
      </c>
      <c r="N182" s="23">
        <f t="shared" si="17"/>
        <v>66.588914989204099</v>
      </c>
      <c r="P182">
        <v>204</v>
      </c>
      <c r="Q182" s="23">
        <v>63.750853944396525</v>
      </c>
    </row>
    <row r="183" spans="9:17" x14ac:dyDescent="0.3">
      <c r="I183">
        <v>179</v>
      </c>
      <c r="J183" s="23">
        <f>'$ Portfolio Loss'!P183</f>
        <v>61.375697837767802</v>
      </c>
      <c r="K183" s="23">
        <f t="shared" si="18"/>
        <v>7007.5191624048875</v>
      </c>
      <c r="L183" s="23">
        <f t="shared" si="19"/>
        <v>83.710926182935566</v>
      </c>
      <c r="M183" s="23">
        <f t="shared" si="16"/>
        <v>0.86925237704023373</v>
      </c>
      <c r="N183" s="23">
        <f t="shared" si="17"/>
        <v>53.350971237982797</v>
      </c>
      <c r="P183">
        <v>312</v>
      </c>
      <c r="Q183" s="23">
        <v>60.53122600529754</v>
      </c>
    </row>
    <row r="184" spans="9:17" x14ac:dyDescent="0.3">
      <c r="I184">
        <v>180</v>
      </c>
      <c r="J184" s="23">
        <f>'$ Portfolio Loss'!P184</f>
        <v>100.51444307944621</v>
      </c>
      <c r="K184" s="23">
        <f t="shared" si="18"/>
        <v>7193.2572087148683</v>
      </c>
      <c r="L184" s="23">
        <f t="shared" si="19"/>
        <v>84.81307215703761</v>
      </c>
      <c r="M184" s="23">
        <f t="shared" si="16"/>
        <v>0.85795644136112481</v>
      </c>
      <c r="N184" s="23">
        <f t="shared" si="17"/>
        <v>86.237013889837016</v>
      </c>
      <c r="P184">
        <v>330</v>
      </c>
      <c r="Q184" s="23">
        <v>60.415957874342901</v>
      </c>
    </row>
    <row r="185" spans="9:17" x14ac:dyDescent="0.3">
      <c r="I185">
        <v>181</v>
      </c>
      <c r="J185" s="23">
        <f>'$ Portfolio Loss'!P185</f>
        <v>-42.571458150598119</v>
      </c>
      <c r="K185" s="23">
        <f t="shared" si="18"/>
        <v>6870.4015191360641</v>
      </c>
      <c r="L185" s="23">
        <f t="shared" si="19"/>
        <v>82.88788523744627</v>
      </c>
      <c r="M185" s="23">
        <f t="shared" si="16"/>
        <v>0.87788367817933921</v>
      </c>
      <c r="N185" s="23">
        <f t="shared" si="17"/>
        <v>-37.372788266704887</v>
      </c>
      <c r="P185">
        <v>367</v>
      </c>
      <c r="Q185" s="23">
        <v>59.347901368899876</v>
      </c>
    </row>
    <row r="186" spans="9:17" x14ac:dyDescent="0.3">
      <c r="I186">
        <v>182</v>
      </c>
      <c r="J186" s="23">
        <f>'$ Portfolio Loss'!P186</f>
        <v>44.319690740174337</v>
      </c>
      <c r="K186" s="23">
        <f t="shared" si="18"/>
        <v>6576.0315272261814</v>
      </c>
      <c r="L186" s="23">
        <f t="shared" si="19"/>
        <v>81.092734121043065</v>
      </c>
      <c r="M186" s="23">
        <f t="shared" si="16"/>
        <v>0.89731740281616645</v>
      </c>
      <c r="N186" s="23">
        <f t="shared" si="17"/>
        <v>39.768829788588938</v>
      </c>
      <c r="P186">
        <v>4</v>
      </c>
      <c r="Q186" s="23">
        <v>58.657912908273126</v>
      </c>
    </row>
    <row r="187" spans="9:17" x14ac:dyDescent="0.3">
      <c r="I187">
        <v>183</v>
      </c>
      <c r="J187" s="23">
        <f>'$ Portfolio Loss'!P187</f>
        <v>-40.394474198386888</v>
      </c>
      <c r="K187" s="23">
        <f t="shared" si="18"/>
        <v>6279.3724483384585</v>
      </c>
      <c r="L187" s="23">
        <f t="shared" si="19"/>
        <v>79.242491431923426</v>
      </c>
      <c r="M187" s="23">
        <f t="shared" si="16"/>
        <v>0.91826897733609103</v>
      </c>
      <c r="N187" s="23">
        <f t="shared" si="17"/>
        <v>-37.092992512181844</v>
      </c>
      <c r="P187">
        <v>125</v>
      </c>
      <c r="Q187" s="23">
        <v>58.532177938799506</v>
      </c>
    </row>
    <row r="188" spans="9:17" x14ac:dyDescent="0.3">
      <c r="I188">
        <v>184</v>
      </c>
      <c r="J188" s="23">
        <f>'$ Portfolio Loss'!P188</f>
        <v>-128.04455732864881</v>
      </c>
      <c r="K188" s="23">
        <f t="shared" si="18"/>
        <v>6886.3346211275293</v>
      </c>
      <c r="L188" s="23">
        <f t="shared" si="19"/>
        <v>82.983941947388402</v>
      </c>
      <c r="M188" s="23">
        <f t="shared" si="16"/>
        <v>0.87686749823103949</v>
      </c>
      <c r="N188" s="23">
        <f t="shared" si="17"/>
        <v>-112.27811064687319</v>
      </c>
      <c r="P188">
        <v>382</v>
      </c>
      <c r="Q188" s="23">
        <v>56.851589590986407</v>
      </c>
    </row>
    <row r="189" spans="9:17" x14ac:dyDescent="0.3">
      <c r="I189">
        <v>185</v>
      </c>
      <c r="J189" s="23">
        <f>'$ Portfolio Loss'!P189</f>
        <v>5.4228780832927441</v>
      </c>
      <c r="K189" s="23">
        <f t="shared" si="18"/>
        <v>6474.9190002622527</v>
      </c>
      <c r="L189" s="23">
        <f t="shared" si="19"/>
        <v>80.466881387700454</v>
      </c>
      <c r="M189" s="23">
        <f t="shared" si="16"/>
        <v>0.90429652937784566</v>
      </c>
      <c r="N189" s="23">
        <f t="shared" si="17"/>
        <v>4.9038898299608125</v>
      </c>
      <c r="P189">
        <v>266</v>
      </c>
      <c r="Q189" s="23">
        <v>53.736487456097414</v>
      </c>
    </row>
    <row r="190" spans="9:17" x14ac:dyDescent="0.3">
      <c r="I190">
        <v>186</v>
      </c>
      <c r="J190" s="23">
        <f>'$ Portfolio Loss'!P190</f>
        <v>9.281540142974336</v>
      </c>
      <c r="K190" s="23">
        <f t="shared" si="18"/>
        <v>6091.592679492056</v>
      </c>
      <c r="L190" s="23">
        <f t="shared" si="19"/>
        <v>78.048655846798894</v>
      </c>
      <c r="M190" s="23">
        <f t="shared" si="16"/>
        <v>0.93231485897192068</v>
      </c>
      <c r="N190" s="23">
        <f t="shared" si="17"/>
        <v>8.6533177894393383</v>
      </c>
      <c r="P190">
        <v>149</v>
      </c>
      <c r="Q190" s="23">
        <v>53.309493165608458</v>
      </c>
    </row>
    <row r="191" spans="9:17" x14ac:dyDescent="0.3">
      <c r="I191">
        <v>187</v>
      </c>
      <c r="J191" s="23">
        <f>'$ Portfolio Loss'!P191</f>
        <v>21.7323729359141</v>
      </c>
      <c r="K191" s="23">
        <f t="shared" si="18"/>
        <v>5754.4348807280712</v>
      </c>
      <c r="L191" s="23">
        <f t="shared" si="19"/>
        <v>75.857991541617224</v>
      </c>
      <c r="M191" s="23">
        <f t="shared" si="16"/>
        <v>0.95923870497988906</v>
      </c>
      <c r="N191" s="23">
        <f t="shared" si="17"/>
        <v>20.846533271186232</v>
      </c>
      <c r="P191">
        <v>401</v>
      </c>
      <c r="Q191" s="23">
        <v>53.133092986629251</v>
      </c>
    </row>
    <row r="192" spans="9:17" x14ac:dyDescent="0.3">
      <c r="I192">
        <v>188</v>
      </c>
      <c r="J192" s="23">
        <f>'$ Portfolio Loss'!P192</f>
        <v>-30.883268011615655</v>
      </c>
      <c r="K192" s="23">
        <f t="shared" si="18"/>
        <v>5466.3953624690239</v>
      </c>
      <c r="L192" s="23">
        <f t="shared" si="19"/>
        <v>73.935075319289581</v>
      </c>
      <c r="M192" s="23">
        <f t="shared" si="16"/>
        <v>0.98418675107201425</v>
      </c>
      <c r="N192" s="23">
        <f t="shared" si="17"/>
        <v>-30.394903206838279</v>
      </c>
      <c r="P192">
        <v>207</v>
      </c>
      <c r="Q192" s="23">
        <v>49.998954484958496</v>
      </c>
    </row>
    <row r="193" spans="9:17" x14ac:dyDescent="0.3">
      <c r="I193">
        <v>189</v>
      </c>
      <c r="J193" s="23">
        <f>'$ Portfolio Loss'!P193</f>
        <v>17.850682818805581</v>
      </c>
      <c r="K193" s="23">
        <f t="shared" si="18"/>
        <v>5157.5304533467379</v>
      </c>
      <c r="L193" s="23">
        <f t="shared" si="19"/>
        <v>71.815948460956349</v>
      </c>
      <c r="M193" s="23">
        <f t="shared" si="16"/>
        <v>1.013227885005465</v>
      </c>
      <c r="N193" s="23">
        <f t="shared" si="17"/>
        <v>18.086809598401771</v>
      </c>
      <c r="P193">
        <v>195</v>
      </c>
      <c r="Q193" s="23">
        <v>49.729650186936517</v>
      </c>
    </row>
    <row r="194" spans="9:17" x14ac:dyDescent="0.3">
      <c r="I194">
        <v>190</v>
      </c>
      <c r="J194" s="23">
        <f>'$ Portfolio Loss'!P194</f>
        <v>-140.21443589241971</v>
      </c>
      <c r="K194" s="23">
        <f t="shared" si="18"/>
        <v>6027.6839081037033</v>
      </c>
      <c r="L194" s="23">
        <f t="shared" si="19"/>
        <v>77.638160128275217</v>
      </c>
      <c r="M194" s="23">
        <f t="shared" si="16"/>
        <v>0.93724428101504553</v>
      </c>
      <c r="N194" s="23">
        <f t="shared" si="17"/>
        <v>-131.4151781559211</v>
      </c>
      <c r="P194">
        <v>390</v>
      </c>
      <c r="Q194" s="23">
        <v>45.429058721525458</v>
      </c>
    </row>
    <row r="195" spans="9:17" x14ac:dyDescent="0.3">
      <c r="I195">
        <v>191</v>
      </c>
      <c r="J195" s="23">
        <f>'$ Portfolio Loss'!P195</f>
        <v>20.331103940388857</v>
      </c>
      <c r="K195" s="23">
        <f t="shared" si="18"/>
        <v>5690.8241008635741</v>
      </c>
      <c r="L195" s="23">
        <f t="shared" si="19"/>
        <v>75.437550999907032</v>
      </c>
      <c r="M195" s="23">
        <f t="shared" si="16"/>
        <v>0.96458488649566521</v>
      </c>
      <c r="N195" s="23">
        <f t="shared" si="17"/>
        <v>19.611075586671557</v>
      </c>
      <c r="P195">
        <v>352</v>
      </c>
      <c r="Q195" s="23">
        <v>44.730334161108068</v>
      </c>
    </row>
    <row r="196" spans="9:17" x14ac:dyDescent="0.3">
      <c r="I196">
        <v>192</v>
      </c>
      <c r="J196" s="23">
        <f>'$ Portfolio Loss'!P196</f>
        <v>-2.5983248389311484</v>
      </c>
      <c r="K196" s="23">
        <f t="shared" si="18"/>
        <v>5349.7797323298764</v>
      </c>
      <c r="L196" s="23">
        <f t="shared" si="19"/>
        <v>73.142188457345711</v>
      </c>
      <c r="M196" s="23">
        <f t="shared" si="16"/>
        <v>0.99485567910223449</v>
      </c>
      <c r="N196" s="23">
        <f t="shared" si="17"/>
        <v>-2.5849582221630518</v>
      </c>
      <c r="P196">
        <v>410</v>
      </c>
      <c r="Q196" s="23">
        <v>43.275889708412073</v>
      </c>
    </row>
    <row r="197" spans="9:17" x14ac:dyDescent="0.3">
      <c r="I197">
        <v>193</v>
      </c>
      <c r="J197" s="23">
        <f>'$ Portfolio Loss'!P197</f>
        <v>63.918049384141341</v>
      </c>
      <c r="K197" s="23">
        <f t="shared" si="18"/>
        <v>5273.9239706144954</v>
      </c>
      <c r="L197" s="23">
        <f t="shared" si="19"/>
        <v>72.621787162080324</v>
      </c>
      <c r="M197" s="23">
        <f t="shared" si="16"/>
        <v>1.0019847267921715</v>
      </c>
      <c r="N197" s="23">
        <f t="shared" si="17"/>
        <v>64.044909249257387</v>
      </c>
      <c r="P197">
        <v>90</v>
      </c>
      <c r="Q197" s="23">
        <v>41.996247974425359</v>
      </c>
    </row>
    <row r="198" spans="9:17" x14ac:dyDescent="0.3">
      <c r="I198">
        <v>194</v>
      </c>
      <c r="J198" s="23">
        <f>'$ Portfolio Loss'!P198</f>
        <v>-25.733500609112525</v>
      </c>
      <c r="K198" s="23">
        <f t="shared" si="18"/>
        <v>4997.2213155935769</v>
      </c>
      <c r="L198" s="23">
        <f t="shared" si="19"/>
        <v>70.691027122213868</v>
      </c>
      <c r="M198" s="23">
        <f t="shared" ref="M198:M261" si="20">$M$2/L198</f>
        <v>1.029351595683498</v>
      </c>
      <c r="N198" s="23">
        <f t="shared" ref="N198:N261" si="21">M198*J198</f>
        <v>-26.488819914512245</v>
      </c>
      <c r="P198">
        <v>43</v>
      </c>
      <c r="Q198" s="23">
        <v>40.512382203174298</v>
      </c>
    </row>
    <row r="199" spans="9:17" x14ac:dyDescent="0.3">
      <c r="I199">
        <v>195</v>
      </c>
      <c r="J199" s="23">
        <f>'$ Portfolio Loss'!P199</f>
        <v>21.540689812578421</v>
      </c>
      <c r="K199" s="23">
        <f t="shared" ref="K199:K262" si="22">K198*$K$2+(1-$K$2)*J199^2</f>
        <v>4725.228115714066</v>
      </c>
      <c r="L199" s="23">
        <f t="shared" ref="L199:L262" si="23">SQRT(K199)</f>
        <v>68.740294701972772</v>
      </c>
      <c r="M199" s="23">
        <f t="shared" si="20"/>
        <v>1.0585628398050493</v>
      </c>
      <c r="N199" s="23">
        <f t="shared" si="21"/>
        <v>22.802173779362708</v>
      </c>
      <c r="P199">
        <v>208</v>
      </c>
      <c r="Q199" s="23">
        <v>39.444712981999118</v>
      </c>
    </row>
    <row r="200" spans="9:17" x14ac:dyDescent="0.3">
      <c r="I200">
        <v>196</v>
      </c>
      <c r="J200" s="23">
        <f>'$ Portfolio Loss'!P200</f>
        <v>-6.8804158243747224</v>
      </c>
      <c r="K200" s="23">
        <f t="shared" si="22"/>
        <v>4444.5548360862003</v>
      </c>
      <c r="L200" s="23">
        <f t="shared" si="23"/>
        <v>66.6674945988388</v>
      </c>
      <c r="M200" s="23">
        <f t="shared" si="20"/>
        <v>1.0914752685189959</v>
      </c>
      <c r="N200" s="23">
        <f t="shared" si="21"/>
        <v>-7.5098037094317487</v>
      </c>
      <c r="P200">
        <v>333</v>
      </c>
      <c r="Q200" s="23">
        <v>35.417408057121612</v>
      </c>
    </row>
    <row r="201" spans="9:17" x14ac:dyDescent="0.3">
      <c r="I201">
        <v>197</v>
      </c>
      <c r="J201" s="23">
        <f>'$ Portfolio Loss'!P201</f>
        <v>-8.4530270456598373</v>
      </c>
      <c r="K201" s="23">
        <f t="shared" si="22"/>
        <v>4182.1687658951078</v>
      </c>
      <c r="L201" s="23">
        <f t="shared" si="23"/>
        <v>64.669689700006359</v>
      </c>
      <c r="M201" s="23">
        <f t="shared" si="20"/>
        <v>1.1251936093447674</v>
      </c>
      <c r="N201" s="23">
        <f t="shared" si="21"/>
        <v>-9.5112920113949286</v>
      </c>
      <c r="P201">
        <v>13</v>
      </c>
      <c r="Q201" s="23">
        <v>34.391877222519618</v>
      </c>
    </row>
    <row r="202" spans="9:17" x14ac:dyDescent="0.3">
      <c r="I202">
        <v>198</v>
      </c>
      <c r="J202" s="23">
        <f>'$ Portfolio Loss'!P202</f>
        <v>75.969393740913802</v>
      </c>
      <c r="K202" s="23">
        <f t="shared" si="22"/>
        <v>4277.519567063121</v>
      </c>
      <c r="L202" s="23">
        <f t="shared" si="23"/>
        <v>65.402748925890876</v>
      </c>
      <c r="M202" s="23">
        <f t="shared" si="20"/>
        <v>1.1125820055546711</v>
      </c>
      <c r="N202" s="23">
        <f t="shared" si="21"/>
        <v>84.522180449038359</v>
      </c>
      <c r="P202">
        <v>380</v>
      </c>
      <c r="Q202" s="23">
        <v>34.175390278485843</v>
      </c>
    </row>
    <row r="203" spans="9:17" x14ac:dyDescent="0.3">
      <c r="I203">
        <v>199</v>
      </c>
      <c r="J203" s="23">
        <f>'$ Portfolio Loss'!P203</f>
        <v>155.90359797896781</v>
      </c>
      <c r="K203" s="23">
        <f t="shared" si="22"/>
        <v>5479.224304806592</v>
      </c>
      <c r="L203" s="23">
        <f t="shared" si="23"/>
        <v>74.021782637319617</v>
      </c>
      <c r="M203" s="23">
        <f t="shared" si="20"/>
        <v>0.98303389861986157</v>
      </c>
      <c r="N203" s="23">
        <f t="shared" si="21"/>
        <v>153.25852173012831</v>
      </c>
      <c r="P203">
        <v>170</v>
      </c>
      <c r="Q203" s="23">
        <v>34.15788922256521</v>
      </c>
    </row>
    <row r="204" spans="9:17" x14ac:dyDescent="0.3">
      <c r="I204">
        <v>200</v>
      </c>
      <c r="J204" s="23">
        <f>'$ Portfolio Loss'!P204</f>
        <v>-76.302104280144704</v>
      </c>
      <c r="K204" s="23">
        <f t="shared" si="22"/>
        <v>5499.7915135728817</v>
      </c>
      <c r="L204" s="23">
        <f t="shared" si="23"/>
        <v>74.160579242430956</v>
      </c>
      <c r="M204" s="23">
        <f t="shared" si="20"/>
        <v>0.98119408332672897</v>
      </c>
      <c r="N204" s="23">
        <f t="shared" si="21"/>
        <v>-74.867173265057062</v>
      </c>
      <c r="P204">
        <v>332</v>
      </c>
      <c r="Q204" s="23">
        <v>32.843830131577747</v>
      </c>
    </row>
    <row r="205" spans="9:17" x14ac:dyDescent="0.3">
      <c r="I205">
        <v>201</v>
      </c>
      <c r="J205" s="23">
        <f>'$ Portfolio Loss'!P205</f>
        <v>46.656373216277643</v>
      </c>
      <c r="K205" s="23">
        <f t="shared" si="22"/>
        <v>5300.4130524603042</v>
      </c>
      <c r="L205" s="23">
        <f t="shared" si="23"/>
        <v>72.803935693479545</v>
      </c>
      <c r="M205" s="23">
        <f t="shared" si="20"/>
        <v>0.99947785618509266</v>
      </c>
      <c r="N205" s="23">
        <f t="shared" si="21"/>
        <v>46.632011879576758</v>
      </c>
      <c r="P205">
        <v>28</v>
      </c>
      <c r="Q205" s="23">
        <v>30.18372647991249</v>
      </c>
    </row>
    <row r="206" spans="9:17" x14ac:dyDescent="0.3">
      <c r="I206">
        <v>202</v>
      </c>
      <c r="J206" s="23">
        <f>'$ Portfolio Loss'!P206</f>
        <v>-100.58730394814665</v>
      </c>
      <c r="K206" s="23">
        <f t="shared" si="22"/>
        <v>5589.4566122460974</v>
      </c>
      <c r="L206" s="23">
        <f t="shared" si="23"/>
        <v>74.762668573600934</v>
      </c>
      <c r="M206" s="23">
        <f t="shared" si="20"/>
        <v>0.97329219190619276</v>
      </c>
      <c r="N206" s="23">
        <f t="shared" si="21"/>
        <v>-97.900837537626089</v>
      </c>
      <c r="P206">
        <v>261</v>
      </c>
      <c r="Q206" s="23">
        <v>29.017627446501631</v>
      </c>
    </row>
    <row r="207" spans="9:17" x14ac:dyDescent="0.3">
      <c r="I207">
        <v>203</v>
      </c>
      <c r="J207" s="23">
        <f>'$ Portfolio Loss'!P207</f>
        <v>-13.036795482577872</v>
      </c>
      <c r="K207" s="23">
        <f t="shared" si="22"/>
        <v>5264.2866976986052</v>
      </c>
      <c r="L207" s="23">
        <f t="shared" si="23"/>
        <v>72.55540433143905</v>
      </c>
      <c r="M207" s="23">
        <f t="shared" si="20"/>
        <v>1.0029014687362994</v>
      </c>
      <c r="N207" s="23">
        <f t="shared" si="21"/>
        <v>-13.074621337092101</v>
      </c>
      <c r="P207">
        <v>439</v>
      </c>
      <c r="Q207" s="23">
        <v>26.013597701634868</v>
      </c>
    </row>
    <row r="208" spans="9:17" x14ac:dyDescent="0.3">
      <c r="I208">
        <v>204</v>
      </c>
      <c r="J208" s="23">
        <f>'$ Portfolio Loss'!P208</f>
        <v>-75.022062247848226</v>
      </c>
      <c r="K208" s="23">
        <f t="shared" si="22"/>
        <v>5286.1280852718892</v>
      </c>
      <c r="L208" s="23">
        <f t="shared" si="23"/>
        <v>72.705763769263086</v>
      </c>
      <c r="M208" s="23">
        <f t="shared" si="20"/>
        <v>1.0008274144493428</v>
      </c>
      <c r="N208" s="23">
        <f t="shared" si="21"/>
        <v>-75.084136586171581</v>
      </c>
      <c r="P208">
        <v>153</v>
      </c>
      <c r="Q208" s="23">
        <v>25.49038579011733</v>
      </c>
    </row>
    <row r="209" spans="9:17" x14ac:dyDescent="0.3">
      <c r="I209">
        <v>205</v>
      </c>
      <c r="J209" s="23">
        <f>'$ Portfolio Loss'!P209</f>
        <v>-47.628616133961259</v>
      </c>
      <c r="K209" s="23">
        <f t="shared" si="22"/>
        <v>5105.0695046457495</v>
      </c>
      <c r="L209" s="23">
        <f t="shared" si="23"/>
        <v>71.449769101416621</v>
      </c>
      <c r="M209" s="23">
        <f t="shared" si="20"/>
        <v>1.0184206678886745</v>
      </c>
      <c r="N209" s="23">
        <f t="shared" si="21"/>
        <v>-48.50596705376212</v>
      </c>
      <c r="P209">
        <v>144</v>
      </c>
      <c r="Q209" s="23">
        <v>25.156470876782056</v>
      </c>
    </row>
    <row r="210" spans="9:17" x14ac:dyDescent="0.3">
      <c r="I210">
        <v>206</v>
      </c>
      <c r="J210" s="23">
        <f>'$ Portfolio Loss'!P210</f>
        <v>-57.60849217523355</v>
      </c>
      <c r="K210" s="23">
        <f t="shared" si="22"/>
        <v>4997.8896366092413</v>
      </c>
      <c r="L210" s="23">
        <f t="shared" si="23"/>
        <v>70.695754021081356</v>
      </c>
      <c r="M210" s="23">
        <f t="shared" si="20"/>
        <v>1.0292827706039829</v>
      </c>
      <c r="N210" s="23">
        <f t="shared" si="21"/>
        <v>-59.295428436442258</v>
      </c>
      <c r="P210">
        <v>182</v>
      </c>
      <c r="Q210" s="23">
        <v>24.78166329630659</v>
      </c>
    </row>
    <row r="211" spans="9:17" x14ac:dyDescent="0.3">
      <c r="I211">
        <v>207</v>
      </c>
      <c r="J211" s="23">
        <f>'$ Portfolio Loss'!P211</f>
        <v>-13.3960902289964</v>
      </c>
      <c r="K211" s="23">
        <f t="shared" si="22"/>
        <v>4708.7835724180914</v>
      </c>
      <c r="L211" s="23">
        <f t="shared" si="23"/>
        <v>68.620576887826374</v>
      </c>
      <c r="M211" s="23">
        <f t="shared" si="20"/>
        <v>1.0604096448752722</v>
      </c>
      <c r="N211" s="23">
        <f t="shared" si="21"/>
        <v>-14.205343282447176</v>
      </c>
      <c r="P211">
        <v>95</v>
      </c>
      <c r="Q211" s="23">
        <v>24.580736818350946</v>
      </c>
    </row>
    <row r="212" spans="9:17" x14ac:dyDescent="0.3">
      <c r="I212">
        <v>208</v>
      </c>
      <c r="J212" s="23">
        <f>'$ Portfolio Loss'!P212</f>
        <v>167.54563439869708</v>
      </c>
      <c r="K212" s="23">
        <f t="shared" si="22"/>
        <v>6110.5489344367188</v>
      </c>
      <c r="L212" s="23">
        <f t="shared" si="23"/>
        <v>78.170000220268122</v>
      </c>
      <c r="M212" s="23">
        <f t="shared" si="20"/>
        <v>0.93086761371006554</v>
      </c>
      <c r="N212" s="23">
        <f t="shared" si="21"/>
        <v>155.96280488025423</v>
      </c>
      <c r="P212">
        <v>11</v>
      </c>
      <c r="Q212" s="23">
        <v>24.010549381134137</v>
      </c>
    </row>
    <row r="213" spans="9:17" x14ac:dyDescent="0.3">
      <c r="I213">
        <v>209</v>
      </c>
      <c r="J213" s="23">
        <f>'$ Portfolio Loss'!P213</f>
        <v>28.428671839748858</v>
      </c>
      <c r="K213" s="23">
        <f t="shared" si="22"/>
        <v>5792.4073613248438</v>
      </c>
      <c r="L213" s="23">
        <f t="shared" si="23"/>
        <v>76.107866619192819</v>
      </c>
      <c r="M213" s="23">
        <f t="shared" si="20"/>
        <v>0.95608936107540599</v>
      </c>
      <c r="N213" s="23">
        <f t="shared" si="21"/>
        <v>27.180350695487874</v>
      </c>
      <c r="P213">
        <v>171</v>
      </c>
      <c r="Q213" s="23">
        <v>23.784513260474146</v>
      </c>
    </row>
    <row r="214" spans="9:17" x14ac:dyDescent="0.3">
      <c r="I214">
        <v>210</v>
      </c>
      <c r="J214" s="23">
        <f>'$ Portfolio Loss'!P214</f>
        <v>125.73659185325778</v>
      </c>
      <c r="K214" s="23">
        <f t="shared" si="22"/>
        <v>6393.4443514977174</v>
      </c>
      <c r="L214" s="23">
        <f t="shared" si="23"/>
        <v>79.959016699167307</v>
      </c>
      <c r="M214" s="23">
        <f t="shared" si="20"/>
        <v>0.91004022526347639</v>
      </c>
      <c r="N214" s="23">
        <f t="shared" si="21"/>
        <v>114.4253563740005</v>
      </c>
      <c r="P214">
        <v>383</v>
      </c>
      <c r="Q214" s="23">
        <v>22.790483282628621</v>
      </c>
    </row>
    <row r="215" spans="9:17" x14ac:dyDescent="0.3">
      <c r="I215">
        <v>211</v>
      </c>
      <c r="J215" s="23">
        <f>'$ Portfolio Loss'!P215</f>
        <v>-2.3822796995700628</v>
      </c>
      <c r="K215" s="23">
        <f t="shared" si="22"/>
        <v>6010.1782058018734</v>
      </c>
      <c r="L215" s="23">
        <f t="shared" si="23"/>
        <v>77.525339120844052</v>
      </c>
      <c r="M215" s="23">
        <f t="shared" si="20"/>
        <v>0.93860823304921071</v>
      </c>
      <c r="N215" s="23">
        <f t="shared" si="21"/>
        <v>-2.2360273394424612</v>
      </c>
      <c r="P215">
        <v>492</v>
      </c>
      <c r="Q215" s="23">
        <v>21.832307926168649</v>
      </c>
    </row>
    <row r="216" spans="9:17" x14ac:dyDescent="0.3">
      <c r="I216">
        <v>212</v>
      </c>
      <c r="J216" s="23">
        <f>'$ Portfolio Loss'!P216</f>
        <v>-54.674955262027652</v>
      </c>
      <c r="K216" s="23">
        <f t="shared" si="22"/>
        <v>5828.9285574280439</v>
      </c>
      <c r="L216" s="23">
        <f t="shared" si="23"/>
        <v>76.347420109837657</v>
      </c>
      <c r="M216" s="23">
        <f t="shared" si="20"/>
        <v>0.95308946214647683</v>
      </c>
      <c r="N216" s="23">
        <f t="shared" si="21"/>
        <v>-52.110123703568618</v>
      </c>
      <c r="P216">
        <v>381</v>
      </c>
      <c r="Q216" s="23">
        <v>21.563201869766505</v>
      </c>
    </row>
    <row r="217" spans="9:17" x14ac:dyDescent="0.3">
      <c r="I217">
        <v>213</v>
      </c>
      <c r="J217" s="23">
        <f>'$ Portfolio Loss'!P217</f>
        <v>-64.71485179213596</v>
      </c>
      <c r="K217" s="23">
        <f t="shared" si="22"/>
        <v>5730.4735665310482</v>
      </c>
      <c r="L217" s="23">
        <f t="shared" si="23"/>
        <v>75.699891456534118</v>
      </c>
      <c r="M217" s="23">
        <f t="shared" si="20"/>
        <v>0.96124208593532157</v>
      </c>
      <c r="N217" s="23">
        <f t="shared" si="21"/>
        <v>-62.206639127667955</v>
      </c>
      <c r="P217">
        <v>272</v>
      </c>
      <c r="Q217" s="23">
        <v>19.182522874152586</v>
      </c>
    </row>
    <row r="218" spans="9:17" x14ac:dyDescent="0.3">
      <c r="I218">
        <v>214</v>
      </c>
      <c r="J218" s="23">
        <f>'$ Portfolio Loss'!P218</f>
        <v>96.889026210797965</v>
      </c>
      <c r="K218" s="23">
        <f t="shared" si="22"/>
        <v>5949.8941565437872</v>
      </c>
      <c r="L218" s="23">
        <f t="shared" si="23"/>
        <v>77.135557018432081</v>
      </c>
      <c r="M218" s="23">
        <f t="shared" si="20"/>
        <v>0.94335121675945577</v>
      </c>
      <c r="N218" s="23">
        <f t="shared" si="21"/>
        <v>91.400380766595063</v>
      </c>
      <c r="P218">
        <v>434</v>
      </c>
      <c r="Q218" s="23">
        <v>18.227042653002002</v>
      </c>
    </row>
    <row r="219" spans="9:17" x14ac:dyDescent="0.3">
      <c r="I219">
        <v>215</v>
      </c>
      <c r="J219" s="23">
        <f>'$ Portfolio Loss'!P219</f>
        <v>71.761120611678052</v>
      </c>
      <c r="K219" s="23">
        <f t="shared" si="22"/>
        <v>5901.8800130377876</v>
      </c>
      <c r="L219" s="23">
        <f t="shared" si="23"/>
        <v>76.823694346456605</v>
      </c>
      <c r="M219" s="23">
        <f t="shared" si="20"/>
        <v>0.94718071277071458</v>
      </c>
      <c r="N219" s="23">
        <f t="shared" si="21"/>
        <v>67.97074937019444</v>
      </c>
      <c r="P219">
        <v>116</v>
      </c>
      <c r="Q219" s="23">
        <v>17.368667279872323</v>
      </c>
    </row>
    <row r="220" spans="9:17" x14ac:dyDescent="0.3">
      <c r="I220">
        <v>216</v>
      </c>
      <c r="J220" s="23">
        <f>'$ Portfolio Loss'!P220</f>
        <v>134.83980790495116</v>
      </c>
      <c r="K220" s="23">
        <f t="shared" si="22"/>
        <v>6638.6736400061691</v>
      </c>
      <c r="L220" s="23">
        <f t="shared" si="23"/>
        <v>81.47805618696465</v>
      </c>
      <c r="M220" s="23">
        <f t="shared" si="20"/>
        <v>0.89307385293756936</v>
      </c>
      <c r="N220" s="23">
        <f t="shared" si="21"/>
        <v>120.42190677503645</v>
      </c>
      <c r="P220">
        <v>168</v>
      </c>
      <c r="Q220" s="23">
        <v>16.819340492802198</v>
      </c>
    </row>
    <row r="221" spans="9:17" x14ac:dyDescent="0.3">
      <c r="I221">
        <v>217</v>
      </c>
      <c r="J221" s="23">
        <f>'$ Portfolio Loss'!P221</f>
        <v>-17.583946724591442</v>
      </c>
      <c r="K221" s="23">
        <f t="shared" si="22"/>
        <v>6258.9049325505948</v>
      </c>
      <c r="L221" s="23">
        <f t="shared" si="23"/>
        <v>79.113241196089263</v>
      </c>
      <c r="M221" s="23">
        <f t="shared" si="20"/>
        <v>0.91976918741578828</v>
      </c>
      <c r="N221" s="23">
        <f t="shared" si="21"/>
        <v>-16.173172390439984</v>
      </c>
      <c r="P221">
        <v>186</v>
      </c>
      <c r="Q221" s="23">
        <v>15.647562262740154</v>
      </c>
    </row>
    <row r="222" spans="9:17" x14ac:dyDescent="0.3">
      <c r="I222">
        <v>218</v>
      </c>
      <c r="J222" s="23">
        <f>'$ Portfolio Loss'!P222</f>
        <v>142.66239500352094</v>
      </c>
      <c r="K222" s="23">
        <f t="shared" si="22"/>
        <v>7104.5241734859983</v>
      </c>
      <c r="L222" s="23">
        <f t="shared" si="23"/>
        <v>84.288339487060711</v>
      </c>
      <c r="M222" s="23">
        <f t="shared" si="20"/>
        <v>0.86329760452721627</v>
      </c>
      <c r="N222" s="23">
        <f t="shared" si="21"/>
        <v>123.16010386265513</v>
      </c>
      <c r="P222">
        <v>8</v>
      </c>
      <c r="Q222" s="23">
        <v>14.777874699218328</v>
      </c>
    </row>
    <row r="223" spans="9:17" x14ac:dyDescent="0.3">
      <c r="I223">
        <v>219</v>
      </c>
      <c r="J223" s="23">
        <f>'$ Portfolio Loss'!P223</f>
        <v>54.285825627344821</v>
      </c>
      <c r="K223" s="23">
        <f t="shared" si="22"/>
        <v>6855.0697749193878</v>
      </c>
      <c r="L223" s="23">
        <f t="shared" si="23"/>
        <v>82.795348751722685</v>
      </c>
      <c r="M223" s="23">
        <f t="shared" si="20"/>
        <v>0.8788648476734906</v>
      </c>
      <c r="N223" s="23">
        <f t="shared" si="21"/>
        <v>47.70990387080608</v>
      </c>
      <c r="P223">
        <v>328</v>
      </c>
      <c r="Q223" s="23">
        <v>14.225475828616123</v>
      </c>
    </row>
    <row r="224" spans="9:17" x14ac:dyDescent="0.3">
      <c r="I224">
        <v>220</v>
      </c>
      <c r="J224" s="23">
        <f>'$ Portfolio Loss'!P224</f>
        <v>48.192701514219152</v>
      </c>
      <c r="K224" s="23">
        <f t="shared" si="22"/>
        <v>6583.1177771785415</v>
      </c>
      <c r="L224" s="23">
        <f t="shared" si="23"/>
        <v>81.136414618705828</v>
      </c>
      <c r="M224" s="23">
        <f t="shared" si="20"/>
        <v>0.8968343241528971</v>
      </c>
      <c r="N224" s="23">
        <f t="shared" si="21"/>
        <v>43.220868891607033</v>
      </c>
      <c r="P224">
        <v>202</v>
      </c>
      <c r="Q224" s="23">
        <v>10.836855140452505</v>
      </c>
    </row>
    <row r="225" spans="9:17" x14ac:dyDescent="0.3">
      <c r="I225">
        <v>221</v>
      </c>
      <c r="J225" s="23">
        <f>'$ Portfolio Loss'!P225</f>
        <v>118.61292498300281</v>
      </c>
      <c r="K225" s="23">
        <f t="shared" si="22"/>
        <v>7032.2722689292368</v>
      </c>
      <c r="L225" s="23">
        <f t="shared" si="23"/>
        <v>83.858644568876954</v>
      </c>
      <c r="M225" s="23">
        <f t="shared" si="20"/>
        <v>0.86772117463680554</v>
      </c>
      <c r="N225" s="23">
        <f t="shared" si="21"/>
        <v>102.9229465933585</v>
      </c>
      <c r="P225">
        <v>58</v>
      </c>
      <c r="Q225" s="23">
        <v>8.6220750295909472</v>
      </c>
    </row>
    <row r="226" spans="9:17" x14ac:dyDescent="0.3">
      <c r="I226">
        <v>222</v>
      </c>
      <c r="J226" s="23">
        <f>'$ Portfolio Loss'!P226</f>
        <v>-152.86380454213031</v>
      </c>
      <c r="K226" s="23">
        <f t="shared" si="22"/>
        <v>8012.3764971391611</v>
      </c>
      <c r="L226" s="23">
        <f t="shared" si="23"/>
        <v>89.511879083947065</v>
      </c>
      <c r="M226" s="23">
        <f t="shared" si="20"/>
        <v>0.81291916015430876</v>
      </c>
      <c r="N226" s="23">
        <f t="shared" si="21"/>
        <v>-124.26591560638099</v>
      </c>
      <c r="P226">
        <v>420</v>
      </c>
      <c r="Q226" s="23">
        <v>5.5642434600021007</v>
      </c>
    </row>
    <row r="227" spans="9:17" x14ac:dyDescent="0.3">
      <c r="I227">
        <v>223</v>
      </c>
      <c r="J227" s="23">
        <f>'$ Portfolio Loss'!P227</f>
        <v>-81.232631514252716</v>
      </c>
      <c r="K227" s="23">
        <f t="shared" si="22"/>
        <v>7927.5583326746328</v>
      </c>
      <c r="L227" s="23">
        <f t="shared" si="23"/>
        <v>89.036836942215288</v>
      </c>
      <c r="M227" s="23">
        <f t="shared" si="20"/>
        <v>0.81725636340811625</v>
      </c>
      <c r="N227" s="23">
        <f t="shared" si="21"/>
        <v>-66.387885021409716</v>
      </c>
      <c r="P227">
        <v>360</v>
      </c>
      <c r="Q227" s="23">
        <v>5.0306096358748169</v>
      </c>
    </row>
    <row r="228" spans="9:17" x14ac:dyDescent="0.3">
      <c r="I228">
        <v>224</v>
      </c>
      <c r="J228" s="23">
        <f>'$ Portfolio Loss'!P228</f>
        <v>109.73432281316673</v>
      </c>
      <c r="K228" s="23">
        <f t="shared" si="22"/>
        <v>8174.4021289100119</v>
      </c>
      <c r="L228" s="23">
        <f t="shared" si="23"/>
        <v>90.412400304991422</v>
      </c>
      <c r="M228" s="23">
        <f t="shared" si="20"/>
        <v>0.80482236201331192</v>
      </c>
      <c r="N228" s="23">
        <f t="shared" si="21"/>
        <v>88.316636880424099</v>
      </c>
      <c r="P228">
        <v>9</v>
      </c>
      <c r="Q228" s="23">
        <v>3.6792025856896426</v>
      </c>
    </row>
    <row r="229" spans="9:17" x14ac:dyDescent="0.3">
      <c r="I229">
        <v>225</v>
      </c>
      <c r="J229" s="23">
        <f>'$ Portfolio Loss'!P229</f>
        <v>-34.425744366422805</v>
      </c>
      <c r="K229" s="23">
        <f t="shared" si="22"/>
        <v>7755.0459136863483</v>
      </c>
      <c r="L229" s="23">
        <f t="shared" si="23"/>
        <v>88.062738508896871</v>
      </c>
      <c r="M229" s="23">
        <f t="shared" si="20"/>
        <v>0.82629637461711269</v>
      </c>
      <c r="N229" s="23">
        <f t="shared" si="21"/>
        <v>-28.445867763470655</v>
      </c>
      <c r="P229">
        <v>396</v>
      </c>
      <c r="Q229" s="23">
        <v>3.1071694151546154</v>
      </c>
    </row>
    <row r="230" spans="9:17" x14ac:dyDescent="0.3">
      <c r="I230">
        <v>226</v>
      </c>
      <c r="J230" s="23">
        <f>'$ Portfolio Loss'!P230</f>
        <v>-3.5647819181722298</v>
      </c>
      <c r="K230" s="23">
        <f t="shared" si="22"/>
        <v>7290.5056190726145</v>
      </c>
      <c r="L230" s="23">
        <f t="shared" si="23"/>
        <v>85.384457713758508</v>
      </c>
      <c r="M230" s="23">
        <f t="shared" si="20"/>
        <v>0.85221506954691451</v>
      </c>
      <c r="N230" s="23">
        <f t="shared" si="21"/>
        <v>-3.0379608703147301</v>
      </c>
      <c r="P230">
        <v>278</v>
      </c>
      <c r="Q230" s="23">
        <v>1.9682363249795609</v>
      </c>
    </row>
    <row r="231" spans="9:17" x14ac:dyDescent="0.3">
      <c r="I231">
        <v>227</v>
      </c>
      <c r="J231" s="23">
        <f>'$ Portfolio Loss'!P231</f>
        <v>38.27616588644014</v>
      </c>
      <c r="K231" s="23">
        <f t="shared" si="22"/>
        <v>6940.9791744262338</v>
      </c>
      <c r="L231" s="23">
        <f t="shared" si="23"/>
        <v>83.312539118827928</v>
      </c>
      <c r="M231" s="23">
        <f t="shared" si="20"/>
        <v>0.87340900107450692</v>
      </c>
      <c r="N231" s="23">
        <f t="shared" si="21"/>
        <v>33.430747811837804</v>
      </c>
      <c r="P231">
        <v>449</v>
      </c>
      <c r="Q231" s="23">
        <v>1.2232828234956175</v>
      </c>
    </row>
    <row r="232" spans="9:17" x14ac:dyDescent="0.3">
      <c r="I232">
        <v>228</v>
      </c>
      <c r="J232" s="23">
        <f>'$ Portfolio Loss'!P232</f>
        <v>-94.657580493374553</v>
      </c>
      <c r="K232" s="23">
        <f t="shared" si="22"/>
        <v>7062.1238766522401</v>
      </c>
      <c r="L232" s="23">
        <f t="shared" si="23"/>
        <v>84.036443741106993</v>
      </c>
      <c r="M232" s="23">
        <f t="shared" si="20"/>
        <v>0.86588530320164347</v>
      </c>
      <c r="N232" s="23">
        <f t="shared" si="21"/>
        <v>-81.962607785839594</v>
      </c>
      <c r="P232">
        <v>105</v>
      </c>
      <c r="Q232" s="23">
        <v>0.99618742679861294</v>
      </c>
    </row>
    <row r="233" spans="9:17" x14ac:dyDescent="0.3">
      <c r="I233">
        <v>229</v>
      </c>
      <c r="J233" s="23">
        <f>'$ Portfolio Loss'!P233</f>
        <v>-52.448817519461954</v>
      </c>
      <c r="K233" s="23">
        <f t="shared" si="22"/>
        <v>6803.4491516044945</v>
      </c>
      <c r="L233" s="23">
        <f t="shared" si="23"/>
        <v>82.483023414545698</v>
      </c>
      <c r="M233" s="23">
        <f t="shared" si="20"/>
        <v>0.88219270531642724</v>
      </c>
      <c r="N233" s="23">
        <f t="shared" si="21"/>
        <v>-46.269964218141766</v>
      </c>
      <c r="P233">
        <v>271</v>
      </c>
      <c r="Q233" s="23">
        <v>-0.9923407302239029</v>
      </c>
    </row>
    <row r="234" spans="9:17" x14ac:dyDescent="0.3">
      <c r="I234">
        <v>230</v>
      </c>
      <c r="J234" s="23">
        <f>'$ Portfolio Loss'!P234</f>
        <v>-61.47677791258684</v>
      </c>
      <c r="K234" s="23">
        <f t="shared" si="22"/>
        <v>6622.0058558590363</v>
      </c>
      <c r="L234" s="23">
        <f t="shared" si="23"/>
        <v>81.375708020631293</v>
      </c>
      <c r="M234" s="23">
        <f t="shared" si="20"/>
        <v>0.8941970931952794</v>
      </c>
      <c r="N234" s="23">
        <f t="shared" si="21"/>
        <v>-54.97235610844691</v>
      </c>
      <c r="P234">
        <v>32</v>
      </c>
      <c r="Q234" s="23">
        <v>-1.1554424963443666</v>
      </c>
    </row>
    <row r="235" spans="9:17" x14ac:dyDescent="0.3">
      <c r="I235">
        <v>231</v>
      </c>
      <c r="J235" s="23">
        <f>'$ Portfolio Loss'!P235</f>
        <v>-117.28169354009697</v>
      </c>
      <c r="K235" s="23">
        <f t="shared" si="22"/>
        <v>7049.9852428854874</v>
      </c>
      <c r="L235" s="23">
        <f t="shared" si="23"/>
        <v>83.964190241349243</v>
      </c>
      <c r="M235" s="23">
        <f t="shared" si="20"/>
        <v>0.86663042136886792</v>
      </c>
      <c r="N235" s="23">
        <f t="shared" si="21"/>
        <v>-101.63988349150867</v>
      </c>
      <c r="P235">
        <v>114</v>
      </c>
      <c r="Q235" s="23">
        <v>-1.4978255544017782</v>
      </c>
    </row>
    <row r="236" spans="9:17" x14ac:dyDescent="0.3">
      <c r="I236">
        <v>232</v>
      </c>
      <c r="J236" s="23">
        <f>'$ Portfolio Loss'!P236</f>
        <v>40.888291246759763</v>
      </c>
      <c r="K236" s="23">
        <f t="shared" si="22"/>
        <v>6727.297269977149</v>
      </c>
      <c r="L236" s="23">
        <f t="shared" si="23"/>
        <v>82.020102840566764</v>
      </c>
      <c r="M236" s="23">
        <f t="shared" si="20"/>
        <v>0.88717179141071001</v>
      </c>
      <c r="N236" s="23">
        <f t="shared" si="21"/>
        <v>36.274938593110711</v>
      </c>
      <c r="P236">
        <v>276</v>
      </c>
      <c r="Q236" s="23">
        <v>-1.5854659399778697</v>
      </c>
    </row>
    <row r="237" spans="9:17" x14ac:dyDescent="0.3">
      <c r="I237">
        <v>233</v>
      </c>
      <c r="J237" s="23">
        <f>'$ Portfolio Loss'!P237</f>
        <v>-44.146733110228524</v>
      </c>
      <c r="K237" s="23">
        <f t="shared" si="22"/>
        <v>6440.5954764368653</v>
      </c>
      <c r="L237" s="23">
        <f t="shared" si="23"/>
        <v>80.253320656760778</v>
      </c>
      <c r="M237" s="23">
        <f t="shared" si="20"/>
        <v>0.90670293731485951</v>
      </c>
      <c r="N237" s="23">
        <f t="shared" si="21"/>
        <v>-40.02797258389937</v>
      </c>
      <c r="P237">
        <v>206</v>
      </c>
      <c r="Q237" s="23">
        <v>-5.0781257987645834</v>
      </c>
    </row>
    <row r="238" spans="9:17" x14ac:dyDescent="0.3">
      <c r="I238">
        <v>234</v>
      </c>
      <c r="J238" s="23">
        <f>'$ Portfolio Loss'!P238</f>
        <v>25.389786076360906</v>
      </c>
      <c r="K238" s="23">
        <f t="shared" si="22"/>
        <v>6092.8382220708554</v>
      </c>
      <c r="L238" s="23">
        <f t="shared" si="23"/>
        <v>78.056634708850055</v>
      </c>
      <c r="M238" s="23">
        <f t="shared" si="20"/>
        <v>0.93221955878794871</v>
      </c>
      <c r="N238" s="23">
        <f t="shared" si="21"/>
        <v>23.668855173825566</v>
      </c>
      <c r="P238">
        <v>121</v>
      </c>
      <c r="Q238" s="23">
        <v>-6.7732764323048595</v>
      </c>
    </row>
    <row r="239" spans="9:17" x14ac:dyDescent="0.3">
      <c r="I239">
        <v>235</v>
      </c>
      <c r="J239" s="23">
        <f>'$ Portfolio Loss'!P239</f>
        <v>-69.003695399076605</v>
      </c>
      <c r="K239" s="23">
        <f t="shared" si="22"/>
        <v>6012.9585274703168</v>
      </c>
      <c r="L239" s="23">
        <f t="shared" si="23"/>
        <v>77.543268743781468</v>
      </c>
      <c r="M239" s="23">
        <f t="shared" si="20"/>
        <v>0.93839120722637448</v>
      </c>
      <c r="N239" s="23">
        <f t="shared" si="21"/>
        <v>-64.752461028620516</v>
      </c>
      <c r="P239">
        <v>201</v>
      </c>
      <c r="Q239" s="23">
        <v>-7.2383505949209921</v>
      </c>
    </row>
    <row r="240" spans="9:17" x14ac:dyDescent="0.3">
      <c r="I240">
        <v>236</v>
      </c>
      <c r="J240" s="23">
        <f>'$ Portfolio Loss'!P240</f>
        <v>-40.275853876975816</v>
      </c>
      <c r="K240" s="23">
        <f t="shared" si="22"/>
        <v>5749.5096801532682</v>
      </c>
      <c r="L240" s="23">
        <f t="shared" si="23"/>
        <v>75.825521298262558</v>
      </c>
      <c r="M240" s="23">
        <f t="shared" si="20"/>
        <v>0.95964947319687754</v>
      </c>
      <c r="N240" s="23">
        <f t="shared" si="21"/>
        <v>-38.650701955594258</v>
      </c>
      <c r="P240">
        <v>137</v>
      </c>
      <c r="Q240" s="23">
        <v>-8.3398958642820116</v>
      </c>
    </row>
    <row r="241" spans="9:17" x14ac:dyDescent="0.3">
      <c r="I241">
        <v>237</v>
      </c>
      <c r="J241" s="23">
        <f>'$ Portfolio Loss'!P241</f>
        <v>-108.93557571728707</v>
      </c>
      <c r="K241" s="23">
        <f t="shared" si="22"/>
        <v>6116.556678755479</v>
      </c>
      <c r="L241" s="23">
        <f t="shared" si="23"/>
        <v>78.20841820901046</v>
      </c>
      <c r="M241" s="23">
        <f t="shared" si="20"/>
        <v>0.93041034757013996</v>
      </c>
      <c r="N241" s="23">
        <f t="shared" si="21"/>
        <v>-101.35478686587436</v>
      </c>
      <c r="P241">
        <v>10</v>
      </c>
      <c r="Q241" s="23">
        <v>-9.0586140660440684</v>
      </c>
    </row>
    <row r="242" spans="9:17" x14ac:dyDescent="0.3">
      <c r="I242">
        <v>238</v>
      </c>
      <c r="J242" s="23">
        <f>'$ Portfolio Loss'!P242</f>
        <v>-7.3673042343962152</v>
      </c>
      <c r="K242" s="23">
        <f t="shared" si="22"/>
        <v>5752.8199083310792</v>
      </c>
      <c r="L242" s="23">
        <f t="shared" si="23"/>
        <v>75.847346086274371</v>
      </c>
      <c r="M242" s="23">
        <f t="shared" si="20"/>
        <v>0.95937333767732558</v>
      </c>
      <c r="N242" s="23">
        <f t="shared" si="21"/>
        <v>-7.0679952530369912</v>
      </c>
      <c r="P242">
        <v>259</v>
      </c>
      <c r="Q242" s="23">
        <v>-10.346985085067205</v>
      </c>
    </row>
    <row r="243" spans="9:17" x14ac:dyDescent="0.3">
      <c r="I243">
        <v>239</v>
      </c>
      <c r="J243" s="23">
        <f>'$ Portfolio Loss'!P243</f>
        <v>41.755650860317473</v>
      </c>
      <c r="K243" s="23">
        <f t="shared" si="22"/>
        <v>5512.2627765573388</v>
      </c>
      <c r="L243" s="23">
        <f t="shared" si="23"/>
        <v>74.244614461638491</v>
      </c>
      <c r="M243" s="23">
        <f t="shared" si="20"/>
        <v>0.98008349960997865</v>
      </c>
      <c r="N243" s="23">
        <f t="shared" si="21"/>
        <v>40.924024423672364</v>
      </c>
      <c r="P243">
        <v>403</v>
      </c>
      <c r="Q243" s="23">
        <v>-11.679650130367889</v>
      </c>
    </row>
    <row r="244" spans="9:17" x14ac:dyDescent="0.3">
      <c r="I244">
        <v>240</v>
      </c>
      <c r="J244" s="23">
        <f>'$ Portfolio Loss'!P244</f>
        <v>-48.162302115015336</v>
      </c>
      <c r="K244" s="23">
        <f t="shared" si="22"/>
        <v>5320.7034506649788</v>
      </c>
      <c r="L244" s="23">
        <f t="shared" si="23"/>
        <v>72.943152184869135</v>
      </c>
      <c r="M244" s="23">
        <f t="shared" si="20"/>
        <v>0.997570291236336</v>
      </c>
      <c r="N244" s="23">
        <f t="shared" si="21"/>
        <v>-48.045281747488254</v>
      </c>
      <c r="P244">
        <v>273</v>
      </c>
      <c r="Q244" s="23">
        <v>-12.898387934625363</v>
      </c>
    </row>
    <row r="245" spans="9:17" x14ac:dyDescent="0.3">
      <c r="I245">
        <v>241</v>
      </c>
      <c r="J245" s="23">
        <f>'$ Portfolio Loss'!P245</f>
        <v>-36.790393534256509</v>
      </c>
      <c r="K245" s="23">
        <f t="shared" si="22"/>
        <v>5082.673227009408</v>
      </c>
      <c r="L245" s="23">
        <f t="shared" si="23"/>
        <v>71.292869398063985</v>
      </c>
      <c r="M245" s="23">
        <f t="shared" si="20"/>
        <v>1.020661984615425</v>
      </c>
      <c r="N245" s="23">
        <f t="shared" si="21"/>
        <v>-37.550556079456747</v>
      </c>
      <c r="P245">
        <v>17</v>
      </c>
      <c r="Q245" s="23">
        <v>-14.12078684595059</v>
      </c>
    </row>
    <row r="246" spans="9:17" x14ac:dyDescent="0.3">
      <c r="I246">
        <v>242</v>
      </c>
      <c r="J246" s="23">
        <f>'$ Portfolio Loss'!P246</f>
        <v>-125.14019823974741</v>
      </c>
      <c r="K246" s="23">
        <f t="shared" si="22"/>
        <v>5717.3169863178409</v>
      </c>
      <c r="L246" s="23">
        <f t="shared" si="23"/>
        <v>75.612941923442193</v>
      </c>
      <c r="M246" s="23">
        <f t="shared" si="20"/>
        <v>0.96234744631985747</v>
      </c>
      <c r="N246" s="23">
        <f t="shared" si="21"/>
        <v>-120.42835020798164</v>
      </c>
      <c r="P246">
        <v>103</v>
      </c>
      <c r="Q246" s="23">
        <v>-15.582558794188637</v>
      </c>
    </row>
    <row r="247" spans="9:17" x14ac:dyDescent="0.3">
      <c r="I247">
        <v>243</v>
      </c>
      <c r="J247" s="23">
        <f>'$ Portfolio Loss'!P247</f>
        <v>6.2079079042468948</v>
      </c>
      <c r="K247" s="23">
        <f t="shared" si="22"/>
        <v>5376.5902543716265</v>
      </c>
      <c r="L247" s="23">
        <f t="shared" si="23"/>
        <v>73.325236135805426</v>
      </c>
      <c r="M247" s="23">
        <f t="shared" si="20"/>
        <v>0.99237214093639958</v>
      </c>
      <c r="N247" s="23">
        <f t="shared" si="21"/>
        <v>6.1605548576734881</v>
      </c>
      <c r="P247">
        <v>177</v>
      </c>
      <c r="Q247" s="23">
        <v>-19.003413335867624</v>
      </c>
    </row>
    <row r="248" spans="9:17" x14ac:dyDescent="0.3">
      <c r="I248">
        <v>244</v>
      </c>
      <c r="J248" s="23">
        <f>'$ Portfolio Loss'!P248</f>
        <v>21.772331479098284</v>
      </c>
      <c r="K248" s="23">
        <f t="shared" si="22"/>
        <v>5082.4369041914724</v>
      </c>
      <c r="L248" s="23">
        <f t="shared" si="23"/>
        <v>71.291211970280543</v>
      </c>
      <c r="M248" s="23">
        <f t="shared" si="20"/>
        <v>1.0206857136766101</v>
      </c>
      <c r="N248" s="23">
        <f t="shared" si="21"/>
        <v>22.222707694147157</v>
      </c>
      <c r="P248">
        <v>78</v>
      </c>
      <c r="Q248" s="23">
        <v>-19.811627460803273</v>
      </c>
    </row>
    <row r="249" spans="9:17" x14ac:dyDescent="0.3">
      <c r="I249">
        <v>245</v>
      </c>
      <c r="J249" s="23">
        <f>'$ Portfolio Loss'!P249</f>
        <v>-67.959902434193282</v>
      </c>
      <c r="K249" s="23">
        <f t="shared" si="22"/>
        <v>5054.6035902718886</v>
      </c>
      <c r="L249" s="23">
        <f t="shared" si="23"/>
        <v>71.095735387376706</v>
      </c>
      <c r="M249" s="23">
        <f t="shared" si="20"/>
        <v>1.0234920726577943</v>
      </c>
      <c r="N249" s="23">
        <f t="shared" si="21"/>
        <v>-69.556421399993965</v>
      </c>
      <c r="P249">
        <v>75</v>
      </c>
      <c r="Q249" s="23">
        <v>-20.653990067366667</v>
      </c>
    </row>
    <row r="250" spans="9:17" x14ac:dyDescent="0.3">
      <c r="I250">
        <v>246</v>
      </c>
      <c r="J250" s="23">
        <f>'$ Portfolio Loss'!P250</f>
        <v>-49.320172983607335</v>
      </c>
      <c r="K250" s="23">
        <f t="shared" si="22"/>
        <v>4897.2761426435518</v>
      </c>
      <c r="L250" s="23">
        <f t="shared" si="23"/>
        <v>69.980541171411019</v>
      </c>
      <c r="M250" s="23">
        <f t="shared" si="20"/>
        <v>1.0398022128826172</v>
      </c>
      <c r="N250" s="23">
        <f t="shared" si="21"/>
        <v>-51.283225008108381</v>
      </c>
      <c r="P250">
        <v>391</v>
      </c>
      <c r="Q250" s="23">
        <v>-20.809544354553285</v>
      </c>
    </row>
    <row r="251" spans="9:17" x14ac:dyDescent="0.3">
      <c r="I251">
        <v>247</v>
      </c>
      <c r="J251" s="23">
        <f>'$ Portfolio Loss'!P251</f>
        <v>23.93402998464444</v>
      </c>
      <c r="K251" s="23">
        <f t="shared" si="22"/>
        <v>4637.8098415632903</v>
      </c>
      <c r="L251" s="23">
        <f t="shared" si="23"/>
        <v>68.101467249709756</v>
      </c>
      <c r="M251" s="23">
        <f t="shared" si="20"/>
        <v>1.0684927139960616</v>
      </c>
      <c r="N251" s="23">
        <f t="shared" si="21"/>
        <v>25.573336655155853</v>
      </c>
      <c r="P251">
        <v>319</v>
      </c>
      <c r="Q251" s="23">
        <v>-21.382034647096987</v>
      </c>
    </row>
    <row r="252" spans="9:17" x14ac:dyDescent="0.3">
      <c r="I252">
        <v>248</v>
      </c>
      <c r="J252" s="23">
        <f>'$ Portfolio Loss'!P252</f>
        <v>-57.332730810081557</v>
      </c>
      <c r="K252" s="23">
        <f t="shared" si="22"/>
        <v>4556.7637723979688</v>
      </c>
      <c r="L252" s="23">
        <f t="shared" si="23"/>
        <v>67.503805614187186</v>
      </c>
      <c r="M252" s="23">
        <f t="shared" si="20"/>
        <v>1.0779528784590948</v>
      </c>
      <c r="N252" s="23">
        <f t="shared" si="21"/>
        <v>-61.801982206647843</v>
      </c>
      <c r="P252">
        <v>452</v>
      </c>
      <c r="Q252" s="23">
        <v>-22.051939850626407</v>
      </c>
    </row>
    <row r="253" spans="9:17" x14ac:dyDescent="0.3">
      <c r="I253">
        <v>249</v>
      </c>
      <c r="J253" s="23">
        <f>'$ Portfolio Loss'!P253</f>
        <v>-35.995063970292904</v>
      </c>
      <c r="K253" s="23">
        <f t="shared" si="22"/>
        <v>4361.0966238676192</v>
      </c>
      <c r="L253" s="23">
        <f t="shared" si="23"/>
        <v>66.038599499592806</v>
      </c>
      <c r="M253" s="23">
        <f t="shared" si="20"/>
        <v>1.1018695447835014</v>
      </c>
      <c r="N253" s="23">
        <f t="shared" si="21"/>
        <v>-39.661864751399655</v>
      </c>
      <c r="P253">
        <v>220</v>
      </c>
      <c r="Q253" s="23">
        <v>-23.518852064963156</v>
      </c>
    </row>
    <row r="254" spans="9:17" x14ac:dyDescent="0.3">
      <c r="I254">
        <v>250</v>
      </c>
      <c r="J254" s="23">
        <f>'$ Portfolio Loss'!P254</f>
        <v>20.002174339670091</v>
      </c>
      <c r="K254" s="23">
        <f t="shared" si="22"/>
        <v>4123.4360451344355</v>
      </c>
      <c r="L254" s="23">
        <f t="shared" si="23"/>
        <v>64.213986366946841</v>
      </c>
      <c r="M254" s="23">
        <f t="shared" si="20"/>
        <v>1.1331786996206705</v>
      </c>
      <c r="N254" s="23">
        <f t="shared" si="21"/>
        <v>22.666037907813298</v>
      </c>
      <c r="P254">
        <v>52</v>
      </c>
      <c r="Q254" s="23">
        <v>-24.121002917240666</v>
      </c>
    </row>
    <row r="255" spans="9:17" x14ac:dyDescent="0.3">
      <c r="I255">
        <v>251</v>
      </c>
      <c r="J255" s="23">
        <f>'$ Portfolio Loss'!P255</f>
        <v>82.379958337965945</v>
      </c>
      <c r="K255" s="23">
        <f t="shared" si="22"/>
        <v>4283.2173345722695</v>
      </c>
      <c r="L255" s="23">
        <f t="shared" si="23"/>
        <v>65.44629351286649</v>
      </c>
      <c r="M255" s="23">
        <f t="shared" si="20"/>
        <v>1.1118417508922913</v>
      </c>
      <c r="N255" s="23">
        <f t="shared" si="21"/>
        <v>91.593477116918066</v>
      </c>
      <c r="P255">
        <v>38</v>
      </c>
      <c r="Q255" s="23">
        <v>-24.735474013840495</v>
      </c>
    </row>
    <row r="256" spans="9:17" x14ac:dyDescent="0.3">
      <c r="I256">
        <v>252</v>
      </c>
      <c r="J256" s="23">
        <f>'$ Portfolio Loss'!P256</f>
        <v>-26.705082490581844</v>
      </c>
      <c r="K256" s="23">
        <f t="shared" si="22"/>
        <v>4069.01398034766</v>
      </c>
      <c r="L256" s="23">
        <f t="shared" si="23"/>
        <v>63.788823318412604</v>
      </c>
      <c r="M256" s="23">
        <f t="shared" si="20"/>
        <v>1.1407315229116703</v>
      </c>
      <c r="N256" s="23">
        <f t="shared" si="21"/>
        <v>-30.463329418963209</v>
      </c>
      <c r="P256">
        <v>262</v>
      </c>
      <c r="Q256" s="23">
        <v>-26.806174209035333</v>
      </c>
    </row>
    <row r="257" spans="9:17" x14ac:dyDescent="0.3">
      <c r="I257">
        <v>253</v>
      </c>
      <c r="J257" s="23">
        <f>'$ Portfolio Loss'!P257</f>
        <v>-15.221324290630946</v>
      </c>
      <c r="K257" s="23">
        <f t="shared" si="22"/>
        <v>3838.7744643164333</v>
      </c>
      <c r="L257" s="23">
        <f t="shared" si="23"/>
        <v>61.957844251688044</v>
      </c>
      <c r="M257" s="23">
        <f t="shared" si="20"/>
        <v>1.1744424365890325</v>
      </c>
      <c r="N257" s="23">
        <f t="shared" si="21"/>
        <v>-17.876569188000435</v>
      </c>
      <c r="P257">
        <v>348</v>
      </c>
      <c r="Q257" s="23">
        <v>-27.72604531517992</v>
      </c>
    </row>
    <row r="258" spans="9:17" x14ac:dyDescent="0.3">
      <c r="I258">
        <v>254</v>
      </c>
      <c r="J258" s="23">
        <f>'$ Portfolio Loss'!P258</f>
        <v>-120.31890074843977</v>
      </c>
      <c r="K258" s="23">
        <f t="shared" si="22"/>
        <v>4477.0462690962222</v>
      </c>
      <c r="L258" s="23">
        <f t="shared" si="23"/>
        <v>66.910733586594475</v>
      </c>
      <c r="M258" s="23">
        <f t="shared" si="20"/>
        <v>1.0875074546086712</v>
      </c>
      <c r="N258" s="23">
        <f t="shared" si="21"/>
        <v>-130.84770149424907</v>
      </c>
      <c r="P258">
        <v>119</v>
      </c>
      <c r="Q258" s="23">
        <v>-27.920189455387163</v>
      </c>
    </row>
    <row r="259" spans="9:17" x14ac:dyDescent="0.3">
      <c r="I259">
        <v>255</v>
      </c>
      <c r="J259" s="23">
        <f>'$ Portfolio Loss'!P259</f>
        <v>-7.7489758796236856</v>
      </c>
      <c r="K259" s="23">
        <f t="shared" si="22"/>
        <v>4212.0262905814279</v>
      </c>
      <c r="L259" s="23">
        <f t="shared" si="23"/>
        <v>64.900125505128472</v>
      </c>
      <c r="M259" s="23">
        <f t="shared" si="20"/>
        <v>1.1211984723050537</v>
      </c>
      <c r="N259" s="23">
        <f t="shared" si="21"/>
        <v>-8.6881399181627863</v>
      </c>
      <c r="P259">
        <v>265</v>
      </c>
      <c r="Q259" s="23">
        <v>-28.902408203771749</v>
      </c>
    </row>
    <row r="260" spans="9:17" x14ac:dyDescent="0.3">
      <c r="I260">
        <v>256</v>
      </c>
      <c r="J260" s="23">
        <f>'$ Portfolio Loss'!P260</f>
        <v>36.601375665964952</v>
      </c>
      <c r="K260" s="23">
        <f t="shared" si="22"/>
        <v>4039.6843551850075</v>
      </c>
      <c r="L260" s="23">
        <f t="shared" si="23"/>
        <v>63.558511272566854</v>
      </c>
      <c r="M260" s="23">
        <f t="shared" si="20"/>
        <v>1.1448651032228241</v>
      </c>
      <c r="N260" s="23">
        <f t="shared" si="21"/>
        <v>41.903637729912326</v>
      </c>
      <c r="P260">
        <v>342</v>
      </c>
      <c r="Q260" s="23">
        <v>-29.032848411455525</v>
      </c>
    </row>
    <row r="261" spans="9:17" x14ac:dyDescent="0.3">
      <c r="I261">
        <v>257</v>
      </c>
      <c r="J261" s="23">
        <f>'$ Portfolio Loss'!P261</f>
        <v>-102.54875409264787</v>
      </c>
      <c r="K261" s="23">
        <f t="shared" si="22"/>
        <v>4428.2781118311696</v>
      </c>
      <c r="L261" s="23">
        <f t="shared" si="23"/>
        <v>66.545308713921898</v>
      </c>
      <c r="M261" s="23">
        <f t="shared" si="20"/>
        <v>1.0934793597784147</v>
      </c>
      <c r="N261" s="23">
        <f t="shared" si="21"/>
        <v>-112.13494597130267</v>
      </c>
      <c r="P261">
        <v>35</v>
      </c>
      <c r="Q261" s="23">
        <v>-29.831098372191743</v>
      </c>
    </row>
    <row r="262" spans="9:17" x14ac:dyDescent="0.3">
      <c r="I262">
        <v>258</v>
      </c>
      <c r="J262" s="23">
        <f>'$ Portfolio Loss'!P262</f>
        <v>62.522773557580877</v>
      </c>
      <c r="K262" s="23">
        <f t="shared" si="22"/>
        <v>4397.1272579212509</v>
      </c>
      <c r="L262" s="23">
        <f t="shared" si="23"/>
        <v>66.31083816331423</v>
      </c>
      <c r="M262" s="23">
        <f t="shared" ref="M262:M325" si="24">$M$2/L262</f>
        <v>1.0973458273826082</v>
      </c>
      <c r="N262" s="23">
        <f t="shared" ref="N262:N325" si="25">M262*J262</f>
        <v>68.609104679799046</v>
      </c>
      <c r="P262">
        <v>269</v>
      </c>
      <c r="Q262" s="23">
        <v>-30.463427744452265</v>
      </c>
    </row>
    <row r="263" spans="9:17" x14ac:dyDescent="0.3">
      <c r="I263">
        <v>259</v>
      </c>
      <c r="J263" s="23">
        <f>'$ Portfolio Loss'!P263</f>
        <v>-89.259710943288155</v>
      </c>
      <c r="K263" s="23">
        <f t="shared" ref="K263:K326" si="26">K262*$K$2+(1-$K$2)*J263^2</f>
        <v>4611.3373823067377</v>
      </c>
      <c r="L263" s="23">
        <f t="shared" ref="L263:L326" si="27">SQRT(K263)</f>
        <v>67.90682868686136</v>
      </c>
      <c r="M263" s="23">
        <f t="shared" si="24"/>
        <v>1.0715552909163473</v>
      </c>
      <c r="N263" s="23">
        <f t="shared" si="25"/>
        <v>-95.646715526944206</v>
      </c>
      <c r="P263">
        <v>1</v>
      </c>
      <c r="Q263" s="23">
        <v>-30.974193931914172</v>
      </c>
    </row>
    <row r="264" spans="9:17" x14ac:dyDescent="0.3">
      <c r="I264">
        <v>260</v>
      </c>
      <c r="J264" s="23">
        <f>'$ Portfolio Loss'!P264</f>
        <v>-14.482688394935394</v>
      </c>
      <c r="K264" s="23">
        <f t="shared" si="26"/>
        <v>4347.2420351570208</v>
      </c>
      <c r="L264" s="23">
        <f t="shared" si="27"/>
        <v>65.933618398788198</v>
      </c>
      <c r="M264" s="23">
        <f t="shared" si="24"/>
        <v>1.1036239681044664</v>
      </c>
      <c r="N264" s="23">
        <f t="shared" si="25"/>
        <v>-15.983442035239104</v>
      </c>
      <c r="P264">
        <v>325</v>
      </c>
      <c r="Q264" s="23">
        <v>-31.983394886682703</v>
      </c>
    </row>
    <row r="265" spans="9:17" x14ac:dyDescent="0.3">
      <c r="I265">
        <v>261</v>
      </c>
      <c r="J265" s="23">
        <f>'$ Portfolio Loss'!P265</f>
        <v>-55.322086822550773</v>
      </c>
      <c r="K265" s="23">
        <f t="shared" si="26"/>
        <v>4270.0395104717099</v>
      </c>
      <c r="L265" s="23">
        <f t="shared" si="27"/>
        <v>65.345539331095196</v>
      </c>
      <c r="M265" s="23">
        <f t="shared" si="24"/>
        <v>1.1135560638663218</v>
      </c>
      <c r="N265" s="23">
        <f t="shared" si="25"/>
        <v>-61.604245246990544</v>
      </c>
      <c r="P265">
        <v>139</v>
      </c>
      <c r="Q265" s="23">
        <v>-35.945103028616103</v>
      </c>
    </row>
    <row r="266" spans="9:17" x14ac:dyDescent="0.3">
      <c r="I266">
        <v>262</v>
      </c>
      <c r="J266" s="23">
        <f>'$ Portfolio Loss'!P266</f>
        <v>14.538794883119408</v>
      </c>
      <c r="K266" s="23">
        <f t="shared" si="26"/>
        <v>4026.5197332426119</v>
      </c>
      <c r="L266" s="23">
        <f t="shared" si="27"/>
        <v>63.45486374772711</v>
      </c>
      <c r="M266" s="23">
        <f t="shared" si="24"/>
        <v>1.1467351322043093</v>
      </c>
      <c r="N266" s="23">
        <f t="shared" si="25"/>
        <v>16.672146872385269</v>
      </c>
      <c r="P266">
        <v>188</v>
      </c>
      <c r="Q266" s="23">
        <v>-37.233006860946091</v>
      </c>
    </row>
    <row r="267" spans="9:17" x14ac:dyDescent="0.3">
      <c r="I267">
        <v>263</v>
      </c>
      <c r="J267" s="23">
        <f>'$ Portfolio Loss'!P267</f>
        <v>-10.378978243094025</v>
      </c>
      <c r="K267" s="23">
        <f t="shared" si="26"/>
        <v>3791.3919406102918</v>
      </c>
      <c r="L267" s="23">
        <f t="shared" si="27"/>
        <v>61.574279862701538</v>
      </c>
      <c r="M267" s="23">
        <f t="shared" si="24"/>
        <v>1.1817583856605371</v>
      </c>
      <c r="N267" s="23">
        <f t="shared" si="25"/>
        <v>-12.265444573364633</v>
      </c>
      <c r="P267">
        <v>417</v>
      </c>
      <c r="Q267" s="23">
        <v>-37.394841874067737</v>
      </c>
    </row>
    <row r="268" spans="9:17" x14ac:dyDescent="0.3">
      <c r="I268">
        <v>264</v>
      </c>
      <c r="J268" s="23">
        <f>'$ Portfolio Loss'!P268</f>
        <v>-29.803417358309162</v>
      </c>
      <c r="K268" s="23">
        <f t="shared" si="26"/>
        <v>3617.2030453476882</v>
      </c>
      <c r="L268" s="23">
        <f t="shared" si="27"/>
        <v>60.14318785488252</v>
      </c>
      <c r="M268" s="23">
        <f t="shared" si="24"/>
        <v>1.2098780288190034</v>
      </c>
      <c r="N268" s="23">
        <f t="shared" si="25"/>
        <v>-36.058499845541157</v>
      </c>
      <c r="P268">
        <v>440</v>
      </c>
      <c r="Q268" s="23">
        <v>-38.826740444414447</v>
      </c>
    </row>
    <row r="269" spans="9:17" x14ac:dyDescent="0.3">
      <c r="I269">
        <v>265</v>
      </c>
      <c r="J269" s="23">
        <f>'$ Portfolio Loss'!P269</f>
        <v>34.24880495731486</v>
      </c>
      <c r="K269" s="23">
        <f t="shared" si="26"/>
        <v>3470.5497010870786</v>
      </c>
      <c r="L269" s="23">
        <f t="shared" si="27"/>
        <v>58.911371577031531</v>
      </c>
      <c r="M269" s="23">
        <f t="shared" si="24"/>
        <v>1.2351761573503475</v>
      </c>
      <c r="N269" s="23">
        <f t="shared" si="25"/>
        <v>42.303307301017703</v>
      </c>
      <c r="P269">
        <v>400</v>
      </c>
      <c r="Q269" s="23">
        <v>-39.009629121066567</v>
      </c>
    </row>
    <row r="270" spans="9:17" x14ac:dyDescent="0.3">
      <c r="I270">
        <v>266</v>
      </c>
      <c r="J270" s="23">
        <f>'$ Portfolio Loss'!P270</f>
        <v>-68.033238075740883</v>
      </c>
      <c r="K270" s="23">
        <f t="shared" si="26"/>
        <v>3540.0280080060802</v>
      </c>
      <c r="L270" s="23">
        <f t="shared" si="27"/>
        <v>59.498134491814788</v>
      </c>
      <c r="M270" s="23">
        <f t="shared" si="24"/>
        <v>1.2229950096799549</v>
      </c>
      <c r="N270" s="23">
        <f t="shared" si="25"/>
        <v>-83.20431065899939</v>
      </c>
      <c r="P270">
        <v>282</v>
      </c>
      <c r="Q270" s="23">
        <v>-40.097461348479847</v>
      </c>
    </row>
    <row r="271" spans="9:17" x14ac:dyDescent="0.3">
      <c r="I271">
        <v>267</v>
      </c>
      <c r="J271" s="23">
        <f>'$ Portfolio Loss'!P271</f>
        <v>18.806459961455403</v>
      </c>
      <c r="K271" s="23">
        <f t="shared" si="26"/>
        <v>3348.8473037026247</v>
      </c>
      <c r="L271" s="23">
        <f t="shared" si="27"/>
        <v>57.869225877858646</v>
      </c>
      <c r="M271" s="23">
        <f t="shared" si="24"/>
        <v>1.2574199924902965</v>
      </c>
      <c r="N271" s="23">
        <f t="shared" si="25"/>
        <v>23.647618743502314</v>
      </c>
      <c r="P271">
        <v>126</v>
      </c>
      <c r="Q271" s="23">
        <v>-40.330914488192228</v>
      </c>
    </row>
    <row r="272" spans="9:17" x14ac:dyDescent="0.3">
      <c r="I272">
        <v>268</v>
      </c>
      <c r="J272" s="23">
        <f>'$ Portfolio Loss'!P272</f>
        <v>5.9407545811372984</v>
      </c>
      <c r="K272" s="23">
        <f t="shared" si="26"/>
        <v>3150.0340193800653</v>
      </c>
      <c r="L272" s="23">
        <f t="shared" si="27"/>
        <v>56.125163869516363</v>
      </c>
      <c r="M272" s="23">
        <f t="shared" si="24"/>
        <v>1.2964937035716724</v>
      </c>
      <c r="N272" s="23">
        <f t="shared" si="25"/>
        <v>7.7021509089090756</v>
      </c>
      <c r="P272">
        <v>81</v>
      </c>
      <c r="Q272" s="23">
        <v>-41.438157094945566</v>
      </c>
    </row>
    <row r="273" spans="9:17" x14ac:dyDescent="0.3">
      <c r="I273">
        <v>269</v>
      </c>
      <c r="J273" s="23">
        <f>'$ Portfolio Loss'!P273</f>
        <v>7.2050746429449646</v>
      </c>
      <c r="K273" s="23">
        <f t="shared" si="26"/>
        <v>2964.1467642538855</v>
      </c>
      <c r="L273" s="23">
        <f t="shared" si="27"/>
        <v>54.443978218475969</v>
      </c>
      <c r="M273" s="23">
        <f t="shared" si="24"/>
        <v>1.3365283719120773</v>
      </c>
      <c r="N273" s="23">
        <f t="shared" si="25"/>
        <v>9.6297866820402245</v>
      </c>
      <c r="P273">
        <v>323</v>
      </c>
      <c r="Q273" s="23">
        <v>-41.910166034877534</v>
      </c>
    </row>
    <row r="274" spans="9:17" x14ac:dyDescent="0.3">
      <c r="I274">
        <v>270</v>
      </c>
      <c r="J274" s="23">
        <f>'$ Portfolio Loss'!P274</f>
        <v>63.068125247333228</v>
      </c>
      <c r="K274" s="23">
        <f t="shared" si="26"/>
        <v>3024.953263731451</v>
      </c>
      <c r="L274" s="23">
        <f t="shared" si="27"/>
        <v>54.999575123190276</v>
      </c>
      <c r="M274" s="23">
        <f t="shared" si="24"/>
        <v>1.3230269762224931</v>
      </c>
      <c r="N274" s="23">
        <f t="shared" si="25"/>
        <v>83.440831042000752</v>
      </c>
      <c r="P274">
        <v>484</v>
      </c>
      <c r="Q274" s="23">
        <v>-42.009011798320792</v>
      </c>
    </row>
    <row r="275" spans="9:17" x14ac:dyDescent="0.3">
      <c r="I275">
        <v>271</v>
      </c>
      <c r="J275" s="23">
        <f>'$ Portfolio Loss'!P275</f>
        <v>86.250604041802944</v>
      </c>
      <c r="K275" s="23">
        <f t="shared" si="26"/>
        <v>3289.8060697621167</v>
      </c>
      <c r="L275" s="23">
        <f t="shared" si="27"/>
        <v>57.356831064504576</v>
      </c>
      <c r="M275" s="23">
        <f t="shared" si="24"/>
        <v>1.2686531005683064</v>
      </c>
      <c r="N275" s="23">
        <f t="shared" si="25"/>
        <v>109.4220962435226</v>
      </c>
      <c r="P275">
        <v>128</v>
      </c>
      <c r="Q275" s="23">
        <v>-42.116498997408243</v>
      </c>
    </row>
    <row r="276" spans="9:17" x14ac:dyDescent="0.3">
      <c r="I276">
        <v>272</v>
      </c>
      <c r="J276" s="23">
        <f>'$ Portfolio Loss'!P276</f>
        <v>-90.770430343285625</v>
      </c>
      <c r="K276" s="23">
        <f t="shared" si="26"/>
        <v>3586.7739670587057</v>
      </c>
      <c r="L276" s="23">
        <f t="shared" si="27"/>
        <v>59.889681640986417</v>
      </c>
      <c r="M276" s="23">
        <f t="shared" si="24"/>
        <v>1.2149993049713894</v>
      </c>
      <c r="N276" s="23">
        <f t="shared" si="25"/>
        <v>-110.28600977904595</v>
      </c>
      <c r="P276">
        <v>148</v>
      </c>
      <c r="Q276" s="23">
        <v>-42.758191811953061</v>
      </c>
    </row>
    <row r="277" spans="9:17" x14ac:dyDescent="0.3">
      <c r="I277">
        <v>273</v>
      </c>
      <c r="J277" s="23">
        <f>'$ Portfolio Loss'!P277</f>
        <v>-85.641726371777622</v>
      </c>
      <c r="K277" s="23">
        <f t="shared" si="26"/>
        <v>3811.6378467914897</v>
      </c>
      <c r="L277" s="23">
        <f t="shared" si="27"/>
        <v>61.738463268788038</v>
      </c>
      <c r="M277" s="23">
        <f t="shared" si="24"/>
        <v>1.1786156913552979</v>
      </c>
      <c r="N277" s="23">
        <f t="shared" si="25"/>
        <v>-100.93868253653393</v>
      </c>
      <c r="P277">
        <v>183</v>
      </c>
      <c r="Q277" s="23">
        <v>-43.632703125552062</v>
      </c>
    </row>
    <row r="278" spans="9:17" x14ac:dyDescent="0.3">
      <c r="I278">
        <v>274</v>
      </c>
      <c r="J278" s="23">
        <f>'$ Portfolio Loss'!P278</f>
        <v>-3.4326126710911922</v>
      </c>
      <c r="K278" s="23">
        <f t="shared" si="26"/>
        <v>3583.6465457689842</v>
      </c>
      <c r="L278" s="23">
        <f t="shared" si="27"/>
        <v>59.86356609632427</v>
      </c>
      <c r="M278" s="23">
        <f t="shared" si="24"/>
        <v>1.2155293497161748</v>
      </c>
      <c r="N278" s="23">
        <f t="shared" si="25"/>
        <v>-4.1724414479189784</v>
      </c>
      <c r="P278" s="3">
        <v>394</v>
      </c>
      <c r="Q278" s="23">
        <v>-43.937397765346269</v>
      </c>
    </row>
    <row r="279" spans="9:17" x14ac:dyDescent="0.3">
      <c r="I279">
        <v>275</v>
      </c>
      <c r="J279" s="23">
        <f>'$ Portfolio Loss'!P279</f>
        <v>10.314538499658738</v>
      </c>
      <c r="K279" s="23">
        <f t="shared" si="26"/>
        <v>3375.0111352905014</v>
      </c>
      <c r="L279" s="23">
        <f t="shared" si="27"/>
        <v>58.094846030353686</v>
      </c>
      <c r="M279" s="23">
        <f t="shared" si="24"/>
        <v>1.2525366110917513</v>
      </c>
      <c r="N279" s="23">
        <f t="shared" si="25"/>
        <v>12.919337097337953</v>
      </c>
      <c r="P279">
        <v>387</v>
      </c>
      <c r="Q279" s="23">
        <v>-45.540370450675006</v>
      </c>
    </row>
    <row r="280" spans="9:17" x14ac:dyDescent="0.3">
      <c r="I280">
        <v>276</v>
      </c>
      <c r="J280" s="23">
        <f>'$ Portfolio Loss'!P280</f>
        <v>-24.903608893977434</v>
      </c>
      <c r="K280" s="23">
        <f t="shared" si="26"/>
        <v>3209.7218513297225</v>
      </c>
      <c r="L280" s="23">
        <f t="shared" si="27"/>
        <v>56.654407165989504</v>
      </c>
      <c r="M280" s="23">
        <f t="shared" si="24"/>
        <v>1.2843823668573973</v>
      </c>
      <c r="N280" s="23">
        <f t="shared" si="25"/>
        <v>-31.985756134537667</v>
      </c>
      <c r="P280">
        <v>398</v>
      </c>
      <c r="Q280" s="23">
        <v>-45.586378482443628</v>
      </c>
    </row>
    <row r="281" spans="9:17" x14ac:dyDescent="0.3">
      <c r="I281">
        <v>277</v>
      </c>
      <c r="J281" s="23">
        <f>'$ Portfolio Loss'!P281</f>
        <v>-22.175317823957812</v>
      </c>
      <c r="K281" s="23">
        <f t="shared" si="26"/>
        <v>3046.6432234855515</v>
      </c>
      <c r="L281" s="23">
        <f t="shared" si="27"/>
        <v>55.196405892825588</v>
      </c>
      <c r="M281" s="23">
        <f t="shared" si="24"/>
        <v>1.3183090527677706</v>
      </c>
      <c r="N281" s="23">
        <f t="shared" si="25"/>
        <v>-29.23392223532608</v>
      </c>
      <c r="P281">
        <v>178</v>
      </c>
      <c r="Q281" s="23">
        <v>-47.424426775465577</v>
      </c>
    </row>
    <row r="282" spans="9:17" x14ac:dyDescent="0.3">
      <c r="I282">
        <v>278</v>
      </c>
      <c r="J282" s="23">
        <f>'$ Portfolio Loss'!P282</f>
        <v>-9.1403179779972561</v>
      </c>
      <c r="K282" s="23">
        <f t="shared" si="26"/>
        <v>2868.8573548407521</v>
      </c>
      <c r="L282" s="23">
        <f t="shared" si="27"/>
        <v>53.561715383665153</v>
      </c>
      <c r="M282" s="23">
        <f t="shared" si="24"/>
        <v>1.3585435239990071</v>
      </c>
      <c r="N282" s="23">
        <f t="shared" si="25"/>
        <v>-12.417519796299871</v>
      </c>
      <c r="P282">
        <v>340</v>
      </c>
      <c r="Q282" s="23">
        <v>-48.017705547781503</v>
      </c>
    </row>
    <row r="283" spans="9:17" x14ac:dyDescent="0.3">
      <c r="I283">
        <v>279</v>
      </c>
      <c r="J283" s="23">
        <f>'$ Portfolio Loss'!P283</f>
        <v>-14.410315273691594</v>
      </c>
      <c r="K283" s="23">
        <f t="shared" si="26"/>
        <v>2709.185344727538</v>
      </c>
      <c r="L283" s="23">
        <f t="shared" si="27"/>
        <v>52.049835203653991</v>
      </c>
      <c r="M283" s="23">
        <f t="shared" si="24"/>
        <v>1.3980048406310417</v>
      </c>
      <c r="N283" s="23">
        <f t="shared" si="25"/>
        <v>-20.145690507640282</v>
      </c>
      <c r="P283">
        <v>179</v>
      </c>
      <c r="Q283" s="23">
        <v>-48.086574137473299</v>
      </c>
    </row>
    <row r="284" spans="9:17" x14ac:dyDescent="0.3">
      <c r="I284">
        <v>280</v>
      </c>
      <c r="J284" s="23">
        <f>'$ Portfolio Loss'!P284</f>
        <v>0.40374211849848507</v>
      </c>
      <c r="K284" s="23">
        <f t="shared" si="26"/>
        <v>2546.6440045057807</v>
      </c>
      <c r="L284" s="23">
        <f t="shared" si="27"/>
        <v>50.464284444602804</v>
      </c>
      <c r="M284" s="23">
        <f t="shared" si="24"/>
        <v>1.4419291261057137</v>
      </c>
      <c r="N284" s="23">
        <f t="shared" si="25"/>
        <v>0.58216752009859007</v>
      </c>
      <c r="P284">
        <v>157</v>
      </c>
      <c r="Q284" s="23">
        <v>-48.703545203143037</v>
      </c>
    </row>
    <row r="285" spans="9:17" x14ac:dyDescent="0.3">
      <c r="I285">
        <v>281</v>
      </c>
      <c r="J285" s="23">
        <f>'$ Portfolio Loss'!P285</f>
        <v>82.201550892541491</v>
      </c>
      <c r="K285" s="23">
        <f t="shared" si="26"/>
        <v>2799.2710623837797</v>
      </c>
      <c r="L285" s="23">
        <f t="shared" si="27"/>
        <v>52.908137959899705</v>
      </c>
      <c r="M285" s="23">
        <f t="shared" si="24"/>
        <v>1.3753256942043066</v>
      </c>
      <c r="N285" s="23">
        <f t="shared" si="25"/>
        <v>113.05390504595526</v>
      </c>
      <c r="P285">
        <v>50</v>
      </c>
      <c r="Q285" s="23">
        <v>-49.539830280099011</v>
      </c>
    </row>
    <row r="286" spans="9:17" x14ac:dyDescent="0.3">
      <c r="I286">
        <v>282</v>
      </c>
      <c r="J286" s="23">
        <f>'$ Portfolio Loss'!P286</f>
        <v>48.645573271143803</v>
      </c>
      <c r="K286" s="23">
        <f t="shared" si="26"/>
        <v>2773.2983065734466</v>
      </c>
      <c r="L286" s="23">
        <f t="shared" si="27"/>
        <v>52.662114528125876</v>
      </c>
      <c r="M286" s="23">
        <f t="shared" si="24"/>
        <v>1.3817508510770742</v>
      </c>
      <c r="N286" s="23">
        <f t="shared" si="25"/>
        <v>67.216062268535126</v>
      </c>
      <c r="P286">
        <v>245</v>
      </c>
      <c r="Q286" s="23">
        <v>-49.62469901218887</v>
      </c>
    </row>
    <row r="287" spans="9:17" x14ac:dyDescent="0.3">
      <c r="I287">
        <v>283</v>
      </c>
      <c r="J287" s="23">
        <f>'$ Portfolio Loss'!P287</f>
        <v>-53.909495988971685</v>
      </c>
      <c r="K287" s="23">
        <f t="shared" si="26"/>
        <v>2781.2744336461369</v>
      </c>
      <c r="L287" s="23">
        <f t="shared" si="27"/>
        <v>52.737789426995676</v>
      </c>
      <c r="M287" s="23">
        <f t="shared" si="24"/>
        <v>1.3797681389259844</v>
      </c>
      <c r="N287" s="23">
        <f t="shared" si="25"/>
        <v>-74.382604951141275</v>
      </c>
      <c r="P287">
        <v>154</v>
      </c>
      <c r="Q287" s="23">
        <v>-50.686759227838948</v>
      </c>
    </row>
    <row r="288" spans="9:17" x14ac:dyDescent="0.3">
      <c r="I288">
        <v>284</v>
      </c>
      <c r="J288" s="23">
        <f>'$ Portfolio Loss'!P288</f>
        <v>-18.387759195109538</v>
      </c>
      <c r="K288" s="23">
        <f t="shared" si="26"/>
        <v>2634.6845489204084</v>
      </c>
      <c r="L288" s="23">
        <f t="shared" si="27"/>
        <v>51.329178338644859</v>
      </c>
      <c r="M288" s="23">
        <f t="shared" si="24"/>
        <v>1.4176326978912901</v>
      </c>
      <c r="N288" s="23">
        <f t="shared" si="25"/>
        <v>-26.067088675938511</v>
      </c>
      <c r="P288">
        <v>112</v>
      </c>
      <c r="Q288" s="23">
        <v>-51.124255353383127</v>
      </c>
    </row>
    <row r="289" spans="9:17" x14ac:dyDescent="0.3">
      <c r="I289">
        <v>285</v>
      </c>
      <c r="J289" s="23">
        <f>'$ Portfolio Loss'!P289</f>
        <v>-11.484567133295059</v>
      </c>
      <c r="K289" s="23">
        <f t="shared" si="26"/>
        <v>2484.5171929195335</v>
      </c>
      <c r="L289" s="23">
        <f t="shared" si="27"/>
        <v>49.844931466695122</v>
      </c>
      <c r="M289" s="23">
        <f t="shared" si="24"/>
        <v>1.4598459547963523</v>
      </c>
      <c r="N289" s="23">
        <f t="shared" si="25"/>
        <v>-16.765698872127931</v>
      </c>
      <c r="P289">
        <v>42</v>
      </c>
      <c r="Q289" s="23">
        <v>-54.075058553194211</v>
      </c>
    </row>
    <row r="290" spans="9:17" x14ac:dyDescent="0.3">
      <c r="I290">
        <v>286</v>
      </c>
      <c r="J290" s="23">
        <f>'$ Portfolio Loss'!P290</f>
        <v>-67.065740348876716</v>
      </c>
      <c r="K290" s="23">
        <f t="shared" si="26"/>
        <v>2605.3149730569385</v>
      </c>
      <c r="L290" s="23">
        <f t="shared" si="27"/>
        <v>51.042286126866792</v>
      </c>
      <c r="M290" s="23">
        <f t="shared" si="24"/>
        <v>1.425600753616225</v>
      </c>
      <c r="N290" s="23">
        <f t="shared" si="25"/>
        <v>-95.608969983188715</v>
      </c>
      <c r="P290">
        <v>281</v>
      </c>
      <c r="Q290" s="23">
        <v>-54.739174269072819</v>
      </c>
    </row>
    <row r="291" spans="9:17" x14ac:dyDescent="0.3">
      <c r="I291">
        <v>287</v>
      </c>
      <c r="J291" s="23">
        <f>'$ Portfolio Loss'!P291</f>
        <v>-48.610286785504286</v>
      </c>
      <c r="K291" s="23">
        <f t="shared" si="26"/>
        <v>2590.7736735556605</v>
      </c>
      <c r="L291" s="23">
        <f t="shared" si="27"/>
        <v>50.899643157449155</v>
      </c>
      <c r="M291" s="23">
        <f t="shared" si="24"/>
        <v>1.4295959078468903</v>
      </c>
      <c r="N291" s="23">
        <f t="shared" si="25"/>
        <v>-69.493067067820689</v>
      </c>
      <c r="P291">
        <v>253</v>
      </c>
      <c r="Q291" s="23">
        <v>-55.415521823934945</v>
      </c>
    </row>
    <row r="292" spans="9:17" x14ac:dyDescent="0.3">
      <c r="I292">
        <v>288</v>
      </c>
      <c r="J292" s="23">
        <f>'$ Portfolio Loss'!P292</f>
        <v>-63.150536027260387</v>
      </c>
      <c r="K292" s="23">
        <f t="shared" si="26"/>
        <v>2674.6066651741398</v>
      </c>
      <c r="L292" s="23">
        <f t="shared" si="27"/>
        <v>51.716599512865692</v>
      </c>
      <c r="M292" s="23">
        <f t="shared" si="24"/>
        <v>1.4070128789239922</v>
      </c>
      <c r="N292" s="23">
        <f t="shared" si="25"/>
        <v>-88.853617501308918</v>
      </c>
      <c r="P292">
        <v>22</v>
      </c>
      <c r="Q292" s="23">
        <v>-55.614786767224302</v>
      </c>
    </row>
    <row r="293" spans="9:17" x14ac:dyDescent="0.3">
      <c r="I293">
        <v>289</v>
      </c>
      <c r="J293" s="23">
        <f>'$ Portfolio Loss'!P293</f>
        <v>-36.804291232285323</v>
      </c>
      <c r="K293" s="23">
        <f t="shared" si="26"/>
        <v>2595.4036164503441</v>
      </c>
      <c r="L293" s="23">
        <f t="shared" si="27"/>
        <v>50.945103949745203</v>
      </c>
      <c r="M293" s="23">
        <f t="shared" si="24"/>
        <v>1.4283202099368808</v>
      </c>
      <c r="N293" s="23">
        <f t="shared" si="25"/>
        <v>-52.568312979475877</v>
      </c>
      <c r="P293">
        <v>229</v>
      </c>
      <c r="Q293" s="23">
        <v>-56.311393518827018</v>
      </c>
    </row>
    <row r="294" spans="9:17" x14ac:dyDescent="0.3">
      <c r="I294">
        <v>290</v>
      </c>
      <c r="J294" s="23">
        <f>'$ Portfolio Loss'!P294</f>
        <v>8.3153629000007641</v>
      </c>
      <c r="K294" s="23">
        <f t="shared" si="26"/>
        <v>2443.8281150728458</v>
      </c>
      <c r="L294" s="23">
        <f t="shared" si="27"/>
        <v>49.435089916706389</v>
      </c>
      <c r="M294" s="23">
        <f t="shared" si="24"/>
        <v>1.4719488058251784</v>
      </c>
      <c r="N294" s="23">
        <f t="shared" si="25"/>
        <v>12.239788490659118</v>
      </c>
      <c r="P294">
        <v>25</v>
      </c>
      <c r="Q294" s="23">
        <v>-57.44392669233487</v>
      </c>
    </row>
    <row r="295" spans="9:17" x14ac:dyDescent="0.3">
      <c r="I295">
        <v>291</v>
      </c>
      <c r="J295" s="23">
        <f>'$ Portfolio Loss'!P295</f>
        <v>-34.982295117612011</v>
      </c>
      <c r="K295" s="23">
        <f t="shared" si="26"/>
        <v>2370.6240864702172</v>
      </c>
      <c r="L295" s="23">
        <f t="shared" si="27"/>
        <v>48.689055099377491</v>
      </c>
      <c r="M295" s="23">
        <f t="shared" si="24"/>
        <v>1.4945026437715081</v>
      </c>
      <c r="N295" s="23">
        <f t="shared" si="25"/>
        <v>-52.281132538466274</v>
      </c>
      <c r="P295">
        <v>71</v>
      </c>
      <c r="Q295" s="23">
        <v>-58.046362388586886</v>
      </c>
    </row>
    <row r="296" spans="9:17" x14ac:dyDescent="0.3">
      <c r="I296">
        <v>292</v>
      </c>
      <c r="J296" s="23">
        <f>'$ Portfolio Loss'!P296</f>
        <v>-49.05882360569376</v>
      </c>
      <c r="K296" s="23">
        <f t="shared" si="26"/>
        <v>2372.7927316964788</v>
      </c>
      <c r="L296" s="23">
        <f t="shared" si="27"/>
        <v>48.711320364946779</v>
      </c>
      <c r="M296" s="23">
        <f t="shared" si="24"/>
        <v>1.4938195274443735</v>
      </c>
      <c r="N296" s="23">
        <f t="shared" si="25"/>
        <v>-73.285028695634324</v>
      </c>
      <c r="P296">
        <v>264</v>
      </c>
      <c r="Q296" s="23">
        <v>-58.128808652561887</v>
      </c>
    </row>
    <row r="297" spans="9:17" x14ac:dyDescent="0.3">
      <c r="I297">
        <v>293</v>
      </c>
      <c r="J297" s="23">
        <f>'$ Portfolio Loss'!P297</f>
        <v>17.397965652337007</v>
      </c>
      <c r="K297" s="23">
        <f t="shared" si="26"/>
        <v>2248.5865203250837</v>
      </c>
      <c r="L297" s="23">
        <f t="shared" si="27"/>
        <v>47.41926317779604</v>
      </c>
      <c r="M297" s="23">
        <f t="shared" si="24"/>
        <v>1.5345224006523315</v>
      </c>
      <c r="N297" s="23">
        <f t="shared" si="25"/>
        <v>26.697568019290991</v>
      </c>
      <c r="P297">
        <v>164</v>
      </c>
      <c r="Q297" s="23">
        <v>-58.235833293276123</v>
      </c>
    </row>
    <row r="298" spans="9:17" x14ac:dyDescent="0.3">
      <c r="I298">
        <v>294</v>
      </c>
      <c r="J298" s="23">
        <f>'$ Portfolio Loss'!P298</f>
        <v>-26.560055783031203</v>
      </c>
      <c r="K298" s="23">
        <f t="shared" si="26"/>
        <v>2155.9975228974422</v>
      </c>
      <c r="L298" s="23">
        <f t="shared" si="27"/>
        <v>46.432720390877833</v>
      </c>
      <c r="M298" s="23">
        <f t="shared" si="24"/>
        <v>1.5671259610938468</v>
      </c>
      <c r="N298" s="23">
        <f t="shared" si="25"/>
        <v>-41.622952945688958</v>
      </c>
      <c r="P298">
        <v>217</v>
      </c>
      <c r="Q298" s="23">
        <v>-59.303894496188747</v>
      </c>
    </row>
    <row r="299" spans="9:17" x14ac:dyDescent="0.3">
      <c r="I299">
        <v>295</v>
      </c>
      <c r="J299" s="23">
        <f>'$ Portfolio Loss'!P299</f>
        <v>18.403546818222821</v>
      </c>
      <c r="K299" s="23">
        <f t="shared" si="26"/>
        <v>2046.9591036530269</v>
      </c>
      <c r="L299" s="23">
        <f t="shared" si="27"/>
        <v>45.243332145776208</v>
      </c>
      <c r="M299" s="23">
        <f t="shared" si="24"/>
        <v>1.6083236604744531</v>
      </c>
      <c r="N299" s="23">
        <f t="shared" si="25"/>
        <v>29.598859784397103</v>
      </c>
      <c r="P299">
        <v>354</v>
      </c>
      <c r="Q299" s="23">
        <v>-59.368095444785446</v>
      </c>
    </row>
    <row r="300" spans="9:17" x14ac:dyDescent="0.3">
      <c r="I300">
        <v>296</v>
      </c>
      <c r="J300" s="23">
        <f>'$ Portfolio Loss'!P300</f>
        <v>-61.026016443292974</v>
      </c>
      <c r="K300" s="23">
        <f t="shared" si="26"/>
        <v>2147.5920384100691</v>
      </c>
      <c r="L300" s="23">
        <f t="shared" si="27"/>
        <v>46.342119485518452</v>
      </c>
      <c r="M300" s="23">
        <f t="shared" si="24"/>
        <v>1.5701897620693646</v>
      </c>
      <c r="N300" s="23">
        <f t="shared" si="25"/>
        <v>-95.822426239135325</v>
      </c>
      <c r="P300">
        <v>160</v>
      </c>
      <c r="Q300" s="23">
        <v>-59.43818993557845</v>
      </c>
    </row>
    <row r="301" spans="9:17" x14ac:dyDescent="0.3">
      <c r="I301">
        <v>297</v>
      </c>
      <c r="J301" s="23">
        <f>'$ Portfolio Loss'!P301</f>
        <v>1.3127267946056236</v>
      </c>
      <c r="K301" s="23">
        <f t="shared" si="26"/>
        <v>2018.8399112037014</v>
      </c>
      <c r="L301" s="23">
        <f t="shared" si="27"/>
        <v>44.931502436527772</v>
      </c>
      <c r="M301" s="23">
        <f t="shared" si="24"/>
        <v>1.619485608600528</v>
      </c>
      <c r="N301" s="23">
        <f t="shared" si="25"/>
        <v>2.1259421518881085</v>
      </c>
      <c r="P301">
        <v>422</v>
      </c>
      <c r="Q301" s="23">
        <v>-60.26431770529674</v>
      </c>
    </row>
    <row r="302" spans="9:17" x14ac:dyDescent="0.3">
      <c r="I302">
        <v>298</v>
      </c>
      <c r="J302" s="23">
        <f>'$ Portfolio Loss'!P302</f>
        <v>-71.52896332419914</v>
      </c>
      <c r="K302" s="23">
        <f t="shared" si="26"/>
        <v>2204.693072185557</v>
      </c>
      <c r="L302" s="23">
        <f t="shared" si="27"/>
        <v>46.954159263962516</v>
      </c>
      <c r="M302" s="23">
        <f t="shared" si="24"/>
        <v>1.5497225955998404</v>
      </c>
      <c r="N302" s="23">
        <f t="shared" si="25"/>
        <v>-110.85005070334368</v>
      </c>
      <c r="P302">
        <v>388</v>
      </c>
      <c r="Q302" s="23">
        <v>-60.383624702784488</v>
      </c>
    </row>
    <row r="303" spans="9:17" x14ac:dyDescent="0.3">
      <c r="I303">
        <v>299</v>
      </c>
      <c r="J303" s="23">
        <f>'$ Portfolio Loss'!P303</f>
        <v>-11.112894381794831</v>
      </c>
      <c r="K303" s="23">
        <f t="shared" si="26"/>
        <v>2079.8212731468789</v>
      </c>
      <c r="L303" s="23">
        <f t="shared" si="27"/>
        <v>45.605057539124743</v>
      </c>
      <c r="M303" s="23">
        <f t="shared" si="24"/>
        <v>1.595566928214708</v>
      </c>
      <c r="N303" s="23">
        <f t="shared" si="25"/>
        <v>-17.731366752334864</v>
      </c>
      <c r="P303">
        <v>2</v>
      </c>
      <c r="Q303" s="23">
        <v>-61.083201504802261</v>
      </c>
    </row>
    <row r="304" spans="9:17" x14ac:dyDescent="0.3">
      <c r="I304">
        <v>300</v>
      </c>
      <c r="J304" s="23">
        <f>'$ Portfolio Loss'!P304</f>
        <v>17.386125055019875</v>
      </c>
      <c r="K304" s="23">
        <f t="shared" si="26"/>
        <v>1973.1686374237934</v>
      </c>
      <c r="L304" s="23">
        <f t="shared" si="27"/>
        <v>44.420362869114356</v>
      </c>
      <c r="M304" s="23">
        <f t="shared" si="24"/>
        <v>1.6381208272242795</v>
      </c>
      <c r="N304" s="23">
        <f t="shared" si="25"/>
        <v>28.480573557353928</v>
      </c>
      <c r="P304">
        <v>104</v>
      </c>
      <c r="Q304" s="23">
        <v>-62.01135318892517</v>
      </c>
    </row>
    <row r="305" spans="9:17" x14ac:dyDescent="0.3">
      <c r="I305">
        <v>301</v>
      </c>
      <c r="J305" s="23">
        <f>'$ Portfolio Loss'!P305</f>
        <v>0.67644708195257408</v>
      </c>
      <c r="K305" s="23">
        <f t="shared" si="26"/>
        <v>1854.8059740176466</v>
      </c>
      <c r="L305" s="23">
        <f t="shared" si="27"/>
        <v>43.067458411399741</v>
      </c>
      <c r="M305" s="23">
        <f t="shared" si="24"/>
        <v>1.6895801204162888</v>
      </c>
      <c r="N305" s="23">
        <f t="shared" si="25"/>
        <v>1.1429115421806773</v>
      </c>
      <c r="P305">
        <v>82</v>
      </c>
      <c r="Q305" s="23">
        <v>-62.511904814890343</v>
      </c>
    </row>
    <row r="306" spans="9:17" x14ac:dyDescent="0.3">
      <c r="I306">
        <v>302</v>
      </c>
      <c r="J306" s="23">
        <f>'$ Portfolio Loss'!P306</f>
        <v>-50.409786365011314</v>
      </c>
      <c r="K306" s="23">
        <f t="shared" si="26"/>
        <v>1895.9864092585528</v>
      </c>
      <c r="L306" s="23">
        <f t="shared" si="27"/>
        <v>43.542926053017531</v>
      </c>
      <c r="M306" s="23">
        <f t="shared" si="24"/>
        <v>1.6711307246590883</v>
      </c>
      <c r="N306" s="23">
        <f t="shared" si="25"/>
        <v>-84.241342818071189</v>
      </c>
      <c r="P306">
        <v>83</v>
      </c>
      <c r="Q306" s="23">
        <v>-64.313905592955322</v>
      </c>
    </row>
    <row r="307" spans="9:17" x14ac:dyDescent="0.3">
      <c r="I307">
        <v>303</v>
      </c>
      <c r="J307" s="23">
        <f>'$ Portfolio Loss'!P307</f>
        <v>19.094349068360316</v>
      </c>
      <c r="K307" s="23">
        <f t="shared" si="26"/>
        <v>1804.1028746837032</v>
      </c>
      <c r="L307" s="23">
        <f t="shared" si="27"/>
        <v>42.474732190841451</v>
      </c>
      <c r="M307" s="23">
        <f t="shared" si="24"/>
        <v>1.7131578662300859</v>
      </c>
      <c r="N307" s="23">
        <f t="shared" si="25"/>
        <v>32.711634307004587</v>
      </c>
      <c r="P307">
        <v>446</v>
      </c>
      <c r="Q307" s="23">
        <v>-67.665496229528216</v>
      </c>
    </row>
    <row r="308" spans="9:17" x14ac:dyDescent="0.3">
      <c r="I308">
        <v>304</v>
      </c>
      <c r="J308" s="23">
        <f>'$ Portfolio Loss'!P308</f>
        <v>-13.70966895631318</v>
      </c>
      <c r="K308" s="23">
        <f t="shared" si="26"/>
        <v>1707.1340035761827</v>
      </c>
      <c r="L308" s="23">
        <f t="shared" si="27"/>
        <v>41.317478185099617</v>
      </c>
      <c r="M308" s="23">
        <f t="shared" si="24"/>
        <v>1.7611414046803555</v>
      </c>
      <c r="N308" s="23">
        <f t="shared" si="25"/>
        <v>-24.144665643424059</v>
      </c>
      <c r="P308">
        <v>411</v>
      </c>
      <c r="Q308" s="23">
        <v>-68.141327288209141</v>
      </c>
    </row>
    <row r="309" spans="9:17" x14ac:dyDescent="0.3">
      <c r="I309">
        <v>305</v>
      </c>
      <c r="J309" s="23">
        <f>'$ Portfolio Loss'!P309</f>
        <v>-10.386546996887773</v>
      </c>
      <c r="K309" s="23">
        <f t="shared" si="26"/>
        <v>1611.1787848727254</v>
      </c>
      <c r="L309" s="23">
        <f t="shared" si="27"/>
        <v>40.139491587123089</v>
      </c>
      <c r="M309" s="23">
        <f t="shared" si="24"/>
        <v>1.8128261891612969</v>
      </c>
      <c r="N309" s="23">
        <f t="shared" si="25"/>
        <v>-18.829004410912773</v>
      </c>
      <c r="P309">
        <v>140</v>
      </c>
      <c r="Q309" s="23">
        <v>-70.11603206266048</v>
      </c>
    </row>
    <row r="310" spans="9:17" x14ac:dyDescent="0.3">
      <c r="I310">
        <v>306</v>
      </c>
      <c r="J310" s="23">
        <f>'$ Portfolio Loss'!P310</f>
        <v>-78.808815361735469</v>
      </c>
      <c r="K310" s="23">
        <f t="shared" si="26"/>
        <v>1887.1578205035689</v>
      </c>
      <c r="L310" s="23">
        <f t="shared" si="27"/>
        <v>43.441429770480262</v>
      </c>
      <c r="M310" s="23">
        <f t="shared" si="24"/>
        <v>1.6750351439446149</v>
      </c>
      <c r="N310" s="23">
        <f t="shared" si="25"/>
        <v>-132.00753538354914</v>
      </c>
      <c r="P310">
        <v>386</v>
      </c>
      <c r="Q310" s="23">
        <v>-71.171385528564429</v>
      </c>
    </row>
    <row r="311" spans="9:17" x14ac:dyDescent="0.3">
      <c r="I311">
        <v>307</v>
      </c>
      <c r="J311" s="23">
        <f>'$ Portfolio Loss'!P311</f>
        <v>10.615133239331044</v>
      </c>
      <c r="K311" s="23">
        <f t="shared" si="26"/>
        <v>1780.6892144946798</v>
      </c>
      <c r="L311" s="23">
        <f t="shared" si="27"/>
        <v>42.198213404061079</v>
      </c>
      <c r="M311" s="23">
        <f t="shared" si="24"/>
        <v>1.7243839418508042</v>
      </c>
      <c r="N311" s="23">
        <f t="shared" si="25"/>
        <v>18.304565298509161</v>
      </c>
      <c r="P311">
        <v>152</v>
      </c>
      <c r="Q311" s="23">
        <v>-71.326996372652559</v>
      </c>
    </row>
    <row r="312" spans="9:17" x14ac:dyDescent="0.3">
      <c r="I312">
        <v>308</v>
      </c>
      <c r="J312" s="23">
        <f>'$ Portfolio Loss'!P312</f>
        <v>21.532016823588492</v>
      </c>
      <c r="K312" s="23">
        <f t="shared" si="26"/>
        <v>1701.6655265344768</v>
      </c>
      <c r="L312" s="23">
        <f t="shared" si="27"/>
        <v>41.251248787575832</v>
      </c>
      <c r="M312" s="23">
        <f t="shared" si="24"/>
        <v>1.7639689393032905</v>
      </c>
      <c r="N312" s="23">
        <f t="shared" si="25"/>
        <v>37.981808877365999</v>
      </c>
      <c r="P312">
        <v>407</v>
      </c>
      <c r="Q312" s="23">
        <v>-73.179469510417618</v>
      </c>
    </row>
    <row r="313" spans="9:17" x14ac:dyDescent="0.3">
      <c r="I313">
        <v>309</v>
      </c>
      <c r="J313" s="23">
        <f>'$ Portfolio Loss'!P313</f>
        <v>19.227158033665546</v>
      </c>
      <c r="K313" s="23">
        <f t="shared" si="26"/>
        <v>1621.7466113055011</v>
      </c>
      <c r="L313" s="23">
        <f t="shared" si="27"/>
        <v>40.27091520322702</v>
      </c>
      <c r="M313" s="23">
        <f t="shared" si="24"/>
        <v>1.8069100541058811</v>
      </c>
      <c r="N313" s="23">
        <f t="shared" si="25"/>
        <v>34.741745162912942</v>
      </c>
      <c r="P313">
        <v>106</v>
      </c>
      <c r="Q313" s="23">
        <v>-73.921487504754523</v>
      </c>
    </row>
    <row r="314" spans="9:17" x14ac:dyDescent="0.3">
      <c r="I314">
        <v>310</v>
      </c>
      <c r="J314" s="23">
        <f>'$ Portfolio Loss'!P314</f>
        <v>-57.800448959269488</v>
      </c>
      <c r="K314" s="23">
        <f t="shared" si="26"/>
        <v>1724.8953286207582</v>
      </c>
      <c r="L314" s="23">
        <f t="shared" si="27"/>
        <v>41.531859200146073</v>
      </c>
      <c r="M314" s="23">
        <f t="shared" si="24"/>
        <v>1.7520506659258914</v>
      </c>
      <c r="N314" s="23">
        <f t="shared" si="25"/>
        <v>-101.2693150899036</v>
      </c>
      <c r="P314">
        <v>267</v>
      </c>
      <c r="Q314" s="23">
        <v>-74.459566105249436</v>
      </c>
    </row>
    <row r="315" spans="9:17" x14ac:dyDescent="0.3">
      <c r="I315">
        <v>311</v>
      </c>
      <c r="J315" s="23">
        <f>'$ Portfolio Loss'!P315</f>
        <v>148.35981160301344</v>
      </c>
      <c r="K315" s="23">
        <f t="shared" si="26"/>
        <v>2942.0396308364125</v>
      </c>
      <c r="L315" s="23">
        <f t="shared" si="27"/>
        <v>54.240571815168138</v>
      </c>
      <c r="M315" s="23">
        <f t="shared" si="24"/>
        <v>1.3415404582517254</v>
      </c>
      <c r="N315" s="23">
        <f t="shared" si="25"/>
        <v>199.0306896440463</v>
      </c>
      <c r="P315">
        <v>355</v>
      </c>
      <c r="Q315" s="23">
        <v>-75.953928757518042</v>
      </c>
    </row>
    <row r="316" spans="9:17" x14ac:dyDescent="0.3">
      <c r="I316">
        <v>312</v>
      </c>
      <c r="J316" s="23">
        <f>'$ Portfolio Loss'!P316</f>
        <v>65.442250766938741</v>
      </c>
      <c r="K316" s="23">
        <f t="shared" si="26"/>
        <v>3022.4785441128015</v>
      </c>
      <c r="L316" s="23">
        <f t="shared" si="27"/>
        <v>54.977072895096931</v>
      </c>
      <c r="M316" s="23">
        <f t="shared" si="24"/>
        <v>1.323568493862936</v>
      </c>
      <c r="N316" s="23">
        <f t="shared" si="25"/>
        <v>86.61730128259768</v>
      </c>
      <c r="P316">
        <v>275</v>
      </c>
      <c r="Q316" s="23">
        <v>-78.184426582158665</v>
      </c>
    </row>
    <row r="317" spans="9:17" x14ac:dyDescent="0.3">
      <c r="I317">
        <v>313</v>
      </c>
      <c r="J317" s="23">
        <f>'$ Portfolio Loss'!P317</f>
        <v>71.213317762561928</v>
      </c>
      <c r="K317" s="23">
        <f t="shared" si="26"/>
        <v>3145.4100290711308</v>
      </c>
      <c r="L317" s="23">
        <f t="shared" si="27"/>
        <v>56.083955183912721</v>
      </c>
      <c r="M317" s="23">
        <f t="shared" si="24"/>
        <v>1.2974463254265751</v>
      </c>
      <c r="N317" s="23">
        <f t="shared" si="25"/>
        <v>92.395457452471021</v>
      </c>
      <c r="P317">
        <v>456</v>
      </c>
      <c r="Q317" s="23">
        <v>-78.822388885513391</v>
      </c>
    </row>
    <row r="318" spans="9:17" x14ac:dyDescent="0.3">
      <c r="I318">
        <v>314</v>
      </c>
      <c r="J318" s="23">
        <f>'$ Portfolio Loss'!P318</f>
        <v>118.01198535061849</v>
      </c>
      <c r="K318" s="23">
        <f t="shared" si="26"/>
        <v>3792.2951485105391</v>
      </c>
      <c r="L318" s="23">
        <f t="shared" si="27"/>
        <v>61.581613721228017</v>
      </c>
      <c r="M318" s="23">
        <f t="shared" si="24"/>
        <v>1.1816176480557683</v>
      </c>
      <c r="N318" s="23">
        <f t="shared" si="25"/>
        <v>139.44504457238961</v>
      </c>
      <c r="P318">
        <v>462</v>
      </c>
      <c r="Q318" s="23">
        <v>-80.672943456243729</v>
      </c>
    </row>
    <row r="319" spans="9:17" x14ac:dyDescent="0.3">
      <c r="I319">
        <v>315</v>
      </c>
      <c r="J319" s="23">
        <f>'$ Portfolio Loss'!P319</f>
        <v>-11.899681596962182</v>
      </c>
      <c r="K319" s="23">
        <f t="shared" si="26"/>
        <v>3573.2535849264514</v>
      </c>
      <c r="L319" s="23">
        <f t="shared" si="27"/>
        <v>59.776697674984113</v>
      </c>
      <c r="M319" s="23">
        <f t="shared" si="24"/>
        <v>1.2172957757619323</v>
      </c>
      <c r="N319" s="23">
        <f t="shared" si="25"/>
        <v>-14.485432140894069</v>
      </c>
      <c r="P319">
        <v>67</v>
      </c>
      <c r="Q319" s="23">
        <v>-82.170137652149279</v>
      </c>
    </row>
    <row r="320" spans="9:17" x14ac:dyDescent="0.3">
      <c r="I320">
        <v>316</v>
      </c>
      <c r="J320" s="23">
        <f>'$ Portfolio Loss'!P320</f>
        <v>131.22681431817909</v>
      </c>
      <c r="K320" s="23">
        <f t="shared" si="26"/>
        <v>4392.0869775967358</v>
      </c>
      <c r="L320" s="23">
        <f t="shared" si="27"/>
        <v>66.272822315008852</v>
      </c>
      <c r="M320" s="23">
        <f t="shared" si="24"/>
        <v>1.0979752940486576</v>
      </c>
      <c r="N320" s="23">
        <f t="shared" si="25"/>
        <v>144.08380003807127</v>
      </c>
      <c r="P320">
        <v>191</v>
      </c>
      <c r="Q320" s="23">
        <v>-83.716572806078958</v>
      </c>
    </row>
    <row r="321" spans="9:17" x14ac:dyDescent="0.3">
      <c r="I321">
        <v>317</v>
      </c>
      <c r="J321" s="23">
        <f>'$ Portfolio Loss'!P321</f>
        <v>-5.5279141175051336</v>
      </c>
      <c r="K321" s="23">
        <f t="shared" si="26"/>
        <v>4130.3952290103616</v>
      </c>
      <c r="L321" s="23">
        <f t="shared" si="27"/>
        <v>64.268150969281521</v>
      </c>
      <c r="M321" s="23">
        <f t="shared" si="24"/>
        <v>1.1322236671090238</v>
      </c>
      <c r="N321" s="23">
        <f t="shared" si="25"/>
        <v>-6.258835193585405</v>
      </c>
      <c r="P321">
        <v>479</v>
      </c>
      <c r="Q321" s="23">
        <v>-85.552806948893874</v>
      </c>
    </row>
    <row r="322" spans="9:17" x14ac:dyDescent="0.3">
      <c r="I322">
        <v>318</v>
      </c>
      <c r="J322" s="23">
        <f>'$ Portfolio Loss'!P322</f>
        <v>-66.840456465444731</v>
      </c>
      <c r="K322" s="23">
        <f t="shared" si="26"/>
        <v>4150.6303125002805</v>
      </c>
      <c r="L322" s="23">
        <f t="shared" si="27"/>
        <v>64.425385621665313</v>
      </c>
      <c r="M322" s="23">
        <f t="shared" si="24"/>
        <v>1.1294603961871541</v>
      </c>
      <c r="N322" s="23">
        <f t="shared" si="25"/>
        <v>-75.493648440791432</v>
      </c>
      <c r="P322">
        <v>251</v>
      </c>
      <c r="Q322" s="23">
        <v>-86.464549366669246</v>
      </c>
    </row>
    <row r="323" spans="9:17" x14ac:dyDescent="0.3">
      <c r="I323">
        <v>319</v>
      </c>
      <c r="J323" s="23">
        <f>'$ Portfolio Loss'!P323</f>
        <v>-6.72847324054419</v>
      </c>
      <c r="K323" s="23">
        <f t="shared" si="26"/>
        <v>3904.3088348791866</v>
      </c>
      <c r="L323" s="23">
        <f t="shared" si="27"/>
        <v>62.4844687492755</v>
      </c>
      <c r="M323" s="23">
        <f t="shared" si="24"/>
        <v>1.1645441343309813</v>
      </c>
      <c r="N323" s="23">
        <f t="shared" si="25"/>
        <v>-7.8356040452787061</v>
      </c>
      <c r="P323">
        <v>88</v>
      </c>
      <c r="Q323" s="23">
        <v>-86.761047018282198</v>
      </c>
    </row>
    <row r="324" spans="9:17" x14ac:dyDescent="0.3">
      <c r="I324">
        <v>320</v>
      </c>
      <c r="J324" s="23">
        <f>'$ Portfolio Loss'!P324</f>
        <v>54.093013986324877</v>
      </c>
      <c r="K324" s="23">
        <f t="shared" si="26"/>
        <v>3845.61355451392</v>
      </c>
      <c r="L324" s="23">
        <f t="shared" si="27"/>
        <v>62.013011171156009</v>
      </c>
      <c r="M324" s="23">
        <f t="shared" si="24"/>
        <v>1.1733976498564507</v>
      </c>
      <c r="N324" s="23">
        <f t="shared" si="25"/>
        <v>63.472615485205729</v>
      </c>
      <c r="P324">
        <v>158</v>
      </c>
      <c r="Q324" s="23">
        <v>-88.255556402407308</v>
      </c>
    </row>
    <row r="325" spans="9:17" x14ac:dyDescent="0.3">
      <c r="I325">
        <v>321</v>
      </c>
      <c r="J325" s="23">
        <f>'$ Portfolio Loss'!P325</f>
        <v>53.273848375334637</v>
      </c>
      <c r="K325" s="23">
        <f t="shared" si="26"/>
        <v>3785.1629164861738</v>
      </c>
      <c r="L325" s="23">
        <f t="shared" si="27"/>
        <v>61.523677689863227</v>
      </c>
      <c r="M325" s="23">
        <f t="shared" si="24"/>
        <v>1.1827303617245455</v>
      </c>
      <c r="N325" s="23">
        <f t="shared" si="25"/>
        <v>63.008597959418125</v>
      </c>
      <c r="P325">
        <v>161</v>
      </c>
      <c r="Q325" s="23">
        <v>-89.014079135493219</v>
      </c>
    </row>
    <row r="326" spans="9:17" x14ac:dyDescent="0.3">
      <c r="I326">
        <v>322</v>
      </c>
      <c r="J326" s="23">
        <f>'$ Portfolio Loss'!P326</f>
        <v>-21.177109074047621</v>
      </c>
      <c r="K326" s="23">
        <f t="shared" si="26"/>
        <v>3584.9613384210497</v>
      </c>
      <c r="L326" s="23">
        <f t="shared" si="27"/>
        <v>59.874546665682985</v>
      </c>
      <c r="M326" s="23">
        <f t="shared" ref="M326:M389" si="28">$M$2/L326</f>
        <v>1.2153064302107188</v>
      </c>
      <c r="N326" s="23">
        <f t="shared" ref="N326:N389" si="29">M326*J326</f>
        <v>-25.736676830963834</v>
      </c>
      <c r="P326">
        <v>163</v>
      </c>
      <c r="Q326" s="23">
        <v>-89.291342484742756</v>
      </c>
    </row>
    <row r="327" spans="9:17" x14ac:dyDescent="0.3">
      <c r="I327">
        <v>323</v>
      </c>
      <c r="J327" s="23">
        <f>'$ Portfolio Loss'!P327</f>
        <v>20.034431456484526</v>
      </c>
      <c r="K327" s="23">
        <f t="shared" ref="K327:K390" si="30">K326*$K$2+(1-$K$2)*J327^2</f>
        <v>3393.9463647428611</v>
      </c>
      <c r="L327" s="23">
        <f t="shared" ref="L327:L390" si="31">SQRT(K327)</f>
        <v>58.257586327815375</v>
      </c>
      <c r="M327" s="23">
        <f t="shared" si="28"/>
        <v>1.249037698872427</v>
      </c>
      <c r="N327" s="23">
        <f t="shared" si="29"/>
        <v>25.0237601646248</v>
      </c>
      <c r="P327">
        <v>57</v>
      </c>
      <c r="Q327" s="23">
        <v>-90.790643173706343</v>
      </c>
    </row>
    <row r="328" spans="9:17" x14ac:dyDescent="0.3">
      <c r="I328">
        <v>324</v>
      </c>
      <c r="J328" s="23">
        <f>'$ Portfolio Loss'!P328</f>
        <v>103.24903214799815</v>
      </c>
      <c r="K328" s="23">
        <f t="shared" si="30"/>
        <v>3829.9313412281908</v>
      </c>
      <c r="L328" s="23">
        <f t="shared" si="31"/>
        <v>61.886439073743702</v>
      </c>
      <c r="M328" s="23">
        <f t="shared" si="28"/>
        <v>1.1757975197449739</v>
      </c>
      <c r="N328" s="23">
        <f t="shared" si="29"/>
        <v>121.3999559156853</v>
      </c>
      <c r="P328">
        <v>30</v>
      </c>
      <c r="Q328" s="23">
        <v>-91.273305566026764</v>
      </c>
    </row>
    <row r="329" spans="9:17" x14ac:dyDescent="0.3">
      <c r="I329">
        <v>325</v>
      </c>
      <c r="J329" s="23">
        <f>'$ Portfolio Loss'!P329</f>
        <v>-24.091495004433455</v>
      </c>
      <c r="K329" s="23">
        <f t="shared" si="30"/>
        <v>3634.9594686474175</v>
      </c>
      <c r="L329" s="23">
        <f t="shared" si="31"/>
        <v>60.290625047742019</v>
      </c>
      <c r="M329" s="23">
        <f t="shared" si="28"/>
        <v>1.2069193429515039</v>
      </c>
      <c r="N329" s="23">
        <f t="shared" si="29"/>
        <v>-29.076491321470264</v>
      </c>
      <c r="P329">
        <v>64</v>
      </c>
      <c r="Q329" s="23">
        <v>-92.632327245305333</v>
      </c>
    </row>
    <row r="330" spans="9:17" x14ac:dyDescent="0.3">
      <c r="I330">
        <v>326</v>
      </c>
      <c r="J330" s="23">
        <f>'$ Portfolio Loss'!P330</f>
        <v>58.912575328900857</v>
      </c>
      <c r="K330" s="23">
        <f t="shared" si="30"/>
        <v>3625.1033924415774</v>
      </c>
      <c r="L330" s="23">
        <f t="shared" si="31"/>
        <v>60.208831515331518</v>
      </c>
      <c r="M330" s="23">
        <f t="shared" si="28"/>
        <v>1.2085589395673164</v>
      </c>
      <c r="N330" s="23">
        <f t="shared" si="29"/>
        <v>71.199319566676067</v>
      </c>
      <c r="P330">
        <v>368</v>
      </c>
      <c r="Q330" s="23">
        <v>-98.087027502694838</v>
      </c>
    </row>
    <row r="331" spans="9:17" x14ac:dyDescent="0.3">
      <c r="I331">
        <v>327</v>
      </c>
      <c r="J331" s="23">
        <f>'$ Portfolio Loss'!P331</f>
        <v>31.543246450291917</v>
      </c>
      <c r="K331" s="23">
        <f t="shared" si="30"/>
        <v>3467.2957726925138</v>
      </c>
      <c r="L331" s="23">
        <f t="shared" si="31"/>
        <v>58.883747950453305</v>
      </c>
      <c r="M331" s="23">
        <f t="shared" si="28"/>
        <v>1.2357556049248748</v>
      </c>
      <c r="N331" s="23">
        <f t="shared" si="29"/>
        <v>38.979743598474897</v>
      </c>
      <c r="P331">
        <v>474</v>
      </c>
      <c r="Q331" s="23">
        <v>-98.708037208938237</v>
      </c>
    </row>
    <row r="332" spans="9:17" x14ac:dyDescent="0.3">
      <c r="I332">
        <v>328</v>
      </c>
      <c r="J332" s="23">
        <f>'$ Portfolio Loss'!P332</f>
        <v>9.2399462853300065</v>
      </c>
      <c r="K332" s="23">
        <f t="shared" si="30"/>
        <v>3264.3806227723098</v>
      </c>
      <c r="L332" s="23">
        <f t="shared" si="31"/>
        <v>57.1347584467836</v>
      </c>
      <c r="M332" s="23">
        <f t="shared" si="28"/>
        <v>1.2735841289419618</v>
      </c>
      <c r="N332" s="23">
        <f t="shared" si="29"/>
        <v>11.767848941272533</v>
      </c>
      <c r="P332">
        <v>99</v>
      </c>
      <c r="Q332" s="23">
        <v>-101.27289716351068</v>
      </c>
    </row>
    <row r="333" spans="9:17" x14ac:dyDescent="0.3">
      <c r="I333">
        <v>329</v>
      </c>
      <c r="J333" s="23">
        <f>'$ Portfolio Loss'!P333</f>
        <v>-6.9518506001149944</v>
      </c>
      <c r="K333" s="23">
        <f t="shared" si="30"/>
        <v>3071.4174790119505</v>
      </c>
      <c r="L333" s="23">
        <f t="shared" si="31"/>
        <v>55.420370614169933</v>
      </c>
      <c r="M333" s="23">
        <f t="shared" si="28"/>
        <v>1.3129815041357993</v>
      </c>
      <c r="N333" s="23">
        <f t="shared" si="29"/>
        <v>-9.1276512574663435</v>
      </c>
      <c r="P333">
        <v>478</v>
      </c>
      <c r="Q333" s="23">
        <v>-101.39792895925092</v>
      </c>
    </row>
    <row r="334" spans="9:17" x14ac:dyDescent="0.3">
      <c r="I334">
        <v>330</v>
      </c>
      <c r="J334" s="23">
        <f>'$ Portfolio Loss'!P334</f>
        <v>62.542507324087637</v>
      </c>
      <c r="K334" s="23">
        <f t="shared" si="30"/>
        <v>3121.826343614247</v>
      </c>
      <c r="L334" s="23">
        <f t="shared" si="31"/>
        <v>55.873306181165319</v>
      </c>
      <c r="M334" s="23">
        <f t="shared" si="28"/>
        <v>1.3023378522262103</v>
      </c>
      <c r="N334" s="23">
        <f t="shared" si="29"/>
        <v>81.451474661294327</v>
      </c>
      <c r="P334">
        <v>470</v>
      </c>
      <c r="Q334" s="23">
        <v>-101.46625295374947</v>
      </c>
    </row>
    <row r="335" spans="9:17" x14ac:dyDescent="0.3">
      <c r="I335">
        <v>331</v>
      </c>
      <c r="J335" s="23">
        <f>'$ Portfolio Loss'!P335</f>
        <v>-63.239636382711979</v>
      </c>
      <c r="K335" s="23">
        <f t="shared" si="30"/>
        <v>3174.4718595864501</v>
      </c>
      <c r="L335" s="23">
        <f t="shared" si="31"/>
        <v>56.342451664676879</v>
      </c>
      <c r="M335" s="23">
        <f t="shared" si="28"/>
        <v>1.29149370357229</v>
      </c>
      <c r="N335" s="23">
        <f t="shared" si="29"/>
        <v>-81.673592204473636</v>
      </c>
      <c r="P335">
        <v>311</v>
      </c>
      <c r="Q335" s="23">
        <v>-106.11888493379055</v>
      </c>
    </row>
    <row r="336" spans="9:17" x14ac:dyDescent="0.3">
      <c r="I336">
        <v>332</v>
      </c>
      <c r="J336" s="23">
        <f>'$ Portfolio Loss'!P336</f>
        <v>-18.719046196336421</v>
      </c>
      <c r="K336" s="23">
        <f t="shared" si="30"/>
        <v>3005.0277094412977</v>
      </c>
      <c r="L336" s="23">
        <f t="shared" si="31"/>
        <v>54.818133034984854</v>
      </c>
      <c r="M336" s="23">
        <f t="shared" si="28"/>
        <v>1.3274060523425191</v>
      </c>
      <c r="N336" s="23">
        <f t="shared" si="29"/>
        <v>-24.847775215096178</v>
      </c>
      <c r="P336">
        <v>68</v>
      </c>
      <c r="Q336" s="23">
        <v>-106.5675855528813</v>
      </c>
    </row>
    <row r="337" spans="9:17" x14ac:dyDescent="0.3">
      <c r="I337">
        <v>333</v>
      </c>
      <c r="J337" s="23">
        <f>'$ Portfolio Loss'!P337</f>
        <v>-78.5593046463473</v>
      </c>
      <c r="K337" s="23">
        <f t="shared" si="30"/>
        <v>3195.019907665876</v>
      </c>
      <c r="L337" s="23">
        <f t="shared" si="31"/>
        <v>56.524507142175736</v>
      </c>
      <c r="M337" s="23">
        <f t="shared" si="28"/>
        <v>1.2873340299231379</v>
      </c>
      <c r="N337" s="23">
        <f t="shared" si="29"/>
        <v>-101.13206623834176</v>
      </c>
      <c r="P337">
        <v>308</v>
      </c>
      <c r="Q337" s="23">
        <v>-106.6591581375241</v>
      </c>
    </row>
    <row r="338" spans="9:17" x14ac:dyDescent="0.3">
      <c r="I338">
        <v>334</v>
      </c>
      <c r="J338" s="23">
        <f>'$ Portfolio Loss'!P338</f>
        <v>-71.370085995065892</v>
      </c>
      <c r="K338" s="23">
        <f t="shared" si="30"/>
        <v>3308.9400637025096</v>
      </c>
      <c r="L338" s="23">
        <f t="shared" si="31"/>
        <v>57.523387102138813</v>
      </c>
      <c r="M338" s="23">
        <f t="shared" si="28"/>
        <v>1.2649797801293021</v>
      </c>
      <c r="N338" s="23">
        <f t="shared" si="29"/>
        <v>-90.281715689847843</v>
      </c>
      <c r="P338">
        <v>414</v>
      </c>
      <c r="Q338" s="23">
        <v>-107.89799191966634</v>
      </c>
    </row>
    <row r="339" spans="9:17" x14ac:dyDescent="0.3">
      <c r="I339">
        <v>335</v>
      </c>
      <c r="J339" s="23">
        <f>'$ Portfolio Loss'!P339</f>
        <v>-146.15318819911408</v>
      </c>
      <c r="K339" s="23">
        <f t="shared" si="30"/>
        <v>4392.0489251262998</v>
      </c>
      <c r="L339" s="23">
        <f t="shared" si="31"/>
        <v>66.272535224829753</v>
      </c>
      <c r="M339" s="23">
        <f t="shared" si="28"/>
        <v>1.0979800504371486</v>
      </c>
      <c r="N339" s="23">
        <f t="shared" si="29"/>
        <v>-160.47328495041336</v>
      </c>
      <c r="P339">
        <v>301</v>
      </c>
      <c r="Q339" s="23">
        <v>-110.11265670363008</v>
      </c>
    </row>
    <row r="340" spans="9:17" x14ac:dyDescent="0.3">
      <c r="I340">
        <v>336</v>
      </c>
      <c r="J340" s="23">
        <f>'$ Portfolio Loss'!P340</f>
        <v>-42.986773908603936</v>
      </c>
      <c r="K340" s="23">
        <f t="shared" si="30"/>
        <v>4239.3977534828873</v>
      </c>
      <c r="L340" s="23">
        <f t="shared" si="31"/>
        <v>65.110657756490895</v>
      </c>
      <c r="M340" s="23">
        <f t="shared" si="28"/>
        <v>1.1175731297462164</v>
      </c>
      <c r="N340" s="23">
        <f t="shared" si="29"/>
        <v>-48.040863454731493</v>
      </c>
      <c r="P340">
        <v>260</v>
      </c>
      <c r="Q340" s="23">
        <v>-112.29519638946637</v>
      </c>
    </row>
    <row r="341" spans="9:17" x14ac:dyDescent="0.3">
      <c r="I341">
        <v>337</v>
      </c>
      <c r="J341" s="23">
        <f>'$ Portfolio Loss'!P341</f>
        <v>57.93807964230291</v>
      </c>
      <c r="K341" s="23">
        <f t="shared" si="30"/>
        <v>4186.4431526321841</v>
      </c>
      <c r="L341" s="23">
        <f t="shared" si="31"/>
        <v>64.702729097250483</v>
      </c>
      <c r="M341" s="23">
        <f t="shared" si="28"/>
        <v>1.1246190475116828</v>
      </c>
      <c r="N341" s="23">
        <f t="shared" si="29"/>
        <v>65.158267941982714</v>
      </c>
      <c r="P341">
        <v>413</v>
      </c>
      <c r="Q341" s="23">
        <v>-114.45550134068671</v>
      </c>
    </row>
    <row r="342" spans="9:17" x14ac:dyDescent="0.3">
      <c r="I342">
        <v>338</v>
      </c>
      <c r="J342" s="23">
        <f>'$ Portfolio Loss'!P342</f>
        <v>-2.2007859069690312</v>
      </c>
      <c r="K342" s="23">
        <f t="shared" si="30"/>
        <v>3935.5471709907515</v>
      </c>
      <c r="L342" s="23">
        <f t="shared" si="31"/>
        <v>62.733939546235668</v>
      </c>
      <c r="M342" s="23">
        <f t="shared" si="28"/>
        <v>1.1599131521961397</v>
      </c>
      <c r="N342" s="23">
        <f t="shared" si="29"/>
        <v>-2.5527205186612894</v>
      </c>
      <c r="P342">
        <v>247</v>
      </c>
      <c r="Q342" s="23">
        <v>-114.78043407213832</v>
      </c>
    </row>
    <row r="343" spans="9:17" x14ac:dyDescent="0.3">
      <c r="I343">
        <v>339</v>
      </c>
      <c r="J343" s="23">
        <f>'$ Portfolio Loss'!P343</f>
        <v>37.496635907196833</v>
      </c>
      <c r="K343" s="23">
        <f t="shared" si="30"/>
        <v>3783.7742029927194</v>
      </c>
      <c r="L343" s="23">
        <f t="shared" si="31"/>
        <v>61.512390646053738</v>
      </c>
      <c r="M343" s="23">
        <f t="shared" si="28"/>
        <v>1.1829473835191366</v>
      </c>
      <c r="N343" s="23">
        <f t="shared" si="29"/>
        <v>44.356547337188204</v>
      </c>
      <c r="P343">
        <v>316</v>
      </c>
      <c r="Q343" s="23">
        <v>-115.25164327833278</v>
      </c>
    </row>
    <row r="344" spans="9:17" x14ac:dyDescent="0.3">
      <c r="I344">
        <v>340</v>
      </c>
      <c r="J344" s="23">
        <f>'$ Portfolio Loss'!P344</f>
        <v>-65.706545562494284</v>
      </c>
      <c r="K344" s="23">
        <f t="shared" si="30"/>
        <v>3815.7887585985245</v>
      </c>
      <c r="L344" s="23">
        <f t="shared" si="31"/>
        <v>61.77207102403581</v>
      </c>
      <c r="M344" s="23">
        <f t="shared" si="28"/>
        <v>1.1779744528954308</v>
      </c>
      <c r="N344" s="23">
        <f t="shared" si="29"/>
        <v>-77.400632060627899</v>
      </c>
      <c r="P344">
        <v>39</v>
      </c>
      <c r="Q344" s="23">
        <v>-115.92545348294735</v>
      </c>
    </row>
    <row r="345" spans="9:17" x14ac:dyDescent="0.3">
      <c r="I345">
        <v>341</v>
      </c>
      <c r="J345" s="23">
        <f>'$ Portfolio Loss'!P345</f>
        <v>-47.821081958229115</v>
      </c>
      <c r="K345" s="23">
        <f t="shared" si="30"/>
        <v>3724.0527858619525</v>
      </c>
      <c r="L345" s="23">
        <f t="shared" si="31"/>
        <v>61.025017704724611</v>
      </c>
      <c r="M345" s="23">
        <f t="shared" si="28"/>
        <v>1.192394927615444</v>
      </c>
      <c r="N345" s="23">
        <f t="shared" si="29"/>
        <v>-57.021615560074821</v>
      </c>
      <c r="P345">
        <v>45</v>
      </c>
      <c r="Q345" s="23">
        <v>-117.1222518321683</v>
      </c>
    </row>
    <row r="346" spans="9:17" x14ac:dyDescent="0.3">
      <c r="I346">
        <v>342</v>
      </c>
      <c r="J346" s="23">
        <f>'$ Portfolio Loss'!P346</f>
        <v>-69.907869799681066</v>
      </c>
      <c r="K346" s="23">
        <f t="shared" si="30"/>
        <v>3793.8362343059853</v>
      </c>
      <c r="L346" s="23">
        <f t="shared" si="31"/>
        <v>61.59412499829822</v>
      </c>
      <c r="M346" s="23">
        <f t="shared" si="28"/>
        <v>1.1813776325382774</v>
      </c>
      <c r="N346" s="23">
        <f t="shared" si="29"/>
        <v>-82.587593719741363</v>
      </c>
      <c r="P346">
        <v>230</v>
      </c>
      <c r="Q346" s="23">
        <v>-118.400127161041</v>
      </c>
    </row>
    <row r="347" spans="9:17" x14ac:dyDescent="0.3">
      <c r="I347">
        <v>343</v>
      </c>
      <c r="J347" s="23">
        <f>'$ Portfolio Loss'!P347</f>
        <v>-123.44505447413394</v>
      </c>
      <c r="K347" s="23">
        <f t="shared" si="30"/>
        <v>4480.5269486949401</v>
      </c>
      <c r="L347" s="23">
        <f t="shared" si="31"/>
        <v>66.936738407954564</v>
      </c>
      <c r="M347" s="23">
        <f t="shared" si="28"/>
        <v>1.0870849596117906</v>
      </c>
      <c r="N347" s="23">
        <f t="shared" si="29"/>
        <v>-134.1952620572892</v>
      </c>
      <c r="P347">
        <v>224</v>
      </c>
      <c r="Q347" s="23">
        <v>-120.17209257891307</v>
      </c>
    </row>
    <row r="348" spans="9:17" x14ac:dyDescent="0.3">
      <c r="I348">
        <v>344</v>
      </c>
      <c r="J348" s="23">
        <f>'$ Portfolio Loss'!P348</f>
        <v>2.318591569282944</v>
      </c>
      <c r="K348" s="23">
        <f t="shared" si="30"/>
        <v>4212.0178837851518</v>
      </c>
      <c r="L348" s="23">
        <f t="shared" si="31"/>
        <v>64.900060737915737</v>
      </c>
      <c r="M348" s="23">
        <f t="shared" si="28"/>
        <v>1.1211995912084745</v>
      </c>
      <c r="N348" s="23">
        <f t="shared" si="29"/>
        <v>2.5996039196594523</v>
      </c>
      <c r="P348">
        <v>274</v>
      </c>
      <c r="Q348" s="23">
        <v>-121.62206089008858</v>
      </c>
    </row>
    <row r="349" spans="9:17" x14ac:dyDescent="0.3">
      <c r="I349">
        <v>345</v>
      </c>
      <c r="J349" s="23">
        <f>'$ Portfolio Loss'!P349</f>
        <v>30.969467443077519</v>
      </c>
      <c r="K349" s="23">
        <f t="shared" si="30"/>
        <v>4016.8432855805127</v>
      </c>
      <c r="L349" s="23">
        <f t="shared" si="31"/>
        <v>63.378571186012962</v>
      </c>
      <c r="M349" s="23">
        <f t="shared" si="28"/>
        <v>1.1481155255960553</v>
      </c>
      <c r="N349" s="23">
        <f t="shared" si="29"/>
        <v>35.556526390838869</v>
      </c>
      <c r="P349">
        <v>244</v>
      </c>
      <c r="Q349" s="23">
        <v>-123.74719778948302</v>
      </c>
    </row>
    <row r="350" spans="9:17" x14ac:dyDescent="0.3">
      <c r="I350">
        <v>346</v>
      </c>
      <c r="J350" s="23">
        <f>'$ Portfolio Loss'!P350</f>
        <v>51.148101873071937</v>
      </c>
      <c r="K350" s="23">
        <f t="shared" si="30"/>
        <v>3932.8003879587704</v>
      </c>
      <c r="L350" s="23">
        <f t="shared" si="31"/>
        <v>62.712043404427277</v>
      </c>
      <c r="M350" s="23">
        <f t="shared" si="28"/>
        <v>1.1603181401615632</v>
      </c>
      <c r="N350" s="23">
        <f t="shared" si="29"/>
        <v>59.348070438156995</v>
      </c>
      <c r="P350">
        <v>421</v>
      </c>
      <c r="Q350" s="23">
        <v>-125.11665978467289</v>
      </c>
    </row>
    <row r="351" spans="9:17" x14ac:dyDescent="0.3">
      <c r="I351">
        <v>347</v>
      </c>
      <c r="J351" s="23">
        <f>'$ Portfolio Loss'!P351</f>
        <v>6.7941941750032129</v>
      </c>
      <c r="K351" s="23">
        <f t="shared" si="30"/>
        <v>3699.6020291505029</v>
      </c>
      <c r="L351" s="23">
        <f t="shared" si="31"/>
        <v>60.824353914780737</v>
      </c>
      <c r="M351" s="23">
        <f t="shared" si="28"/>
        <v>1.1963287217272629</v>
      </c>
      <c r="N351" s="23">
        <f t="shared" si="29"/>
        <v>8.1280896325484093</v>
      </c>
      <c r="P351">
        <v>49</v>
      </c>
      <c r="Q351" s="23">
        <v>-125.65376870350659</v>
      </c>
    </row>
    <row r="352" spans="9:17" x14ac:dyDescent="0.3">
      <c r="I352">
        <v>348</v>
      </c>
      <c r="J352" s="23">
        <f>'$ Portfolio Loss'!P352</f>
        <v>-47.992830127421257</v>
      </c>
      <c r="K352" s="23">
        <f t="shared" si="30"/>
        <v>3615.8246120198432</v>
      </c>
      <c r="L352" s="23">
        <f t="shared" si="31"/>
        <v>60.131727166445529</v>
      </c>
      <c r="M352" s="23">
        <f t="shared" si="28"/>
        <v>1.2101086231456335</v>
      </c>
      <c r="N352" s="23">
        <f t="shared" si="29"/>
        <v>-58.076537586356018</v>
      </c>
      <c r="P352">
        <v>255</v>
      </c>
      <c r="Q352" s="23">
        <v>-125.88425034079246</v>
      </c>
    </row>
    <row r="353" spans="9:17" x14ac:dyDescent="0.3">
      <c r="I353">
        <v>349</v>
      </c>
      <c r="J353" s="23">
        <f>'$ Portfolio Loss'!P353</f>
        <v>-46.490236621384611</v>
      </c>
      <c r="K353" s="23">
        <f t="shared" si="30"/>
        <v>3528.5556613653926</v>
      </c>
      <c r="L353" s="23">
        <f t="shared" si="31"/>
        <v>59.401646958357915</v>
      </c>
      <c r="M353" s="23">
        <f t="shared" si="28"/>
        <v>1.2249815500867689</v>
      </c>
      <c r="N353" s="23">
        <f t="shared" si="29"/>
        <v>-56.949682120364393</v>
      </c>
      <c r="P353">
        <v>172</v>
      </c>
      <c r="Q353" s="23">
        <v>-126.09611923343536</v>
      </c>
    </row>
    <row r="354" spans="9:17" x14ac:dyDescent="0.3">
      <c r="I354">
        <v>350</v>
      </c>
      <c r="J354" s="23">
        <f>'$ Portfolio Loss'!P354</f>
        <v>-56.072363333432804</v>
      </c>
      <c r="K354" s="23">
        <f t="shared" si="30"/>
        <v>3505.4889174712589</v>
      </c>
      <c r="L354" s="23">
        <f t="shared" si="31"/>
        <v>59.207169476941381</v>
      </c>
      <c r="M354" s="23">
        <f t="shared" si="28"/>
        <v>1.229005240608495</v>
      </c>
      <c r="N354" s="23">
        <f t="shared" si="29"/>
        <v>-68.913228390092542</v>
      </c>
      <c r="P354">
        <v>500</v>
      </c>
      <c r="Q354" s="23">
        <v>-126.43896718726137</v>
      </c>
    </row>
    <row r="355" spans="9:17" x14ac:dyDescent="0.3">
      <c r="I355">
        <v>351</v>
      </c>
      <c r="J355" s="23">
        <f>'$ Portfolio Loss'!P355</f>
        <v>-61.986227575675002</v>
      </c>
      <c r="K355" s="23">
        <f t="shared" si="30"/>
        <v>3525.6971269667856</v>
      </c>
      <c r="L355" s="23">
        <f t="shared" si="31"/>
        <v>59.377581013096062</v>
      </c>
      <c r="M355" s="23">
        <f t="shared" si="28"/>
        <v>1.2254780394759994</v>
      </c>
      <c r="N355" s="23">
        <f t="shared" si="29"/>
        <v>-75.962760643951341</v>
      </c>
      <c r="P355">
        <v>156</v>
      </c>
      <c r="Q355" s="23">
        <v>-126.88968909430416</v>
      </c>
    </row>
    <row r="356" spans="9:17" x14ac:dyDescent="0.3">
      <c r="I356">
        <v>352</v>
      </c>
      <c r="J356" s="23">
        <f>'$ Portfolio Loss'!P356</f>
        <v>-11.748956064722734</v>
      </c>
      <c r="K356" s="23">
        <f t="shared" si="30"/>
        <v>3322.4375774654254</v>
      </c>
      <c r="L356" s="23">
        <f t="shared" si="31"/>
        <v>57.64058966965402</v>
      </c>
      <c r="M356" s="23">
        <f t="shared" si="28"/>
        <v>1.2624076538041609</v>
      </c>
      <c r="N356" s="23">
        <f t="shared" si="29"/>
        <v>-14.831972060314794</v>
      </c>
      <c r="P356">
        <v>184</v>
      </c>
      <c r="Q356" s="23">
        <v>-128.26203218719792</v>
      </c>
    </row>
    <row r="357" spans="9:17" x14ac:dyDescent="0.3">
      <c r="I357">
        <v>353</v>
      </c>
      <c r="J357" s="23">
        <f>'$ Portfolio Loss'!P357</f>
        <v>24.480307340751096</v>
      </c>
      <c r="K357" s="23">
        <f t="shared" si="30"/>
        <v>3159.0484496673575</v>
      </c>
      <c r="L357" s="23">
        <f t="shared" si="31"/>
        <v>56.205412992587803</v>
      </c>
      <c r="M357" s="23">
        <f t="shared" si="28"/>
        <v>1.2946425921352527</v>
      </c>
      <c r="N357" s="23">
        <f t="shared" si="29"/>
        <v>31.693248551897653</v>
      </c>
      <c r="P357">
        <v>234</v>
      </c>
      <c r="Q357" s="23">
        <v>-131.12675931122874</v>
      </c>
    </row>
    <row r="358" spans="9:17" x14ac:dyDescent="0.3">
      <c r="I358">
        <v>354</v>
      </c>
      <c r="J358" s="23">
        <f>'$ Portfolio Loss'!P358</f>
        <v>82.351789582846322</v>
      </c>
      <c r="K358" s="23">
        <f t="shared" si="30"/>
        <v>3376.4145775371599</v>
      </c>
      <c r="L358" s="23">
        <f t="shared" si="31"/>
        <v>58.106923662651077</v>
      </c>
      <c r="M358" s="23">
        <f t="shared" si="28"/>
        <v>1.2522762690245026</v>
      </c>
      <c r="N358" s="23">
        <f t="shared" si="29"/>
        <v>103.12719180629769</v>
      </c>
      <c r="P358">
        <v>53</v>
      </c>
      <c r="Q358" s="23">
        <v>-131.16982880993359</v>
      </c>
    </row>
    <row r="359" spans="9:17" x14ac:dyDescent="0.3">
      <c r="I359">
        <v>355</v>
      </c>
      <c r="J359" s="23">
        <f>'$ Portfolio Loss'!P359</f>
        <v>21.486835573465214</v>
      </c>
      <c r="K359" s="23">
        <f t="shared" si="30"/>
        <v>3201.5307490625978</v>
      </c>
      <c r="L359" s="23">
        <f t="shared" si="31"/>
        <v>56.582070915287275</v>
      </c>
      <c r="M359" s="23">
        <f t="shared" si="28"/>
        <v>1.2860243605734918</v>
      </c>
      <c r="N359" s="23">
        <f t="shared" si="29"/>
        <v>27.632593979113359</v>
      </c>
      <c r="P359">
        <v>347</v>
      </c>
      <c r="Q359" s="23">
        <v>-131.34709183986428</v>
      </c>
    </row>
    <row r="360" spans="9:17" x14ac:dyDescent="0.3">
      <c r="I360">
        <v>356</v>
      </c>
      <c r="J360" s="23">
        <f>'$ Portfolio Loss'!P360</f>
        <v>-12.665358205827943</v>
      </c>
      <c r="K360" s="23">
        <f t="shared" si="30"/>
        <v>3019.063582027758</v>
      </c>
      <c r="L360" s="23">
        <f t="shared" si="31"/>
        <v>54.946006060748019</v>
      </c>
      <c r="M360" s="23">
        <f t="shared" si="28"/>
        <v>1.324316848221992</v>
      </c>
      <c r="N360" s="23">
        <f t="shared" si="29"/>
        <v>-16.772947260744605</v>
      </c>
      <c r="P360">
        <v>29</v>
      </c>
      <c r="Q360" s="23">
        <v>-131.79629422936273</v>
      </c>
    </row>
    <row r="361" spans="9:17" x14ac:dyDescent="0.3">
      <c r="I361">
        <v>357</v>
      </c>
      <c r="J361" s="23">
        <f>'$ Portfolio Loss'!P361</f>
        <v>-38.13463916701221</v>
      </c>
      <c r="K361" s="23">
        <f t="shared" si="30"/>
        <v>2925.1748093699857</v>
      </c>
      <c r="L361" s="23">
        <f t="shared" si="31"/>
        <v>54.084885221011476</v>
      </c>
      <c r="M361" s="23">
        <f t="shared" si="28"/>
        <v>1.3454021631257413</v>
      </c>
      <c r="N361" s="23">
        <f t="shared" si="29"/>
        <v>-51.306426025317847</v>
      </c>
      <c r="P361">
        <v>327</v>
      </c>
      <c r="Q361" s="23">
        <v>-132.13080529236288</v>
      </c>
    </row>
    <row r="362" spans="9:17" x14ac:dyDescent="0.3">
      <c r="I362">
        <v>358</v>
      </c>
      <c r="J362" s="23">
        <f>'$ Portfolio Loss'!P362</f>
        <v>-10.239649408225887</v>
      </c>
      <c r="K362" s="23">
        <f t="shared" si="30"/>
        <v>2755.9553460079892</v>
      </c>
      <c r="L362" s="23">
        <f t="shared" si="31"/>
        <v>52.497193696501427</v>
      </c>
      <c r="M362" s="23">
        <f t="shared" si="28"/>
        <v>1.3860916450016951</v>
      </c>
      <c r="N362" s="23">
        <f t="shared" si="29"/>
        <v>-14.193092492488454</v>
      </c>
      <c r="P362">
        <v>277</v>
      </c>
      <c r="Q362" s="23">
        <v>-132.20693760861136</v>
      </c>
    </row>
    <row r="363" spans="9:17" x14ac:dyDescent="0.3">
      <c r="I363">
        <v>359</v>
      </c>
      <c r="J363" s="23">
        <f>'$ Portfolio Loss'!P363</f>
        <v>-36.044709850335494</v>
      </c>
      <c r="K363" s="23">
        <f t="shared" si="30"/>
        <v>2668.551291739202</v>
      </c>
      <c r="L363" s="23">
        <f t="shared" si="31"/>
        <v>51.658022530282764</v>
      </c>
      <c r="M363" s="23">
        <f t="shared" si="28"/>
        <v>1.4086083439624451</v>
      </c>
      <c r="N363" s="23">
        <f t="shared" si="29"/>
        <v>-50.772879050887909</v>
      </c>
      <c r="P363">
        <v>482</v>
      </c>
      <c r="Q363" s="23">
        <v>-132.38614936481605</v>
      </c>
    </row>
    <row r="364" spans="9:17" x14ac:dyDescent="0.3">
      <c r="I364">
        <v>360</v>
      </c>
      <c r="J364" s="23">
        <f>'$ Portfolio Loss'!P364</f>
        <v>-9.7707250556213694</v>
      </c>
      <c r="K364" s="23">
        <f t="shared" si="30"/>
        <v>2514.1662383216026</v>
      </c>
      <c r="L364" s="23">
        <f t="shared" si="31"/>
        <v>50.141462267484805</v>
      </c>
      <c r="M364" s="23">
        <f t="shared" si="28"/>
        <v>1.4512125948896137</v>
      </c>
      <c r="N364" s="23">
        <f t="shared" si="29"/>
        <v>-14.179399261921253</v>
      </c>
      <c r="P364">
        <v>26</v>
      </c>
      <c r="Q364" s="23">
        <v>-133.16175940063471</v>
      </c>
    </row>
    <row r="365" spans="9:17" x14ac:dyDescent="0.3">
      <c r="I365">
        <v>361</v>
      </c>
      <c r="J365" s="23">
        <f>'$ Portfolio Loss'!P365</f>
        <v>75.639754229416212</v>
      </c>
      <c r="K365" s="23">
        <f t="shared" si="30"/>
        <v>2706.5986092154958</v>
      </c>
      <c r="L365" s="23">
        <f t="shared" si="31"/>
        <v>52.024980626767139</v>
      </c>
      <c r="M365" s="23">
        <f t="shared" si="28"/>
        <v>1.398672727834094</v>
      </c>
      <c r="N365" s="23">
        <f t="shared" si="29"/>
        <v>105.79526138075802</v>
      </c>
      <c r="P365">
        <v>443</v>
      </c>
      <c r="Q365" s="23">
        <v>-135.66581907888153</v>
      </c>
    </row>
    <row r="366" spans="9:17" x14ac:dyDescent="0.3">
      <c r="I366">
        <v>362</v>
      </c>
      <c r="J366" s="23">
        <f>'$ Portfolio Loss'!P366</f>
        <v>5.1240437290980481</v>
      </c>
      <c r="K366" s="23">
        <f t="shared" si="30"/>
        <v>2545.7780421108282</v>
      </c>
      <c r="L366" s="23">
        <f t="shared" si="31"/>
        <v>50.455703761921981</v>
      </c>
      <c r="M366" s="23">
        <f t="shared" si="28"/>
        <v>1.4421743458798295</v>
      </c>
      <c r="N366" s="23">
        <f t="shared" si="29"/>
        <v>7.38976441327162</v>
      </c>
      <c r="P366">
        <v>468</v>
      </c>
      <c r="Q366" s="23">
        <v>-135.84722264364575</v>
      </c>
    </row>
    <row r="367" spans="9:17" x14ac:dyDescent="0.3">
      <c r="I367">
        <v>363</v>
      </c>
      <c r="J367" s="23">
        <f>'$ Portfolio Loss'!P367</f>
        <v>3.9210081967721635</v>
      </c>
      <c r="K367" s="23">
        <f t="shared" si="30"/>
        <v>2393.9538179009278</v>
      </c>
      <c r="L367" s="23">
        <f t="shared" si="31"/>
        <v>48.928047354262233</v>
      </c>
      <c r="M367" s="23">
        <f t="shared" si="28"/>
        <v>1.4872026476326872</v>
      </c>
      <c r="N367" s="23">
        <f t="shared" si="29"/>
        <v>5.8313337716290299</v>
      </c>
      <c r="P367">
        <v>113</v>
      </c>
      <c r="Q367" s="23">
        <v>-136.05042804105199</v>
      </c>
    </row>
    <row r="368" spans="9:17" x14ac:dyDescent="0.3">
      <c r="I368">
        <v>364</v>
      </c>
      <c r="J368" s="23">
        <f>'$ Portfolio Loss'!P368</f>
        <v>-21.98160118375381</v>
      </c>
      <c r="K368" s="23">
        <f t="shared" si="30"/>
        <v>2279.308036262968</v>
      </c>
      <c r="L368" s="23">
        <f t="shared" si="31"/>
        <v>47.742099202516933</v>
      </c>
      <c r="M368" s="23">
        <f t="shared" si="28"/>
        <v>1.5241458332213451</v>
      </c>
      <c r="N368" s="23">
        <f t="shared" si="29"/>
        <v>-33.50316585175176</v>
      </c>
      <c r="P368">
        <v>130</v>
      </c>
      <c r="Q368" s="23">
        <v>-136.6899645822501</v>
      </c>
    </row>
    <row r="369" spans="9:17" x14ac:dyDescent="0.3">
      <c r="I369">
        <v>365</v>
      </c>
      <c r="J369" s="23">
        <f>'$ Portfolio Loss'!P369</f>
        <v>-80.721208106333506</v>
      </c>
      <c r="K369" s="23">
        <f t="shared" si="30"/>
        <v>2533.5043603759505</v>
      </c>
      <c r="L369" s="23">
        <f t="shared" si="31"/>
        <v>50.333928521186884</v>
      </c>
      <c r="M369" s="23">
        <f t="shared" si="28"/>
        <v>1.4456634661077006</v>
      </c>
      <c r="N369" s="23">
        <f t="shared" si="29"/>
        <v>-116.69570149940311</v>
      </c>
      <c r="P369">
        <v>317</v>
      </c>
      <c r="Q369" s="23">
        <v>-138.33771294664581</v>
      </c>
    </row>
    <row r="370" spans="9:17" x14ac:dyDescent="0.3">
      <c r="I370">
        <v>366</v>
      </c>
      <c r="J370" s="23">
        <f>'$ Portfolio Loss'!P370</f>
        <v>-54.682773939590334</v>
      </c>
      <c r="K370" s="23">
        <f t="shared" si="30"/>
        <v>2560.9064446970938</v>
      </c>
      <c r="L370" s="23">
        <f t="shared" si="31"/>
        <v>50.605399363082725</v>
      </c>
      <c r="M370" s="23">
        <f t="shared" si="28"/>
        <v>1.4379082565217327</v>
      </c>
      <c r="N370" s="23">
        <f t="shared" si="29"/>
        <v>-78.628812137248374</v>
      </c>
      <c r="P370">
        <v>250</v>
      </c>
      <c r="Q370" s="23">
        <v>-138.91777504913361</v>
      </c>
    </row>
    <row r="371" spans="9:17" x14ac:dyDescent="0.3">
      <c r="I371">
        <v>367</v>
      </c>
      <c r="J371" s="23">
        <f>'$ Portfolio Loss'!P371</f>
        <v>7.6359337618996506</v>
      </c>
      <c r="K371" s="23">
        <f t="shared" si="30"/>
        <v>2410.7505070802354</v>
      </c>
      <c r="L371" s="23">
        <f t="shared" si="31"/>
        <v>49.099394162048839</v>
      </c>
      <c r="M371" s="23">
        <f t="shared" si="28"/>
        <v>1.4820126156464957</v>
      </c>
      <c r="N371" s="23">
        <f t="shared" si="29"/>
        <v>11.316550167376286</v>
      </c>
      <c r="P371">
        <v>426</v>
      </c>
      <c r="Q371" s="23">
        <v>-141.44373404867397</v>
      </c>
    </row>
    <row r="372" spans="9:17" x14ac:dyDescent="0.3">
      <c r="I372">
        <v>368</v>
      </c>
      <c r="J372" s="23">
        <f>'$ Portfolio Loss'!P372</f>
        <v>3.5425946430150361</v>
      </c>
      <c r="K372" s="23">
        <f t="shared" si="30"/>
        <v>2266.8584752637043</v>
      </c>
      <c r="L372" s="23">
        <f t="shared" si="31"/>
        <v>47.611537207526752</v>
      </c>
      <c r="M372" s="23">
        <f t="shared" si="28"/>
        <v>1.5283253983501495</v>
      </c>
      <c r="N372" s="23">
        <f t="shared" si="29"/>
        <v>5.4142373689790606</v>
      </c>
      <c r="P372">
        <v>248</v>
      </c>
      <c r="Q372" s="23">
        <v>-142.33950634407333</v>
      </c>
    </row>
    <row r="373" spans="9:17" x14ac:dyDescent="0.3">
      <c r="I373">
        <v>369</v>
      </c>
      <c r="J373" s="23">
        <f>'$ Portfolio Loss'!P373</f>
        <v>31.832818162431067</v>
      </c>
      <c r="K373" s="23">
        <f t="shared" si="30"/>
        <v>2191.6466654776264</v>
      </c>
      <c r="L373" s="23">
        <f t="shared" si="31"/>
        <v>46.815026065117451</v>
      </c>
      <c r="M373" s="23">
        <f t="shared" si="28"/>
        <v>1.5543283361103417</v>
      </c>
      <c r="N373" s="23">
        <f t="shared" si="29"/>
        <v>49.478651288114548</v>
      </c>
      <c r="P373">
        <v>118</v>
      </c>
      <c r="Q373" s="23">
        <v>-142.53251257238603</v>
      </c>
    </row>
    <row r="374" spans="9:17" x14ac:dyDescent="0.3">
      <c r="I374">
        <v>370</v>
      </c>
      <c r="J374" s="23">
        <f>'$ Portfolio Loss'!P374</f>
        <v>27.63698473570912</v>
      </c>
      <c r="K374" s="23">
        <f t="shared" si="30"/>
        <v>2105.9760410658778</v>
      </c>
      <c r="L374" s="23">
        <f t="shared" si="31"/>
        <v>45.89091458083918</v>
      </c>
      <c r="M374" s="23">
        <f t="shared" si="28"/>
        <v>1.5856280536875205</v>
      </c>
      <c r="N374" s="23">
        <f t="shared" si="29"/>
        <v>43.821978316274162</v>
      </c>
      <c r="P374">
        <v>85</v>
      </c>
      <c r="Q374" s="23">
        <v>-143.39592294807036</v>
      </c>
    </row>
    <row r="375" spans="9:17" x14ac:dyDescent="0.3">
      <c r="I375">
        <v>371</v>
      </c>
      <c r="J375" s="23">
        <f>'$ Portfolio Loss'!P375</f>
        <v>46.881997397573286</v>
      </c>
      <c r="K375" s="23">
        <f t="shared" si="30"/>
        <v>2111.4927794010891</v>
      </c>
      <c r="L375" s="23">
        <f t="shared" si="31"/>
        <v>45.950982355125873</v>
      </c>
      <c r="M375" s="23">
        <f t="shared" si="28"/>
        <v>1.583555298260978</v>
      </c>
      <c r="N375" s="23">
        <f t="shared" si="29"/>
        <v>74.240235371984554</v>
      </c>
      <c r="P375">
        <v>310</v>
      </c>
      <c r="Q375" s="23">
        <v>-143.42698705898735</v>
      </c>
    </row>
    <row r="376" spans="9:17" x14ac:dyDescent="0.3">
      <c r="I376">
        <v>372</v>
      </c>
      <c r="J376" s="23">
        <f>'$ Portfolio Loss'!P376</f>
        <v>97.491790212785418</v>
      </c>
      <c r="K376" s="23">
        <f t="shared" si="30"/>
        <v>2555.08216217065</v>
      </c>
      <c r="L376" s="23">
        <f t="shared" si="31"/>
        <v>50.547820548176453</v>
      </c>
      <c r="M376" s="23">
        <f t="shared" si="28"/>
        <v>1.4395461719146536</v>
      </c>
      <c r="N376" s="23">
        <f t="shared" si="29"/>
        <v>140.34393339392173</v>
      </c>
      <c r="P376">
        <v>363</v>
      </c>
      <c r="Q376" s="23">
        <v>-144.78258668285849</v>
      </c>
    </row>
    <row r="377" spans="9:17" x14ac:dyDescent="0.3">
      <c r="I377">
        <v>373</v>
      </c>
      <c r="J377" s="23">
        <f>'$ Portfolio Loss'!P377</f>
        <v>120.13492984050026</v>
      </c>
      <c r="K377" s="23">
        <f t="shared" si="30"/>
        <v>3267.721314507327</v>
      </c>
      <c r="L377" s="23">
        <f t="shared" si="31"/>
        <v>57.163986167055626</v>
      </c>
      <c r="M377" s="23">
        <f t="shared" si="28"/>
        <v>1.272932950408771</v>
      </c>
      <c r="N377" s="23">
        <f t="shared" si="29"/>
        <v>152.92371068901869</v>
      </c>
      <c r="P377">
        <v>129</v>
      </c>
      <c r="Q377" s="23">
        <v>-145.17093831977755</v>
      </c>
    </row>
    <row r="378" spans="9:17" x14ac:dyDescent="0.3">
      <c r="I378">
        <v>374</v>
      </c>
      <c r="J378" s="23">
        <f>'$ Portfolio Loss'!P378</f>
        <v>226.9763257771483</v>
      </c>
      <c r="K378" s="23">
        <f t="shared" si="30"/>
        <v>6162.7531834345391</v>
      </c>
      <c r="L378" s="23">
        <f t="shared" si="31"/>
        <v>78.503204924605072</v>
      </c>
      <c r="M378" s="23">
        <f t="shared" si="28"/>
        <v>0.92691657160546614</v>
      </c>
      <c r="N378" s="23">
        <f t="shared" si="29"/>
        <v>210.3881177249597</v>
      </c>
      <c r="P378">
        <v>359</v>
      </c>
      <c r="Q378" s="23">
        <v>-145.55972663923291</v>
      </c>
    </row>
    <row r="379" spans="9:17" x14ac:dyDescent="0.3">
      <c r="I379">
        <v>375</v>
      </c>
      <c r="J379" s="23">
        <f>'$ Portfolio Loss'!P379</f>
        <v>-4.8215970909950556</v>
      </c>
      <c r="K379" s="23">
        <f t="shared" si="30"/>
        <v>5794.3828603389393</v>
      </c>
      <c r="L379" s="23">
        <f t="shared" si="31"/>
        <v>76.120843796813887</v>
      </c>
      <c r="M379" s="23">
        <f t="shared" si="28"/>
        <v>0.95592636575321266</v>
      </c>
      <c r="N379" s="23">
        <f t="shared" si="29"/>
        <v>-4.6090917843211656</v>
      </c>
      <c r="P379">
        <v>287</v>
      </c>
      <c r="Q379" s="23">
        <v>-146.60888608538471</v>
      </c>
    </row>
    <row r="380" spans="9:17" x14ac:dyDescent="0.3">
      <c r="I380">
        <v>376</v>
      </c>
      <c r="J380" s="23">
        <f>'$ Portfolio Loss'!P380</f>
        <v>-66.845870180441125</v>
      </c>
      <c r="K380" s="23">
        <f t="shared" si="30"/>
        <v>5714.8221103294254</v>
      </c>
      <c r="L380" s="23">
        <f t="shared" si="31"/>
        <v>75.596442444928755</v>
      </c>
      <c r="M380" s="23">
        <f t="shared" si="28"/>
        <v>0.9625574857145629</v>
      </c>
      <c r="N380" s="23">
        <f t="shared" si="29"/>
        <v>-64.342992731287481</v>
      </c>
      <c r="P380">
        <v>385</v>
      </c>
      <c r="Q380" s="23">
        <v>-147.13267267553357</v>
      </c>
    </row>
    <row r="381" spans="9:17" x14ac:dyDescent="0.3">
      <c r="I381">
        <v>377</v>
      </c>
      <c r="J381" s="23">
        <f>'$ Portfolio Loss'!P381</f>
        <v>-73.785546109198549</v>
      </c>
      <c r="K381" s="23">
        <f t="shared" si="30"/>
        <v>5698.5911925876198</v>
      </c>
      <c r="L381" s="23">
        <f t="shared" si="31"/>
        <v>75.489013721121168</v>
      </c>
      <c r="M381" s="23">
        <f t="shared" si="28"/>
        <v>0.96392730520463821</v>
      </c>
      <c r="N381" s="23">
        <f t="shared" si="29"/>
        <v>-71.123902624092338</v>
      </c>
      <c r="P381">
        <v>315</v>
      </c>
      <c r="Q381" s="23">
        <v>-147.39368544806911</v>
      </c>
    </row>
    <row r="382" spans="9:17" x14ac:dyDescent="0.3">
      <c r="I382">
        <v>378</v>
      </c>
      <c r="J382" s="23">
        <f>'$ Portfolio Loss'!P382</f>
        <v>77.340378506802153</v>
      </c>
      <c r="K382" s="23">
        <f t="shared" si="30"/>
        <v>5715.5677698868876</v>
      </c>
      <c r="L382" s="23">
        <f t="shared" si="31"/>
        <v>75.601374126975287</v>
      </c>
      <c r="M382" s="23">
        <f t="shared" si="28"/>
        <v>0.96249469548719102</v>
      </c>
      <c r="N382" s="23">
        <f t="shared" si="29"/>
        <v>74.43970405976863</v>
      </c>
      <c r="P382">
        <v>235</v>
      </c>
      <c r="Q382" s="23">
        <v>-147.82056615399449</v>
      </c>
    </row>
    <row r="383" spans="9:17" x14ac:dyDescent="0.3">
      <c r="I383">
        <v>379</v>
      </c>
      <c r="J383" s="23">
        <f>'$ Portfolio Loss'!P383</f>
        <v>67.711990227668139</v>
      </c>
      <c r="K383" s="23">
        <f t="shared" si="30"/>
        <v>5647.728520929184</v>
      </c>
      <c r="L383" s="23">
        <f t="shared" si="31"/>
        <v>75.151370718897624</v>
      </c>
      <c r="M383" s="23">
        <f t="shared" si="28"/>
        <v>0.96825807530425401</v>
      </c>
      <c r="N383" s="23">
        <f t="shared" si="29"/>
        <v>65.562681332862411</v>
      </c>
      <c r="P383">
        <v>176</v>
      </c>
      <c r="Q383" s="23">
        <v>-147.97298135147599</v>
      </c>
    </row>
    <row r="384" spans="9:17" x14ac:dyDescent="0.3">
      <c r="I384">
        <v>380</v>
      </c>
      <c r="J384" s="23">
        <f>'$ Portfolio Loss'!P384</f>
        <v>-0.92461317281413358</v>
      </c>
      <c r="K384" s="23">
        <f t="shared" si="30"/>
        <v>5308.916104244593</v>
      </c>
      <c r="L384" s="23">
        <f t="shared" si="31"/>
        <v>72.86230921570214</v>
      </c>
      <c r="M384" s="23">
        <f t="shared" si="28"/>
        <v>0.99867712610287285</v>
      </c>
      <c r="N384" s="23">
        <f t="shared" si="29"/>
        <v>-0.9233900261828778</v>
      </c>
      <c r="P384">
        <v>5</v>
      </c>
      <c r="Q384" s="23">
        <v>-150.58320708599709</v>
      </c>
    </row>
    <row r="385" spans="9:17" x14ac:dyDescent="0.3">
      <c r="I385">
        <v>381</v>
      </c>
      <c r="J385" s="23">
        <f>'$ Portfolio Loss'!P385</f>
        <v>135.72321012450811</v>
      </c>
      <c r="K385" s="23">
        <f t="shared" si="30"/>
        <v>6095.6285239800009</v>
      </c>
      <c r="L385" s="23">
        <f t="shared" si="31"/>
        <v>78.074506235902646</v>
      </c>
      <c r="M385" s="23">
        <f t="shared" si="28"/>
        <v>0.93200617047635959</v>
      </c>
      <c r="N385" s="23">
        <f t="shared" si="29"/>
        <v>126.49486931290109</v>
      </c>
      <c r="P385">
        <v>295</v>
      </c>
      <c r="Q385" s="23">
        <v>-151.07365923168135</v>
      </c>
    </row>
    <row r="386" spans="9:17" x14ac:dyDescent="0.3">
      <c r="I386">
        <v>382</v>
      </c>
      <c r="J386" s="23">
        <f>'$ Portfolio Loss'!P386</f>
        <v>-1.5264783645034186</v>
      </c>
      <c r="K386" s="23">
        <f t="shared" si="30"/>
        <v>5730.0306207130388</v>
      </c>
      <c r="L386" s="23">
        <f t="shared" si="31"/>
        <v>75.696965729895936</v>
      </c>
      <c r="M386" s="23">
        <f t="shared" si="28"/>
        <v>0.96127923843607832</v>
      </c>
      <c r="N386" s="23">
        <f t="shared" si="29"/>
        <v>-1.4673719597189965</v>
      </c>
      <c r="P386">
        <v>80</v>
      </c>
      <c r="Q386" s="23">
        <v>-151.28280125092775</v>
      </c>
    </row>
    <row r="387" spans="9:17" x14ac:dyDescent="0.3">
      <c r="I387">
        <v>383</v>
      </c>
      <c r="J387" s="23">
        <f>'$ Portfolio Loss'!P387</f>
        <v>-101.16648459841599</v>
      </c>
      <c r="K387" s="23">
        <f t="shared" si="30"/>
        <v>6000.3082398303495</v>
      </c>
      <c r="L387" s="23">
        <f t="shared" si="31"/>
        <v>77.461656578144186</v>
      </c>
      <c r="M387" s="23">
        <f t="shared" si="28"/>
        <v>0.93937987880944951</v>
      </c>
      <c r="N387" s="23">
        <f t="shared" si="29"/>
        <v>-95.033760041638061</v>
      </c>
      <c r="P387">
        <v>97</v>
      </c>
      <c r="Q387" s="23">
        <v>-151.75909982342304</v>
      </c>
    </row>
    <row r="388" spans="9:17" x14ac:dyDescent="0.3">
      <c r="I388">
        <v>384</v>
      </c>
      <c r="J388" s="23">
        <f>'$ Portfolio Loss'!P388</f>
        <v>-94.314899560125923</v>
      </c>
      <c r="K388" s="23">
        <f t="shared" si="30"/>
        <v>6174.0077621827277</v>
      </c>
      <c r="L388" s="23">
        <f t="shared" si="31"/>
        <v>78.574854515822864</v>
      </c>
      <c r="M388" s="23">
        <f t="shared" si="28"/>
        <v>0.92607134963391102</v>
      </c>
      <c r="N388" s="23">
        <f t="shared" si="29"/>
        <v>-87.34232632623258</v>
      </c>
      <c r="P388">
        <v>174</v>
      </c>
      <c r="Q388" s="23">
        <v>-151.9376909655299</v>
      </c>
    </row>
    <row r="389" spans="9:17" x14ac:dyDescent="0.3">
      <c r="I389">
        <v>385</v>
      </c>
      <c r="J389" s="23">
        <f>'$ Portfolio Loss'!P389</f>
        <v>50.882254436219228</v>
      </c>
      <c r="K389" s="23">
        <f t="shared" si="30"/>
        <v>5958.9075254424924</v>
      </c>
      <c r="L389" s="23">
        <f t="shared" si="31"/>
        <v>77.193960420764085</v>
      </c>
      <c r="M389" s="23">
        <f t="shared" si="28"/>
        <v>0.94263749614773329</v>
      </c>
      <c r="N389" s="23">
        <f t="shared" si="29"/>
        <v>47.963520920109588</v>
      </c>
      <c r="P389">
        <v>215</v>
      </c>
      <c r="Q389" s="23">
        <v>-153.12502297755765</v>
      </c>
    </row>
    <row r="390" spans="9:17" x14ac:dyDescent="0.3">
      <c r="I390">
        <v>386</v>
      </c>
      <c r="J390" s="23">
        <f>'$ Portfolio Loss'!P390</f>
        <v>-54.296571668201068</v>
      </c>
      <c r="K390" s="23">
        <f t="shared" si="30"/>
        <v>5778.2601356111491</v>
      </c>
      <c r="L390" s="23">
        <f t="shared" si="31"/>
        <v>76.014867858933684</v>
      </c>
      <c r="M390" s="23">
        <f t="shared" ref="M390:M453" si="32">$M$2/L390</f>
        <v>0.95725906810485151</v>
      </c>
      <c r="N390" s="23">
        <f t="shared" ref="N390:N453" si="33">M390*J390</f>
        <v>-51.975885596390434</v>
      </c>
      <c r="P390">
        <v>16</v>
      </c>
      <c r="Q390" s="23">
        <v>-153.24444731408289</v>
      </c>
    </row>
    <row r="391" spans="9:17" x14ac:dyDescent="0.3">
      <c r="I391">
        <v>387</v>
      </c>
      <c r="J391" s="23">
        <f>'$ Portfolio Loss'!P391</f>
        <v>18.128821944152151</v>
      </c>
      <c r="K391" s="23">
        <f t="shared" ref="K391:K454" si="34">K390*$K$2+(1-$K$2)*J391^2</f>
        <v>5451.2837785794463</v>
      </c>
      <c r="L391" s="23">
        <f t="shared" ref="L391:L454" si="35">SQRT(K391)</f>
        <v>73.832809634873342</v>
      </c>
      <c r="M391" s="23">
        <f t="shared" si="32"/>
        <v>0.98554994627194659</v>
      </c>
      <c r="N391" s="23">
        <f t="shared" si="33"/>
        <v>17.866859493032837</v>
      </c>
      <c r="P391">
        <v>196</v>
      </c>
      <c r="Q391" s="23">
        <v>-153.90044045744693</v>
      </c>
    </row>
    <row r="392" spans="9:17" x14ac:dyDescent="0.3">
      <c r="I392">
        <v>388</v>
      </c>
      <c r="J392" s="23">
        <f>'$ Portfolio Loss'!P392</f>
        <v>111.6685927713097</v>
      </c>
      <c r="K392" s="23">
        <f t="shared" si="34"/>
        <v>5872.3992285561562</v>
      </c>
      <c r="L392" s="23">
        <f t="shared" si="35"/>
        <v>76.631581143521743</v>
      </c>
      <c r="M392" s="23">
        <f t="shared" si="32"/>
        <v>0.94955526798376322</v>
      </c>
      <c r="N392" s="23">
        <f t="shared" si="33"/>
        <v>106.03550053433071</v>
      </c>
      <c r="P392">
        <v>122</v>
      </c>
      <c r="Q392" s="23">
        <v>-154.38684965264477</v>
      </c>
    </row>
    <row r="393" spans="9:17" x14ac:dyDescent="0.3">
      <c r="I393">
        <v>389</v>
      </c>
      <c r="J393" s="23">
        <f>'$ Portfolio Loss'!P393</f>
        <v>47.658805699786171</v>
      </c>
      <c r="K393" s="23">
        <f t="shared" si="34"/>
        <v>5656.3369804865843</v>
      </c>
      <c r="L393" s="23">
        <f t="shared" si="35"/>
        <v>75.208623046074877</v>
      </c>
      <c r="M393" s="23">
        <f t="shared" si="32"/>
        <v>0.96752099189713758</v>
      </c>
      <c r="N393" s="23">
        <f t="shared" si="33"/>
        <v>46.110894963290072</v>
      </c>
      <c r="P393">
        <v>496</v>
      </c>
      <c r="Q393" s="23">
        <v>-154.62571501942494</v>
      </c>
    </row>
    <row r="394" spans="9:17" x14ac:dyDescent="0.3">
      <c r="I394">
        <v>390</v>
      </c>
      <c r="J394" s="23">
        <f>'$ Portfolio Loss'!P394</f>
        <v>-12.196408355042877</v>
      </c>
      <c r="K394" s="23">
        <f t="shared" si="34"/>
        <v>5325.8819042631658</v>
      </c>
      <c r="L394" s="23">
        <f t="shared" si="35"/>
        <v>72.978640054903508</v>
      </c>
      <c r="M394" s="23">
        <f t="shared" si="32"/>
        <v>0.99708519525730832</v>
      </c>
      <c r="N394" s="23">
        <f t="shared" si="33"/>
        <v>-12.160858206125793</v>
      </c>
      <c r="P394">
        <v>214</v>
      </c>
      <c r="Q394" s="23">
        <v>-154.85493758446341</v>
      </c>
    </row>
    <row r="395" spans="9:17" x14ac:dyDescent="0.3">
      <c r="I395">
        <v>391</v>
      </c>
      <c r="J395" s="23">
        <f>'$ Portfolio Loss'!P395</f>
        <v>-45.456983885202135</v>
      </c>
      <c r="K395" s="23">
        <f t="shared" si="34"/>
        <v>5130.3092330437476</v>
      </c>
      <c r="L395" s="23">
        <f t="shared" si="35"/>
        <v>71.626177009831736</v>
      </c>
      <c r="M395" s="23">
        <f t="shared" si="32"/>
        <v>1.0159124025112789</v>
      </c>
      <c r="N395" s="23">
        <f t="shared" si="33"/>
        <v>-46.180313709732189</v>
      </c>
      <c r="P395">
        <v>187</v>
      </c>
      <c r="Q395" s="23">
        <v>-156.18168656347507</v>
      </c>
    </row>
    <row r="396" spans="9:17" x14ac:dyDescent="0.3">
      <c r="I396">
        <v>392</v>
      </c>
      <c r="J396" s="23">
        <f>'$ Portfolio Loss'!P396</f>
        <v>-67.673864083053559</v>
      </c>
      <c r="K396" s="23">
        <f t="shared" si="34"/>
        <v>5097.2757918570187</v>
      </c>
      <c r="L396" s="23">
        <f t="shared" si="35"/>
        <v>71.39520846567379</v>
      </c>
      <c r="M396" s="23">
        <f t="shared" si="32"/>
        <v>1.0191989509175747</v>
      </c>
      <c r="N396" s="23">
        <f t="shared" si="33"/>
        <v>-68.973131277986724</v>
      </c>
      <c r="P396">
        <v>48</v>
      </c>
      <c r="Q396" s="23">
        <v>-156.93589520881105</v>
      </c>
    </row>
    <row r="397" spans="9:17" x14ac:dyDescent="0.3">
      <c r="I397">
        <v>393</v>
      </c>
      <c r="J397" s="23">
        <f>'$ Portfolio Loss'!P397</f>
        <v>-42.502698805903492</v>
      </c>
      <c r="K397" s="23">
        <f t="shared" si="34"/>
        <v>4899.828008692718</v>
      </c>
      <c r="L397" s="23">
        <f t="shared" si="35"/>
        <v>69.998771479881825</v>
      </c>
      <c r="M397" s="23">
        <f t="shared" si="32"/>
        <v>1.0395314093429449</v>
      </c>
      <c r="N397" s="23">
        <f t="shared" si="33"/>
        <v>-44.182890390579558</v>
      </c>
      <c r="P397">
        <v>362</v>
      </c>
      <c r="Q397" s="23">
        <v>-157.80827387647722</v>
      </c>
    </row>
    <row r="398" spans="9:17" x14ac:dyDescent="0.3">
      <c r="I398">
        <v>394</v>
      </c>
      <c r="J398" s="23">
        <f>'$ Portfolio Loss'!P398</f>
        <v>65.230333076477109</v>
      </c>
      <c r="K398" s="23">
        <f t="shared" si="34"/>
        <v>4861.1381093672435</v>
      </c>
      <c r="L398" s="23">
        <f t="shared" si="35"/>
        <v>69.721862492099589</v>
      </c>
      <c r="M398" s="23">
        <f t="shared" si="32"/>
        <v>1.0436600367209299</v>
      </c>
      <c r="N398" s="23">
        <f t="shared" si="33"/>
        <v>68.078291813914589</v>
      </c>
      <c r="P398">
        <v>86</v>
      </c>
      <c r="Q398" s="23">
        <v>-159.09903083666052</v>
      </c>
    </row>
    <row r="399" spans="9:17" x14ac:dyDescent="0.3">
      <c r="I399">
        <v>395</v>
      </c>
      <c r="J399" s="23">
        <f>'$ Portfolio Loss'!P399</f>
        <v>-29.04128729428885</v>
      </c>
      <c r="K399" s="23">
        <f t="shared" si="34"/>
        <v>4620.0736048677736</v>
      </c>
      <c r="L399" s="23">
        <f t="shared" si="35"/>
        <v>67.971123316212555</v>
      </c>
      <c r="M399" s="23">
        <f t="shared" si="32"/>
        <v>1.0705416950406654</v>
      </c>
      <c r="N399" s="23">
        <f t="shared" si="33"/>
        <v>-31.089908926190926</v>
      </c>
      <c r="P399">
        <v>19</v>
      </c>
      <c r="Q399" s="23">
        <v>-161.06621374717869</v>
      </c>
    </row>
    <row r="400" spans="9:17" x14ac:dyDescent="0.3">
      <c r="I400">
        <v>396</v>
      </c>
      <c r="J400" s="23">
        <f>'$ Portfolio Loss'!P400</f>
        <v>-159.82527856132583</v>
      </c>
      <c r="K400" s="23">
        <f t="shared" si="34"/>
        <v>5875.5163686080323</v>
      </c>
      <c r="L400" s="23">
        <f t="shared" si="35"/>
        <v>76.651916927158666</v>
      </c>
      <c r="M400" s="23">
        <f t="shared" si="32"/>
        <v>0.94930335059858717</v>
      </c>
      <c r="N400" s="23">
        <f t="shared" si="33"/>
        <v>-151.72267244861916</v>
      </c>
      <c r="P400">
        <v>169</v>
      </c>
      <c r="Q400" s="23">
        <v>-163.89173468719548</v>
      </c>
    </row>
    <row r="401" spans="9:17" x14ac:dyDescent="0.3">
      <c r="I401">
        <v>397</v>
      </c>
      <c r="J401" s="23">
        <f>'$ Portfolio Loss'!P401</f>
        <v>-18.562607575804577</v>
      </c>
      <c r="K401" s="23">
        <f t="shared" si="34"/>
        <v>5543.6596104923492</v>
      </c>
      <c r="L401" s="23">
        <f t="shared" si="35"/>
        <v>74.455756060175418</v>
      </c>
      <c r="M401" s="23">
        <f t="shared" si="32"/>
        <v>0.97730417927589908</v>
      </c>
      <c r="N401" s="23">
        <f t="shared" si="33"/>
        <v>-18.14131396209228</v>
      </c>
      <c r="P401">
        <v>458</v>
      </c>
      <c r="Q401" s="23">
        <v>-163.95018898509025</v>
      </c>
    </row>
    <row r="402" spans="9:17" x14ac:dyDescent="0.3">
      <c r="I402">
        <v>398</v>
      </c>
      <c r="J402" s="23">
        <f>'$ Portfolio Loss'!P402</f>
        <v>-61.697542276444437</v>
      </c>
      <c r="K402" s="23">
        <f t="shared" si="34"/>
        <v>5439.4352372400272</v>
      </c>
      <c r="L402" s="23">
        <f t="shared" si="35"/>
        <v>73.752526988843087</v>
      </c>
      <c r="M402" s="23">
        <f t="shared" si="32"/>
        <v>0.98662275774989983</v>
      </c>
      <c r="N402" s="23">
        <f t="shared" si="33"/>
        <v>-60.872199307176643</v>
      </c>
      <c r="P402">
        <v>433</v>
      </c>
      <c r="Q402" s="23">
        <v>-164.46096153252535</v>
      </c>
    </row>
    <row r="403" spans="9:17" x14ac:dyDescent="0.3">
      <c r="I403">
        <v>399</v>
      </c>
      <c r="J403" s="23">
        <f>'$ Portfolio Loss'!P403</f>
        <v>-12.917521512114035</v>
      </c>
      <c r="K403" s="23">
        <f t="shared" si="34"/>
        <v>5123.0808647265812</v>
      </c>
      <c r="L403" s="23">
        <f t="shared" si="35"/>
        <v>71.575700239163439</v>
      </c>
      <c r="M403" s="23">
        <f t="shared" si="32"/>
        <v>1.0166288464606819</v>
      </c>
      <c r="N403" s="23">
        <f t="shared" si="33"/>
        <v>-13.132324993991535</v>
      </c>
      <c r="P403">
        <v>124</v>
      </c>
      <c r="Q403" s="23">
        <v>-165.07021634339239</v>
      </c>
    </row>
    <row r="404" spans="9:17" x14ac:dyDescent="0.3">
      <c r="I404">
        <v>400</v>
      </c>
      <c r="J404" s="23">
        <f>'$ Portfolio Loss'!P404</f>
        <v>-32.972840392661965</v>
      </c>
      <c r="K404" s="23">
        <f t="shared" si="34"/>
        <v>4880.9285050565841</v>
      </c>
      <c r="L404" s="23">
        <f t="shared" si="35"/>
        <v>69.863642225814303</v>
      </c>
      <c r="M404" s="23">
        <f t="shared" si="32"/>
        <v>1.0415420560749065</v>
      </c>
      <c r="N404" s="23">
        <f t="shared" si="33"/>
        <v>-34.342599977202866</v>
      </c>
      <c r="P404">
        <v>409</v>
      </c>
      <c r="Q404" s="23">
        <v>-165.8723350250624</v>
      </c>
    </row>
    <row r="405" spans="9:17" x14ac:dyDescent="0.3">
      <c r="I405">
        <v>401</v>
      </c>
      <c r="J405" s="23">
        <f>'$ Portfolio Loss'!P405</f>
        <v>-82.787975343178914</v>
      </c>
      <c r="K405" s="23">
        <f t="shared" si="34"/>
        <v>4999.3037264385566</v>
      </c>
      <c r="L405" s="23">
        <f t="shared" si="35"/>
        <v>70.705754549672662</v>
      </c>
      <c r="M405" s="23">
        <f t="shared" si="32"/>
        <v>1.0291371902075708</v>
      </c>
      <c r="N405" s="23">
        <f t="shared" si="33"/>
        <v>-85.200184327652792</v>
      </c>
      <c r="P405">
        <v>15</v>
      </c>
      <c r="Q405" s="23">
        <v>-166.07889253661534</v>
      </c>
    </row>
    <row r="406" spans="9:17" x14ac:dyDescent="0.3">
      <c r="I406">
        <v>402</v>
      </c>
      <c r="J406" s="23">
        <f>'$ Portfolio Loss'!P406</f>
        <v>-3.3921996143089928</v>
      </c>
      <c r="K406" s="23">
        <f t="shared" si="34"/>
        <v>4700.035923945642</v>
      </c>
      <c r="L406" s="23">
        <f t="shared" si="35"/>
        <v>68.556808005811078</v>
      </c>
      <c r="M406" s="23">
        <f t="shared" si="32"/>
        <v>1.0613959967708595</v>
      </c>
      <c r="N406" s="23">
        <f t="shared" si="33"/>
        <v>-3.6004670908752185</v>
      </c>
      <c r="P406">
        <v>91</v>
      </c>
      <c r="Q406" s="23">
        <v>-166.68692845357154</v>
      </c>
    </row>
    <row r="407" spans="9:17" x14ac:dyDescent="0.3">
      <c r="I407">
        <v>403</v>
      </c>
      <c r="J407" s="23">
        <f>'$ Portfolio Loss'!P407</f>
        <v>-40.768016787827946</v>
      </c>
      <c r="K407" s="23">
        <f t="shared" si="34"/>
        <v>4517.7556400776612</v>
      </c>
      <c r="L407" s="23">
        <f t="shared" si="35"/>
        <v>67.214251763131756</v>
      </c>
      <c r="M407" s="23">
        <f t="shared" si="32"/>
        <v>1.0825966169375663</v>
      </c>
      <c r="N407" s="23">
        <f t="shared" si="33"/>
        <v>-44.135317053756438</v>
      </c>
      <c r="P407">
        <v>77</v>
      </c>
      <c r="Q407" s="23">
        <v>-168.76975601366647</v>
      </c>
    </row>
    <row r="408" spans="9:17" x14ac:dyDescent="0.3">
      <c r="I408">
        <v>404</v>
      </c>
      <c r="J408" s="23">
        <f>'$ Portfolio Loss'!P408</f>
        <v>20.160332983850822</v>
      </c>
      <c r="K408" s="23">
        <f t="shared" si="34"/>
        <v>4271.0766432341861</v>
      </c>
      <c r="L408" s="23">
        <f t="shared" si="35"/>
        <v>65.353474607201917</v>
      </c>
      <c r="M408" s="23">
        <f t="shared" si="32"/>
        <v>1.1134208549140785</v>
      </c>
      <c r="N408" s="23">
        <f t="shared" si="33"/>
        <v>22.446935186231677</v>
      </c>
      <c r="P408">
        <v>209</v>
      </c>
      <c r="Q408" s="23">
        <v>-170.47408412785384</v>
      </c>
    </row>
    <row r="409" spans="9:17" x14ac:dyDescent="0.3">
      <c r="I409">
        <v>405</v>
      </c>
      <c r="J409" s="23">
        <f>'$ Portfolio Loss'!P409</f>
        <v>62.040037966264208</v>
      </c>
      <c r="K409" s="23">
        <f t="shared" si="34"/>
        <v>4245.7500232914654</v>
      </c>
      <c r="L409" s="23">
        <f t="shared" si="35"/>
        <v>65.159420065647183</v>
      </c>
      <c r="M409" s="23">
        <f t="shared" si="32"/>
        <v>1.1167367894840938</v>
      </c>
      <c r="N409" s="23">
        <f t="shared" si="33"/>
        <v>69.282392817917184</v>
      </c>
      <c r="P409">
        <v>51</v>
      </c>
      <c r="Q409" s="23">
        <v>-171.94719708294326</v>
      </c>
    </row>
    <row r="410" spans="9:17" x14ac:dyDescent="0.3">
      <c r="I410">
        <v>406</v>
      </c>
      <c r="J410" s="23">
        <f>'$ Portfolio Loss'!P410</f>
        <v>-11.028375910926115</v>
      </c>
      <c r="K410" s="23">
        <f t="shared" si="34"/>
        <v>3998.3025264079392</v>
      </c>
      <c r="L410" s="23">
        <f t="shared" si="35"/>
        <v>63.232132072293268</v>
      </c>
      <c r="M410" s="23">
        <f t="shared" si="32"/>
        <v>1.1507744430563094</v>
      </c>
      <c r="N410" s="23">
        <f t="shared" si="33"/>
        <v>-12.69117314671162</v>
      </c>
      <c r="P410">
        <v>18</v>
      </c>
      <c r="Q410" s="23">
        <v>-172.98281120239557</v>
      </c>
    </row>
    <row r="411" spans="9:17" x14ac:dyDescent="0.3">
      <c r="I411">
        <v>407</v>
      </c>
      <c r="J411" s="23">
        <f>'$ Portfolio Loss'!P411</f>
        <v>14.122441934709059</v>
      </c>
      <c r="K411" s="23">
        <f t="shared" si="34"/>
        <v>3770.3709767954165</v>
      </c>
      <c r="L411" s="23">
        <f t="shared" si="35"/>
        <v>61.403346625370645</v>
      </c>
      <c r="M411" s="23">
        <f t="shared" si="32"/>
        <v>1.1850481377295297</v>
      </c>
      <c r="N411" s="23">
        <f t="shared" si="33"/>
        <v>16.735773514920385</v>
      </c>
      <c r="P411">
        <v>432</v>
      </c>
      <c r="Q411" s="23">
        <v>-174.11623371891176</v>
      </c>
    </row>
    <row r="412" spans="9:17" x14ac:dyDescent="0.3">
      <c r="I412">
        <v>408</v>
      </c>
      <c r="J412" s="23">
        <f>'$ Portfolio Loss'!P412</f>
        <v>-8.0178639760870283</v>
      </c>
      <c r="K412" s="23">
        <f t="shared" si="34"/>
        <v>3548.0058867520333</v>
      </c>
      <c r="L412" s="23">
        <f t="shared" si="35"/>
        <v>59.565139861768422</v>
      </c>
      <c r="M412" s="23">
        <f t="shared" si="32"/>
        <v>1.2216192514215973</v>
      </c>
      <c r="N412" s="23">
        <f t="shared" si="33"/>
        <v>-9.7947769884676266</v>
      </c>
      <c r="P412">
        <v>412</v>
      </c>
      <c r="Q412" s="23">
        <v>-175.54584997217952</v>
      </c>
    </row>
    <row r="413" spans="9:17" x14ac:dyDescent="0.3">
      <c r="I413">
        <v>409</v>
      </c>
      <c r="J413" s="23">
        <f>'$ Portfolio Loss'!P413</f>
        <v>85.948748993903791</v>
      </c>
      <c r="K413" s="23">
        <f t="shared" si="34"/>
        <v>3778.3567807639365</v>
      </c>
      <c r="L413" s="23">
        <f t="shared" si="35"/>
        <v>61.468339661682229</v>
      </c>
      <c r="M413" s="23">
        <f t="shared" si="32"/>
        <v>1.1837951369640893</v>
      </c>
      <c r="N413" s="23">
        <f t="shared" si="33"/>
        <v>101.74571108713047</v>
      </c>
      <c r="P413">
        <v>37</v>
      </c>
      <c r="Q413" s="23">
        <v>-176.14681582536204</v>
      </c>
    </row>
    <row r="414" spans="9:17" x14ac:dyDescent="0.3">
      <c r="I414">
        <v>410</v>
      </c>
      <c r="J414" s="23">
        <f>'$ Portfolio Loss'!P414</f>
        <v>-14.455337339792095</v>
      </c>
      <c r="K414" s="23">
        <f t="shared" si="34"/>
        <v>3564.1927805745313</v>
      </c>
      <c r="L414" s="23">
        <f t="shared" si="35"/>
        <v>59.700860802626046</v>
      </c>
      <c r="M414" s="23">
        <f t="shared" si="32"/>
        <v>1.2188420835224465</v>
      </c>
      <c r="N414" s="23">
        <f t="shared" si="33"/>
        <v>-17.618773481252017</v>
      </c>
      <c r="P414">
        <v>239</v>
      </c>
      <c r="Q414" s="23">
        <v>-177.53597432418042</v>
      </c>
    </row>
    <row r="415" spans="9:17" x14ac:dyDescent="0.3">
      <c r="I415">
        <v>411</v>
      </c>
      <c r="J415" s="23">
        <f>'$ Portfolio Loss'!P415</f>
        <v>82.784639291330677</v>
      </c>
      <c r="K415" s="23">
        <f t="shared" si="34"/>
        <v>3761.5390038958035</v>
      </c>
      <c r="L415" s="23">
        <f t="shared" si="35"/>
        <v>61.331386776232307</v>
      </c>
      <c r="M415" s="23">
        <f t="shared" si="32"/>
        <v>1.1864385495511931</v>
      </c>
      <c r="N415" s="23">
        <f t="shared" si="33"/>
        <v>98.218887365925085</v>
      </c>
      <c r="P415">
        <v>232</v>
      </c>
      <c r="Q415" s="23">
        <v>-178.48303589457691</v>
      </c>
    </row>
    <row r="416" spans="9:17" x14ac:dyDescent="0.3">
      <c r="I416">
        <v>412</v>
      </c>
      <c r="J416" s="23">
        <f>'$ Portfolio Loss'!P416</f>
        <v>14.83914786366222</v>
      </c>
      <c r="K416" s="23">
        <f t="shared" si="34"/>
        <v>3549.0586822212331</v>
      </c>
      <c r="L416" s="23">
        <f t="shared" si="35"/>
        <v>59.573976552025073</v>
      </c>
      <c r="M416" s="23">
        <f t="shared" si="32"/>
        <v>1.2214380469500954</v>
      </c>
      <c r="N416" s="23">
        <f t="shared" si="33"/>
        <v>18.12509978499526</v>
      </c>
      <c r="P416">
        <v>210</v>
      </c>
      <c r="Q416" s="23">
        <v>-178.79922436804171</v>
      </c>
    </row>
    <row r="417" spans="9:17" x14ac:dyDescent="0.3">
      <c r="I417">
        <v>413</v>
      </c>
      <c r="J417" s="23">
        <f>'$ Portfolio Loss'!P417</f>
        <v>-42.023480715561163</v>
      </c>
      <c r="K417" s="23">
        <f t="shared" si="34"/>
        <v>3442.0735371750275</v>
      </c>
      <c r="L417" s="23">
        <f t="shared" si="35"/>
        <v>58.669187289198298</v>
      </c>
      <c r="M417" s="23">
        <f t="shared" si="32"/>
        <v>1.2402749199519483</v>
      </c>
      <c r="N417" s="23">
        <f t="shared" si="33"/>
        <v>-52.120669180594867</v>
      </c>
      <c r="P417">
        <v>480</v>
      </c>
      <c r="Q417" s="23">
        <v>-180.83883951586074</v>
      </c>
    </row>
    <row r="418" spans="9:17" x14ac:dyDescent="0.3">
      <c r="I418">
        <v>414</v>
      </c>
      <c r="J418" s="23">
        <f>'$ Portfolio Loss'!P418</f>
        <v>45.41588796790893</v>
      </c>
      <c r="K418" s="23">
        <f t="shared" si="34"/>
        <v>3359.3052977393454</v>
      </c>
      <c r="L418" s="23">
        <f t="shared" si="35"/>
        <v>57.959514298683914</v>
      </c>
      <c r="M418" s="23">
        <f t="shared" si="32"/>
        <v>1.2554612033801771</v>
      </c>
      <c r="N418" s="23">
        <f t="shared" si="33"/>
        <v>57.017885360770251</v>
      </c>
      <c r="P418">
        <v>212</v>
      </c>
      <c r="Q418" s="23">
        <v>-181.81812413166287</v>
      </c>
    </row>
    <row r="419" spans="9:17" x14ac:dyDescent="0.3">
      <c r="I419">
        <v>415</v>
      </c>
      <c r="J419" s="23">
        <f>'$ Portfolio Loss'!P419</f>
        <v>122.17676990102154</v>
      </c>
      <c r="K419" s="23">
        <f t="shared" si="34"/>
        <v>4053.3767660818148</v>
      </c>
      <c r="L419" s="23">
        <f t="shared" si="35"/>
        <v>63.666135158982399</v>
      </c>
      <c r="M419" s="23">
        <f t="shared" si="32"/>
        <v>1.1429297755714332</v>
      </c>
      <c r="N419" s="23">
        <f t="shared" si="33"/>
        <v>139.63946820301717</v>
      </c>
      <c r="P419">
        <v>397</v>
      </c>
      <c r="Q419" s="23">
        <v>-184.74598332973889</v>
      </c>
    </row>
    <row r="420" spans="9:17" x14ac:dyDescent="0.3">
      <c r="I420">
        <v>416</v>
      </c>
      <c r="J420" s="23">
        <f>'$ Portfolio Loss'!P420</f>
        <v>-32.235273064254216</v>
      </c>
      <c r="K420" s="23">
        <f t="shared" si="34"/>
        <v>3872.5209298885275</v>
      </c>
      <c r="L420" s="23">
        <f t="shared" si="35"/>
        <v>62.22958243382746</v>
      </c>
      <c r="M420" s="23">
        <f t="shared" si="32"/>
        <v>1.169313993808857</v>
      </c>
      <c r="N420" s="23">
        <f t="shared" si="33"/>
        <v>-37.69315588828217</v>
      </c>
      <c r="P420">
        <v>289</v>
      </c>
      <c r="Q420" s="23">
        <v>-185.03412802224216</v>
      </c>
    </row>
    <row r="421" spans="9:17" x14ac:dyDescent="0.3">
      <c r="I421">
        <v>417</v>
      </c>
      <c r="J421" s="23">
        <f>'$ Portfolio Loss'!P421</f>
        <v>-17.226117058848104</v>
      </c>
      <c r="K421" s="23">
        <f t="shared" si="34"/>
        <v>3657.9740206307238</v>
      </c>
      <c r="L421" s="23">
        <f t="shared" si="35"/>
        <v>60.481187328215739</v>
      </c>
      <c r="M421" s="23">
        <f t="shared" si="32"/>
        <v>1.2031166182944537</v>
      </c>
      <c r="N421" s="23">
        <f t="shared" si="33"/>
        <v>-20.725027702185731</v>
      </c>
      <c r="P421">
        <v>79</v>
      </c>
      <c r="Q421" s="23">
        <v>-185.59713581181757</v>
      </c>
    </row>
    <row r="422" spans="9:17" x14ac:dyDescent="0.3">
      <c r="I422">
        <v>418</v>
      </c>
      <c r="J422" s="23">
        <f>'$ Portfolio Loss'!P422</f>
        <v>-29.493453907487492</v>
      </c>
      <c r="K422" s="23">
        <f t="shared" si="34"/>
        <v>3490.6874087964657</v>
      </c>
      <c r="L422" s="23">
        <f t="shared" si="35"/>
        <v>59.08203964654966</v>
      </c>
      <c r="M422" s="23">
        <f t="shared" si="32"/>
        <v>1.2316081503629293</v>
      </c>
      <c r="N422" s="23">
        <f t="shared" si="33"/>
        <v>-36.324378214814978</v>
      </c>
      <c r="P422">
        <v>33</v>
      </c>
      <c r="Q422" s="23">
        <v>-186.35272978634475</v>
      </c>
    </row>
    <row r="423" spans="9:17" x14ac:dyDescent="0.3">
      <c r="I423">
        <v>419</v>
      </c>
      <c r="J423" s="23">
        <f>'$ Portfolio Loss'!P423</f>
        <v>122.27976669996679</v>
      </c>
      <c r="K423" s="23">
        <f t="shared" si="34"/>
        <v>4178.3866449205771</v>
      </c>
      <c r="L423" s="23">
        <f t="shared" si="35"/>
        <v>64.640441249426644</v>
      </c>
      <c r="M423" s="23">
        <f t="shared" si="32"/>
        <v>1.1257027359695153</v>
      </c>
      <c r="N423" s="23">
        <f t="shared" si="33"/>
        <v>137.65066792786664</v>
      </c>
      <c r="P423">
        <v>454</v>
      </c>
      <c r="Q423" s="23">
        <v>-189.2193568710195</v>
      </c>
    </row>
    <row r="424" spans="9:17" x14ac:dyDescent="0.3">
      <c r="I424">
        <v>420</v>
      </c>
      <c r="J424" s="23">
        <f>'$ Portfolio Loss'!P424</f>
        <v>-45.425148246118624</v>
      </c>
      <c r="K424" s="23">
        <f t="shared" si="34"/>
        <v>4051.4900918162539</v>
      </c>
      <c r="L424" s="23">
        <f t="shared" si="35"/>
        <v>63.651316497117747</v>
      </c>
      <c r="M424" s="23">
        <f t="shared" si="32"/>
        <v>1.1431958610322108</v>
      </c>
      <c r="N424" s="23">
        <f t="shared" si="33"/>
        <v>-51.929841461737404</v>
      </c>
      <c r="P424">
        <v>357</v>
      </c>
      <c r="Q424" s="23">
        <v>-190.9640454964966</v>
      </c>
    </row>
    <row r="425" spans="9:17" x14ac:dyDescent="0.3">
      <c r="I425">
        <v>421</v>
      </c>
      <c r="J425" s="23">
        <f>'$ Portfolio Loss'!P425</f>
        <v>-110.39226092801437</v>
      </c>
      <c r="K425" s="23">
        <f t="shared" si="34"/>
        <v>4539.5877626752081</v>
      </c>
      <c r="L425" s="23">
        <f t="shared" si="35"/>
        <v>67.376462972429835</v>
      </c>
      <c r="M425" s="23">
        <f t="shared" si="32"/>
        <v>1.0799902274260345</v>
      </c>
      <c r="N425" s="23">
        <f t="shared" si="33"/>
        <v>-119.22256298572037</v>
      </c>
      <c r="P425">
        <v>54</v>
      </c>
      <c r="Q425" s="23">
        <v>-193.54112391388858</v>
      </c>
    </row>
    <row r="426" spans="9:17" x14ac:dyDescent="0.3">
      <c r="I426">
        <v>422</v>
      </c>
      <c r="J426" s="23">
        <f>'$ Portfolio Loss'!P426</f>
        <v>-132.72137228944484</v>
      </c>
      <c r="K426" s="23">
        <f t="shared" si="34"/>
        <v>5324.1102566583013</v>
      </c>
      <c r="L426" s="23">
        <f t="shared" si="35"/>
        <v>72.96650092102746</v>
      </c>
      <c r="M426" s="23">
        <f t="shared" si="32"/>
        <v>0.99725107618236664</v>
      </c>
      <c r="N426" s="23">
        <f t="shared" si="33"/>
        <v>-132.3565313480494</v>
      </c>
      <c r="P426">
        <v>108</v>
      </c>
      <c r="Q426" s="23">
        <v>-196.52379861800802</v>
      </c>
    </row>
    <row r="427" spans="9:17" x14ac:dyDescent="0.3">
      <c r="I427">
        <v>423</v>
      </c>
      <c r="J427" s="23">
        <f>'$ Portfolio Loss'!P427</f>
        <v>-37.005160831489775</v>
      </c>
      <c r="K427" s="23">
        <f t="shared" si="34"/>
        <v>5086.8265569486684</v>
      </c>
      <c r="L427" s="23">
        <f t="shared" si="35"/>
        <v>71.321992098851723</v>
      </c>
      <c r="M427" s="23">
        <f t="shared" si="32"/>
        <v>1.0202452206873762</v>
      </c>
      <c r="N427" s="23">
        <f t="shared" si="33"/>
        <v>-37.754338479095139</v>
      </c>
      <c r="P427">
        <v>181</v>
      </c>
      <c r="Q427" s="23">
        <v>-197.92203159283693</v>
      </c>
    </row>
    <row r="428" spans="9:17" x14ac:dyDescent="0.3">
      <c r="I428">
        <v>424</v>
      </c>
      <c r="J428" s="23">
        <f>'$ Portfolio Loss'!P428</f>
        <v>-57.308360526807519</v>
      </c>
      <c r="K428" s="23">
        <f t="shared" si="34"/>
        <v>4978.6718547079818</v>
      </c>
      <c r="L428" s="23">
        <f t="shared" si="35"/>
        <v>70.559704185235802</v>
      </c>
      <c r="M428" s="23">
        <f t="shared" si="32"/>
        <v>1.0312673842527549</v>
      </c>
      <c r="N428" s="23">
        <f t="shared" si="33"/>
        <v>-59.100243056294623</v>
      </c>
      <c r="P428">
        <v>270</v>
      </c>
      <c r="Q428" s="23">
        <v>-199.09240992847685</v>
      </c>
    </row>
    <row r="429" spans="9:17" x14ac:dyDescent="0.3">
      <c r="I429">
        <v>425</v>
      </c>
      <c r="J429" s="23">
        <f>'$ Portfolio Loss'!P429</f>
        <v>-22.580773548461366</v>
      </c>
      <c r="K429" s="23">
        <f t="shared" si="34"/>
        <v>4710.5450234683167</v>
      </c>
      <c r="L429" s="23">
        <f t="shared" si="35"/>
        <v>68.63341040242949</v>
      </c>
      <c r="M429" s="23">
        <f t="shared" si="32"/>
        <v>1.0602113626890455</v>
      </c>
      <c r="N429" s="23">
        <f t="shared" si="33"/>
        <v>-23.940392694386979</v>
      </c>
      <c r="P429">
        <v>6</v>
      </c>
      <c r="Q429" s="23">
        <v>-203.07412394511238</v>
      </c>
    </row>
    <row r="430" spans="9:17" x14ac:dyDescent="0.3">
      <c r="I430">
        <v>426</v>
      </c>
      <c r="J430" s="23">
        <f>'$ Portfolio Loss'!P430</f>
        <v>19.50450231179093</v>
      </c>
      <c r="K430" s="23">
        <f t="shared" si="34"/>
        <v>4450.7378586860568</v>
      </c>
      <c r="L430" s="23">
        <f t="shared" si="35"/>
        <v>66.713850576068964</v>
      </c>
      <c r="M430" s="23">
        <f t="shared" si="32"/>
        <v>1.0907168592492886</v>
      </c>
      <c r="N430" s="23">
        <f t="shared" si="33"/>
        <v>21.273889502737092</v>
      </c>
      <c r="P430">
        <v>146</v>
      </c>
      <c r="Q430" s="23">
        <v>-204.7785343207855</v>
      </c>
    </row>
    <row r="431" spans="9:17" x14ac:dyDescent="0.3">
      <c r="I431">
        <v>427</v>
      </c>
      <c r="J431" s="23">
        <f>'$ Portfolio Loss'!P431</f>
        <v>-16.742582179693272</v>
      </c>
      <c r="K431" s="23">
        <f t="shared" si="34"/>
        <v>4200.51243064752</v>
      </c>
      <c r="L431" s="23">
        <f t="shared" si="35"/>
        <v>64.811360351774127</v>
      </c>
      <c r="M431" s="23">
        <f t="shared" si="32"/>
        <v>1.1227340573289541</v>
      </c>
      <c r="N431" s="23">
        <f t="shared" si="33"/>
        <v>-18.797467220770471</v>
      </c>
      <c r="P431">
        <v>7</v>
      </c>
      <c r="Q431" s="23">
        <v>-205.53901584314647</v>
      </c>
    </row>
    <row r="432" spans="9:17" x14ac:dyDescent="0.3">
      <c r="I432">
        <v>428</v>
      </c>
      <c r="J432" s="23">
        <f>'$ Portfolio Loss'!P432</f>
        <v>-44.919579372890439</v>
      </c>
      <c r="K432" s="23">
        <f t="shared" si="34"/>
        <v>4069.5478014709129</v>
      </c>
      <c r="L432" s="23">
        <f t="shared" si="35"/>
        <v>63.79300746532423</v>
      </c>
      <c r="M432" s="23">
        <f t="shared" si="32"/>
        <v>1.1406567029828376</v>
      </c>
      <c r="N432" s="23">
        <f t="shared" si="33"/>
        <v>-51.237819306857091</v>
      </c>
      <c r="P432">
        <v>243</v>
      </c>
      <c r="Q432" s="23">
        <v>-206.13927036460282</v>
      </c>
    </row>
    <row r="433" spans="9:17" x14ac:dyDescent="0.3">
      <c r="I433">
        <v>429</v>
      </c>
      <c r="J433" s="23">
        <f>'$ Portfolio Loss'!P433</f>
        <v>51.615710198466331</v>
      </c>
      <c r="K433" s="23">
        <f t="shared" si="34"/>
        <v>3985.2258257401813</v>
      </c>
      <c r="L433" s="23">
        <f t="shared" si="35"/>
        <v>63.128645049138996</v>
      </c>
      <c r="M433" s="23">
        <f t="shared" si="32"/>
        <v>1.1526609118905637</v>
      </c>
      <c r="N433" s="23">
        <f t="shared" si="33"/>
        <v>59.495411585243275</v>
      </c>
      <c r="P433">
        <v>373</v>
      </c>
      <c r="Q433" s="23">
        <v>-206.59751529011615</v>
      </c>
    </row>
    <row r="434" spans="9:17" x14ac:dyDescent="0.3">
      <c r="I434">
        <v>430</v>
      </c>
      <c r="J434" s="23">
        <f>'$ Portfolio Loss'!P434</f>
        <v>-53.189006605929535</v>
      </c>
      <c r="K434" s="23">
        <f t="shared" si="34"/>
        <v>3915.8565016193074</v>
      </c>
      <c r="L434" s="23">
        <f t="shared" si="35"/>
        <v>62.576804821110095</v>
      </c>
      <c r="M434" s="23">
        <f t="shared" si="32"/>
        <v>1.1628257750898927</v>
      </c>
      <c r="N434" s="23">
        <f t="shared" si="33"/>
        <v>-61.849547832801434</v>
      </c>
      <c r="P434">
        <v>471</v>
      </c>
      <c r="Q434" s="23">
        <v>-207.59302250338467</v>
      </c>
    </row>
    <row r="435" spans="9:17" x14ac:dyDescent="0.3">
      <c r="I435">
        <v>431</v>
      </c>
      <c r="J435" s="23">
        <f>'$ Portfolio Loss'!P435</f>
        <v>17.59512494003684</v>
      </c>
      <c r="K435" s="23">
        <f t="shared" si="34"/>
        <v>3699.4804168214791</v>
      </c>
      <c r="L435" s="23">
        <f t="shared" si="35"/>
        <v>60.82335420561315</v>
      </c>
      <c r="M435" s="23">
        <f t="shared" si="32"/>
        <v>1.1963483849110215</v>
      </c>
      <c r="N435" s="23">
        <f t="shared" si="33"/>
        <v>21.049899304320707</v>
      </c>
      <c r="P435">
        <v>402</v>
      </c>
      <c r="Q435" s="23">
        <v>-208.11988994651969</v>
      </c>
    </row>
    <row r="436" spans="9:17" x14ac:dyDescent="0.3">
      <c r="I436">
        <v>432</v>
      </c>
      <c r="J436" s="23">
        <f>'$ Portfolio Loss'!P436</f>
        <v>-33.256625880991123</v>
      </c>
      <c r="K436" s="23">
        <f t="shared" si="34"/>
        <v>3543.8717817114825</v>
      </c>
      <c r="L436" s="23">
        <f t="shared" si="35"/>
        <v>59.530427360396821</v>
      </c>
      <c r="M436" s="23">
        <f t="shared" si="32"/>
        <v>1.2223315839517137</v>
      </c>
      <c r="N436" s="23">
        <f t="shared" si="33"/>
        <v>-40.650624190001437</v>
      </c>
      <c r="P436">
        <v>60</v>
      </c>
      <c r="Q436" s="23">
        <v>-208.7302105406298</v>
      </c>
    </row>
    <row r="437" spans="9:17" x14ac:dyDescent="0.3">
      <c r="I437">
        <v>433</v>
      </c>
      <c r="J437" s="23">
        <f>'$ Portfolio Loss'!P437</f>
        <v>-14.331018736556871</v>
      </c>
      <c r="K437" s="23">
        <f t="shared" si="34"/>
        <v>3343.562160690446</v>
      </c>
      <c r="L437" s="23">
        <f t="shared" si="35"/>
        <v>57.823543307985254</v>
      </c>
      <c r="M437" s="23">
        <f t="shared" si="32"/>
        <v>1.2584133971379705</v>
      </c>
      <c r="N437" s="23">
        <f t="shared" si="33"/>
        <v>-18.034345972718437</v>
      </c>
      <c r="P437">
        <v>314</v>
      </c>
      <c r="Q437" s="23">
        <v>-211.05708441793931</v>
      </c>
    </row>
    <row r="438" spans="9:17" x14ac:dyDescent="0.3">
      <c r="I438">
        <v>434</v>
      </c>
      <c r="J438" s="23">
        <f>'$ Portfolio Loss'!P438</f>
        <v>23.327611057649847</v>
      </c>
      <c r="K438" s="23">
        <f t="shared" si="34"/>
        <v>3175.5990773084386</v>
      </c>
      <c r="L438" s="23">
        <f t="shared" si="35"/>
        <v>56.352454048678652</v>
      </c>
      <c r="M438" s="23">
        <f t="shared" si="32"/>
        <v>1.2912644674870639</v>
      </c>
      <c r="N438" s="23">
        <f t="shared" si="33"/>
        <v>30.122115270101574</v>
      </c>
      <c r="P438">
        <v>457</v>
      </c>
      <c r="Q438" s="23">
        <v>-213.44596203722753</v>
      </c>
    </row>
    <row r="439" spans="9:17" x14ac:dyDescent="0.3">
      <c r="I439">
        <v>435</v>
      </c>
      <c r="J439" s="23">
        <f>'$ Portfolio Loss'!P439</f>
        <v>-79.074290302931331</v>
      </c>
      <c r="K439" s="23">
        <f t="shared" si="34"/>
        <v>3360.2277358846682</v>
      </c>
      <c r="L439" s="23">
        <f t="shared" si="35"/>
        <v>57.967471360105648</v>
      </c>
      <c r="M439" s="23">
        <f t="shared" si="32"/>
        <v>1.2552888691093609</v>
      </c>
      <c r="N439" s="23">
        <f t="shared" si="33"/>
        <v>-99.261076449991975</v>
      </c>
      <c r="P439">
        <v>46</v>
      </c>
      <c r="Q439" s="23">
        <v>-215.12325709119068</v>
      </c>
    </row>
    <row r="440" spans="9:17" x14ac:dyDescent="0.3">
      <c r="I440">
        <v>436</v>
      </c>
      <c r="J440" s="23">
        <f>'$ Portfolio Loss'!P440</f>
        <v>-10.139285442501205</v>
      </c>
      <c r="K440" s="23">
        <f t="shared" si="34"/>
        <v>3164.7823782886589</v>
      </c>
      <c r="L440" s="23">
        <f t="shared" si="35"/>
        <v>56.256398554197006</v>
      </c>
      <c r="M440" s="23">
        <f t="shared" si="32"/>
        <v>1.2934692486340753</v>
      </c>
      <c r="N440" s="23">
        <f t="shared" si="33"/>
        <v>-13.114853922998451</v>
      </c>
      <c r="P440">
        <v>190</v>
      </c>
      <c r="Q440" s="23">
        <v>-217.3670108675191</v>
      </c>
    </row>
    <row r="441" spans="9:17" x14ac:dyDescent="0.3">
      <c r="I441">
        <v>437</v>
      </c>
      <c r="J441" s="23">
        <f>'$ Portfolio Loss'!P441</f>
        <v>-111.67337930629947</v>
      </c>
      <c r="K441" s="23">
        <f t="shared" si="34"/>
        <v>3723.1520543326578</v>
      </c>
      <c r="L441" s="23">
        <f t="shared" si="35"/>
        <v>61.01763723983958</v>
      </c>
      <c r="M441" s="23">
        <f t="shared" si="32"/>
        <v>1.1925391552402822</v>
      </c>
      <c r="N441" s="23">
        <f t="shared" si="33"/>
        <v>-133.17487742076199</v>
      </c>
      <c r="P441">
        <v>346</v>
      </c>
      <c r="Q441" s="23">
        <v>-218.22886308126508</v>
      </c>
    </row>
    <row r="442" spans="9:17" x14ac:dyDescent="0.3">
      <c r="I442">
        <v>438</v>
      </c>
      <c r="J442" s="23">
        <f>'$ Portfolio Loss'!P442</f>
        <v>-38.67712411568391</v>
      </c>
      <c r="K442" s="23">
        <f t="shared" si="34"/>
        <v>3589.5181268642991</v>
      </c>
      <c r="L442" s="23">
        <f t="shared" si="35"/>
        <v>59.912587382488326</v>
      </c>
      <c r="M442" s="23">
        <f t="shared" si="32"/>
        <v>1.2145347872261116</v>
      </c>
      <c r="N442" s="23">
        <f t="shared" si="33"/>
        <v>-46.974712708360066</v>
      </c>
      <c r="P442">
        <v>307</v>
      </c>
      <c r="Q442" s="23">
        <v>-220.45538350445423</v>
      </c>
    </row>
    <row r="443" spans="9:17" x14ac:dyDescent="0.3">
      <c r="I443">
        <v>439</v>
      </c>
      <c r="J443" s="23">
        <f>'$ Portfolio Loss'!P443</f>
        <v>2.6014912486716639</v>
      </c>
      <c r="K443" s="23">
        <f t="shared" si="34"/>
        <v>3374.5531046554561</v>
      </c>
      <c r="L443" s="23">
        <f t="shared" si="35"/>
        <v>58.090903803052129</v>
      </c>
      <c r="M443" s="23">
        <f t="shared" si="32"/>
        <v>1.2526216120764353</v>
      </c>
      <c r="N443" s="23">
        <f t="shared" si="33"/>
        <v>3.2586841617138385</v>
      </c>
      <c r="P443">
        <v>189</v>
      </c>
      <c r="Q443" s="23">
        <v>-220.7996259297062</v>
      </c>
    </row>
    <row r="444" spans="9:17" x14ac:dyDescent="0.3">
      <c r="I444">
        <v>440</v>
      </c>
      <c r="J444" s="23">
        <f>'$ Portfolio Loss'!P444</f>
        <v>-26.524383193824178</v>
      </c>
      <c r="K444" s="23">
        <f t="shared" si="34"/>
        <v>3214.2924926048981</v>
      </c>
      <c r="L444" s="23">
        <f t="shared" si="35"/>
        <v>56.694730730508795</v>
      </c>
      <c r="M444" s="23">
        <f t="shared" si="32"/>
        <v>1.2834688626468631</v>
      </c>
      <c r="N444" s="23">
        <f t="shared" si="33"/>
        <v>-34.043219930187085</v>
      </c>
      <c r="P444">
        <v>66</v>
      </c>
      <c r="Q444" s="23">
        <v>-223.65983958911931</v>
      </c>
    </row>
    <row r="445" spans="9:17" x14ac:dyDescent="0.3">
      <c r="I445">
        <v>441</v>
      </c>
      <c r="J445" s="23">
        <f>'$ Portfolio Loss'!P445</f>
        <v>5.5833371419648756</v>
      </c>
      <c r="K445" s="23">
        <f t="shared" si="34"/>
        <v>3023.3053622670545</v>
      </c>
      <c r="L445" s="23">
        <f t="shared" si="35"/>
        <v>54.984592044199566</v>
      </c>
      <c r="M445" s="23">
        <f t="shared" si="32"/>
        <v>1.3233874957235863</v>
      </c>
      <c r="N445" s="23">
        <f t="shared" si="33"/>
        <v>7.3889185580853827</v>
      </c>
      <c r="P445">
        <v>101</v>
      </c>
      <c r="Q445" s="23">
        <v>-227.03389747421662</v>
      </c>
    </row>
    <row r="446" spans="9:17" x14ac:dyDescent="0.3">
      <c r="I446">
        <v>442</v>
      </c>
      <c r="J446" s="23">
        <f>'$ Portfolio Loss'!P446</f>
        <v>68.972944468960122</v>
      </c>
      <c r="K446" s="23">
        <f t="shared" si="34"/>
        <v>3127.3430646541269</v>
      </c>
      <c r="L446" s="23">
        <f t="shared" si="35"/>
        <v>55.922652518046092</v>
      </c>
      <c r="M446" s="23">
        <f t="shared" si="32"/>
        <v>1.3011886649202649</v>
      </c>
      <c r="N446" s="23">
        <f t="shared" si="33"/>
        <v>89.746813529185786</v>
      </c>
      <c r="P446">
        <v>344</v>
      </c>
      <c r="Q446" s="23">
        <v>-229.55444732501695</v>
      </c>
    </row>
    <row r="447" spans="9:17" x14ac:dyDescent="0.3">
      <c r="I447">
        <v>443</v>
      </c>
      <c r="J447" s="23">
        <f>'$ Portfolio Loss'!P447</f>
        <v>-19.972206654865658</v>
      </c>
      <c r="K447" s="23">
        <f t="shared" si="34"/>
        <v>2963.6358230947585</v>
      </c>
      <c r="L447" s="23">
        <f t="shared" si="35"/>
        <v>54.43928565929901</v>
      </c>
      <c r="M447" s="23">
        <f t="shared" si="32"/>
        <v>1.3366435780247388</v>
      </c>
      <c r="N447" s="23">
        <f t="shared" si="33"/>
        <v>-26.695721764209132</v>
      </c>
      <c r="P447">
        <v>268</v>
      </c>
      <c r="Q447" s="23">
        <v>-229.65683061176424</v>
      </c>
    </row>
    <row r="448" spans="9:17" x14ac:dyDescent="0.3">
      <c r="I448">
        <v>444</v>
      </c>
      <c r="J448" s="23">
        <f>'$ Portfolio Loss'!P448</f>
        <v>34.841622106498107</v>
      </c>
      <c r="K448" s="23">
        <f t="shared" si="34"/>
        <v>2858.653991569794</v>
      </c>
      <c r="L448" s="23">
        <f t="shared" si="35"/>
        <v>53.466381882167731</v>
      </c>
      <c r="M448" s="23">
        <f t="shared" si="32"/>
        <v>1.3609658818717523</v>
      </c>
      <c r="N448" s="23">
        <f t="shared" si="33"/>
        <v>47.418258956012536</v>
      </c>
      <c r="P448">
        <v>246</v>
      </c>
      <c r="Q448" s="23">
        <v>-230.03471592532821</v>
      </c>
    </row>
    <row r="449" spans="9:17" x14ac:dyDescent="0.3">
      <c r="I449">
        <v>445</v>
      </c>
      <c r="J449" s="23">
        <f>'$ Portfolio Loss'!P449</f>
        <v>40.451092404658993</v>
      </c>
      <c r="K449" s="23">
        <f t="shared" si="34"/>
        <v>2785.3122046794219</v>
      </c>
      <c r="L449" s="23">
        <f t="shared" si="35"/>
        <v>52.776057115698045</v>
      </c>
      <c r="M449" s="23">
        <f t="shared" si="32"/>
        <v>1.3787676750696922</v>
      </c>
      <c r="N449" s="23">
        <f t="shared" si="33"/>
        <v>55.772658628800968</v>
      </c>
      <c r="P449">
        <v>219</v>
      </c>
      <c r="Q449" s="23">
        <v>-233.71165698207028</v>
      </c>
    </row>
    <row r="450" spans="9:17" x14ac:dyDescent="0.3">
      <c r="I450">
        <v>446</v>
      </c>
      <c r="J450" s="23">
        <f>'$ Portfolio Loss'!P450</f>
        <v>25.148402235814501</v>
      </c>
      <c r="K450" s="23">
        <f t="shared" si="34"/>
        <v>2656.1400004995157</v>
      </c>
      <c r="L450" s="23">
        <f t="shared" si="35"/>
        <v>51.53775315726827</v>
      </c>
      <c r="M450" s="23">
        <f t="shared" si="32"/>
        <v>1.4118954962337982</v>
      </c>
      <c r="N450" s="23">
        <f t="shared" si="33"/>
        <v>35.506915854222477</v>
      </c>
      <c r="P450">
        <v>155</v>
      </c>
      <c r="Q450" s="23">
        <v>-237.0039340442186</v>
      </c>
    </row>
    <row r="451" spans="9:17" x14ac:dyDescent="0.3">
      <c r="I451">
        <v>447</v>
      </c>
      <c r="J451" s="23">
        <f>'$ Portfolio Loss'!P451</f>
        <v>-49.871650892429898</v>
      </c>
      <c r="K451" s="23">
        <f t="shared" si="34"/>
        <v>2646.0024942337291</v>
      </c>
      <c r="L451" s="23">
        <f t="shared" si="35"/>
        <v>51.439308842885218</v>
      </c>
      <c r="M451" s="23">
        <f t="shared" si="32"/>
        <v>1.4145975753875402</v>
      </c>
      <c r="N451" s="23">
        <f t="shared" si="33"/>
        <v>-70.548316433005184</v>
      </c>
      <c r="P451">
        <v>24</v>
      </c>
      <c r="Q451" s="23">
        <v>-237.00437179298874</v>
      </c>
    </row>
    <row r="452" spans="9:17" x14ac:dyDescent="0.3">
      <c r="I452">
        <v>448</v>
      </c>
      <c r="J452" s="23">
        <f>'$ Portfolio Loss'!P452</f>
        <v>-63.950998369680747</v>
      </c>
      <c r="K452" s="23">
        <f t="shared" si="34"/>
        <v>2732.62615612844</v>
      </c>
      <c r="L452" s="23">
        <f t="shared" si="35"/>
        <v>52.274526837920206</v>
      </c>
      <c r="M452" s="23">
        <f t="shared" si="32"/>
        <v>1.3919957954735904</v>
      </c>
      <c r="N452" s="23">
        <f t="shared" si="33"/>
        <v>-89.019520846934029</v>
      </c>
      <c r="P452">
        <v>285</v>
      </c>
      <c r="Q452" s="23">
        <v>-237.67358452294664</v>
      </c>
    </row>
    <row r="453" spans="9:17" x14ac:dyDescent="0.3">
      <c r="I453">
        <v>449</v>
      </c>
      <c r="J453" s="23">
        <f>'$ Portfolio Loss'!P453</f>
        <v>16.506464299269282</v>
      </c>
      <c r="K453" s="23">
        <f t="shared" si="34"/>
        <v>2585.0163885805164</v>
      </c>
      <c r="L453" s="23">
        <f t="shared" si="35"/>
        <v>50.843056444125352</v>
      </c>
      <c r="M453" s="23">
        <f t="shared" si="32"/>
        <v>1.4311870028648523</v>
      </c>
      <c r="N453" s="23">
        <f t="shared" si="33"/>
        <v>23.62383716836689</v>
      </c>
      <c r="P453">
        <v>138</v>
      </c>
      <c r="Q453" s="23">
        <v>-238.98022784867112</v>
      </c>
    </row>
    <row r="454" spans="9:17" x14ac:dyDescent="0.3">
      <c r="I454">
        <v>450</v>
      </c>
      <c r="J454" s="23">
        <f>'$ Portfolio Loss'!P454</f>
        <v>70.009758010754013</v>
      </c>
      <c r="K454" s="23">
        <f t="shared" si="34"/>
        <v>2723.9973782691459</v>
      </c>
      <c r="L454" s="23">
        <f t="shared" si="35"/>
        <v>52.191928286557356</v>
      </c>
      <c r="M454" s="23">
        <f t="shared" ref="M454:M504" si="36">$M$2/L454</f>
        <v>1.3941987575020869</v>
      </c>
      <c r="N454" s="23">
        <f t="shared" ref="N454:N504" si="37">M454*J454</f>
        <v>97.607517631615025</v>
      </c>
      <c r="P454">
        <v>44</v>
      </c>
      <c r="Q454" s="23">
        <v>-239.65508763282514</v>
      </c>
    </row>
    <row r="455" spans="9:17" x14ac:dyDescent="0.3">
      <c r="I455">
        <v>451</v>
      </c>
      <c r="J455" s="23">
        <f>'$ Portfolio Loss'!P455</f>
        <v>-29.360698986305579</v>
      </c>
      <c r="K455" s="23">
        <f t="shared" ref="K455:K504" si="38">K454*$K$2+(1-$K$2)*J455^2</f>
        <v>2612.2805742708638</v>
      </c>
      <c r="L455" s="23">
        <f t="shared" ref="L455:L504" si="39">SQRT(K455)</f>
        <v>51.110474212932751</v>
      </c>
      <c r="M455" s="23">
        <f t="shared" si="36"/>
        <v>1.42369881495531</v>
      </c>
      <c r="N455" s="23">
        <f t="shared" si="37"/>
        <v>-41.800792353062825</v>
      </c>
      <c r="P455">
        <v>291</v>
      </c>
      <c r="Q455" s="23">
        <v>-240.84486159361455</v>
      </c>
    </row>
    <row r="456" spans="9:17" x14ac:dyDescent="0.3">
      <c r="I456">
        <v>452</v>
      </c>
      <c r="J456" s="23">
        <f>'$ Portfolio Loss'!P456</f>
        <v>-62.666293150788988</v>
      </c>
      <c r="K456" s="23">
        <f t="shared" si="38"/>
        <v>2691.1675976502493</v>
      </c>
      <c r="L456" s="23">
        <f t="shared" si="39"/>
        <v>51.876464775948726</v>
      </c>
      <c r="M456" s="23">
        <f t="shared" si="36"/>
        <v>1.40267695347067</v>
      </c>
      <c r="N456" s="23">
        <f t="shared" si="37"/>
        <v>-87.900565162048608</v>
      </c>
      <c r="P456">
        <v>198</v>
      </c>
      <c r="Q456" s="23">
        <v>-242.47657374347452</v>
      </c>
    </row>
    <row r="457" spans="9:17" x14ac:dyDescent="0.3">
      <c r="I457">
        <v>453</v>
      </c>
      <c r="J457" s="23">
        <f>'$ Portfolio Loss'!P457</f>
        <v>-73.508171390427378</v>
      </c>
      <c r="K457" s="23">
        <f t="shared" si="38"/>
        <v>2853.9046174611012</v>
      </c>
      <c r="L457" s="23">
        <f t="shared" si="39"/>
        <v>53.421948836233042</v>
      </c>
      <c r="M457" s="23">
        <f t="shared" si="36"/>
        <v>1.3620978484297326</v>
      </c>
      <c r="N457" s="23">
        <f t="shared" si="37"/>
        <v>-100.12532209290515</v>
      </c>
      <c r="P457">
        <v>493</v>
      </c>
      <c r="Q457" s="23">
        <v>-243.11193840462968</v>
      </c>
    </row>
    <row r="458" spans="9:17" x14ac:dyDescent="0.3">
      <c r="I458">
        <v>454</v>
      </c>
      <c r="J458" s="23">
        <f>'$ Portfolio Loss'!P458</f>
        <v>-5.7935405258122046</v>
      </c>
      <c r="K458" s="23">
        <f t="shared" si="38"/>
        <v>2684.6842471228888</v>
      </c>
      <c r="L458" s="23">
        <f t="shared" si="39"/>
        <v>51.813938733924566</v>
      </c>
      <c r="M458" s="23">
        <f t="shared" si="36"/>
        <v>1.4043696222830027</v>
      </c>
      <c r="N458" s="23">
        <f t="shared" si="37"/>
        <v>-8.136272319916154</v>
      </c>
      <c r="P458">
        <v>384</v>
      </c>
      <c r="Q458" s="23">
        <v>-249.43103341510994</v>
      </c>
    </row>
    <row r="459" spans="9:17" x14ac:dyDescent="0.3">
      <c r="I459">
        <v>455</v>
      </c>
      <c r="J459" s="23">
        <f>'$ Portfolio Loss'!P459</f>
        <v>4.6693785776733421</v>
      </c>
      <c r="K459" s="23">
        <f t="shared" si="38"/>
        <v>2524.9113780736134</v>
      </c>
      <c r="L459" s="23">
        <f t="shared" si="39"/>
        <v>50.248496276740596</v>
      </c>
      <c r="M459" s="23">
        <f t="shared" si="36"/>
        <v>1.4481213759711795</v>
      </c>
      <c r="N459" s="23">
        <f t="shared" si="37"/>
        <v>6.7618269308306695</v>
      </c>
      <c r="P459">
        <v>300</v>
      </c>
      <c r="Q459" s="23">
        <v>-250.24623344479608</v>
      </c>
    </row>
    <row r="460" spans="9:17" x14ac:dyDescent="0.3">
      <c r="I460">
        <v>456</v>
      </c>
      <c r="J460" s="23">
        <f>'$ Portfolio Loss'!P460</f>
        <v>109.67352871222283</v>
      </c>
      <c r="K460" s="23">
        <f t="shared" si="38"/>
        <v>3095.1136694006427</v>
      </c>
      <c r="L460" s="23">
        <f t="shared" si="39"/>
        <v>55.633745778984206</v>
      </c>
      <c r="M460" s="23">
        <f t="shared" si="36"/>
        <v>1.3079457539643826</v>
      </c>
      <c r="N460" s="23">
        <f t="shared" si="37"/>
        <v>143.44702620144267</v>
      </c>
      <c r="P460">
        <v>143</v>
      </c>
      <c r="Q460" s="23">
        <v>-253.64410753227304</v>
      </c>
    </row>
    <row r="461" spans="9:17" x14ac:dyDescent="0.3">
      <c r="I461">
        <v>457</v>
      </c>
      <c r="J461" s="23">
        <f>'$ Portfolio Loss'!P461</f>
        <v>8.5524906651262427</v>
      </c>
      <c r="K461" s="23">
        <f t="shared" si="38"/>
        <v>2913.7955550312286</v>
      </c>
      <c r="L461" s="23">
        <f t="shared" si="39"/>
        <v>53.979584613363123</v>
      </c>
      <c r="M461" s="23">
        <f t="shared" si="36"/>
        <v>1.348026704724631</v>
      </c>
      <c r="N461" s="23">
        <f t="shared" si="37"/>
        <v>11.528985808498296</v>
      </c>
      <c r="P461">
        <v>145</v>
      </c>
      <c r="Q461" s="23">
        <v>-254.22795921083821</v>
      </c>
    </row>
    <row r="462" spans="9:17" x14ac:dyDescent="0.3">
      <c r="I462">
        <v>458</v>
      </c>
      <c r="J462" s="23">
        <f>'$ Portfolio Loss'!P462</f>
        <v>78.468832576483692</v>
      </c>
      <c r="K462" s="23">
        <f t="shared" si="38"/>
        <v>3108.4092828843291</v>
      </c>
      <c r="L462" s="23">
        <f t="shared" si="39"/>
        <v>55.753110073648173</v>
      </c>
      <c r="M462" s="23">
        <f t="shared" si="36"/>
        <v>1.3051455151584315</v>
      </c>
      <c r="N462" s="23">
        <f t="shared" si="37"/>
        <v>102.41324491691552</v>
      </c>
      <c r="P462">
        <v>483</v>
      </c>
      <c r="Q462" s="23">
        <v>-254.261025996537</v>
      </c>
    </row>
    <row r="463" spans="9:17" x14ac:dyDescent="0.3">
      <c r="I463">
        <v>459</v>
      </c>
      <c r="J463" s="23">
        <f>'$ Portfolio Loss'!P463</f>
        <v>26.968299304957327</v>
      </c>
      <c r="K463" s="23">
        <f t="shared" si="38"/>
        <v>2965.5420759553749</v>
      </c>
      <c r="L463" s="23">
        <f t="shared" si="39"/>
        <v>54.456790907612017</v>
      </c>
      <c r="M463" s="23">
        <f t="shared" si="36"/>
        <v>1.336213911176044</v>
      </c>
      <c r="N463" s="23">
        <f t="shared" si="37"/>
        <v>36.035416692043221</v>
      </c>
      <c r="P463">
        <v>34</v>
      </c>
      <c r="Q463" s="23">
        <v>-257.05705509106912</v>
      </c>
    </row>
    <row r="464" spans="9:17" x14ac:dyDescent="0.3">
      <c r="I464">
        <v>460</v>
      </c>
      <c r="J464" s="23">
        <f>'$ Portfolio Loss'!P464</f>
        <v>-47.658911320102561</v>
      </c>
      <c r="K464" s="23">
        <f t="shared" si="38"/>
        <v>2923.8918610910964</v>
      </c>
      <c r="L464" s="23">
        <f t="shared" si="39"/>
        <v>54.073023413631091</v>
      </c>
      <c r="M464" s="23">
        <f t="shared" si="36"/>
        <v>1.3456972992268998</v>
      </c>
      <c r="N464" s="23">
        <f t="shared" si="37"/>
        <v>-64.134468247556342</v>
      </c>
      <c r="P464">
        <v>40</v>
      </c>
      <c r="Q464" s="23">
        <v>-257.87815826679281</v>
      </c>
    </row>
    <row r="465" spans="9:17" x14ac:dyDescent="0.3">
      <c r="I465">
        <v>461</v>
      </c>
      <c r="J465" s="23">
        <f>'$ Portfolio Loss'!P465</f>
        <v>-75.488547441018454</v>
      </c>
      <c r="K465" s="23">
        <f t="shared" si="38"/>
        <v>3090.3695971109241</v>
      </c>
      <c r="L465" s="23">
        <f t="shared" si="39"/>
        <v>55.591092785723546</v>
      </c>
      <c r="M465" s="23">
        <f t="shared" si="36"/>
        <v>1.3089492924564965</v>
      </c>
      <c r="N465" s="23">
        <f t="shared" si="37"/>
        <v>-98.810680761489778</v>
      </c>
      <c r="P465">
        <v>211</v>
      </c>
      <c r="Q465" s="23">
        <v>-263.88908597394646</v>
      </c>
    </row>
    <row r="466" spans="9:17" x14ac:dyDescent="0.3">
      <c r="I466">
        <v>462</v>
      </c>
      <c r="J466" s="23">
        <f>'$ Portfolio Loss'!P466</f>
        <v>5.4075800788705237</v>
      </c>
      <c r="K466" s="23">
        <f t="shared" si="38"/>
        <v>2906.7019366228324</v>
      </c>
      <c r="L466" s="23">
        <f t="shared" si="39"/>
        <v>53.913838080986523</v>
      </c>
      <c r="M466" s="23">
        <f t="shared" si="36"/>
        <v>1.3496705884572928</v>
      </c>
      <c r="N466" s="23">
        <f t="shared" si="37"/>
        <v>7.2984517871791139</v>
      </c>
      <c r="P466">
        <v>109</v>
      </c>
      <c r="Q466" s="23">
        <v>-266.74137045498907</v>
      </c>
    </row>
    <row r="467" spans="9:17" x14ac:dyDescent="0.3">
      <c r="I467">
        <v>463</v>
      </c>
      <c r="J467" s="23">
        <f>'$ Portfolio Loss'!P467</f>
        <v>17.89160130541859</v>
      </c>
      <c r="K467" s="23">
        <f t="shared" si="38"/>
        <v>2751.5063842617856</v>
      </c>
      <c r="L467" s="23">
        <f t="shared" si="39"/>
        <v>52.454803252531462</v>
      </c>
      <c r="M467" s="23">
        <f t="shared" si="36"/>
        <v>1.387211791043075</v>
      </c>
      <c r="N467" s="23">
        <f t="shared" si="37"/>
        <v>24.81944029151834</v>
      </c>
      <c r="P467">
        <v>353</v>
      </c>
      <c r="Q467" s="23">
        <v>-272.48035397686198</v>
      </c>
    </row>
    <row r="468" spans="9:17" x14ac:dyDescent="0.3">
      <c r="I468">
        <v>464</v>
      </c>
      <c r="J468" s="23">
        <f>'$ Portfolio Loss'!P468</f>
        <v>-35.566780533506972</v>
      </c>
      <c r="K468" s="23">
        <f t="shared" si="38"/>
        <v>2662.3157538571973</v>
      </c>
      <c r="L468" s="23">
        <f t="shared" si="39"/>
        <v>51.597633219530501</v>
      </c>
      <c r="M468" s="23">
        <f t="shared" si="36"/>
        <v>1.410256963903012</v>
      </c>
      <c r="N468" s="23">
        <f t="shared" si="37"/>
        <v>-50.158299930988292</v>
      </c>
      <c r="P468">
        <v>222</v>
      </c>
      <c r="Q468" s="23">
        <v>-273.29756581432736</v>
      </c>
    </row>
    <row r="469" spans="9:17" x14ac:dyDescent="0.3">
      <c r="I469">
        <v>465</v>
      </c>
      <c r="J469" s="23">
        <f>'$ Portfolio Loss'!P469</f>
        <v>-92.704740292765564</v>
      </c>
      <c r="K469" s="23">
        <f t="shared" si="38"/>
        <v>3018.2269409907126</v>
      </c>
      <c r="L469" s="23">
        <f t="shared" si="39"/>
        <v>54.938392231578021</v>
      </c>
      <c r="M469" s="23">
        <f t="shared" si="36"/>
        <v>1.3245003833026476</v>
      </c>
      <c r="N469" s="23">
        <f t="shared" si="37"/>
        <v>-122.78746405174039</v>
      </c>
      <c r="P469">
        <v>166</v>
      </c>
      <c r="Q469" s="23">
        <v>-274.10473501287987</v>
      </c>
    </row>
    <row r="470" spans="9:17" x14ac:dyDescent="0.3">
      <c r="I470">
        <v>466</v>
      </c>
      <c r="J470" s="23">
        <f>'$ Portfolio Loss'!P470</f>
        <v>-122.99075109720616</v>
      </c>
      <c r="K470" s="23">
        <f t="shared" si="38"/>
        <v>3744.7368158585659</v>
      </c>
      <c r="L470" s="23">
        <f t="shared" si="39"/>
        <v>61.194254761852982</v>
      </c>
      <c r="M470" s="23">
        <f t="shared" si="36"/>
        <v>1.1890972747676436</v>
      </c>
      <c r="N470" s="23">
        <f t="shared" si="37"/>
        <v>-146.2479669513134</v>
      </c>
      <c r="P470">
        <v>372</v>
      </c>
      <c r="Q470" s="23">
        <v>-275.58139628860721</v>
      </c>
    </row>
    <row r="471" spans="9:17" x14ac:dyDescent="0.3">
      <c r="I471">
        <v>467</v>
      </c>
      <c r="J471" s="23">
        <f>'$ Portfolio Loss'!P471</f>
        <v>-7.013120770072419</v>
      </c>
      <c r="K471" s="23">
        <f t="shared" si="38"/>
        <v>3523.0036386831894</v>
      </c>
      <c r="L471" s="23">
        <f t="shared" si="39"/>
        <v>59.35489565893608</v>
      </c>
      <c r="M471" s="23">
        <f t="shared" si="36"/>
        <v>1.225946415387239</v>
      </c>
      <c r="N471" s="23">
        <f t="shared" si="37"/>
        <v>-8.5977102687480755</v>
      </c>
      <c r="P471">
        <v>87</v>
      </c>
      <c r="Q471" s="23">
        <v>-276.2935916199537</v>
      </c>
    </row>
    <row r="472" spans="9:17" x14ac:dyDescent="0.3">
      <c r="I472">
        <v>468</v>
      </c>
      <c r="J472" s="23">
        <f>'$ Portfolio Loss'!P472</f>
        <v>-32.333962758788402</v>
      </c>
      <c r="K472" s="23">
        <f t="shared" si="38"/>
        <v>3374.3525292234008</v>
      </c>
      <c r="L472" s="23">
        <f t="shared" si="39"/>
        <v>58.089177384633366</v>
      </c>
      <c r="M472" s="23">
        <f t="shared" si="36"/>
        <v>1.2526588401646988</v>
      </c>
      <c r="N472" s="23">
        <f t="shared" si="37"/>
        <v>-40.503424287352445</v>
      </c>
      <c r="P472">
        <v>305</v>
      </c>
      <c r="Q472" s="23">
        <v>-278.63583369014816</v>
      </c>
    </row>
    <row r="473" spans="9:17" x14ac:dyDescent="0.3">
      <c r="I473">
        <v>469</v>
      </c>
      <c r="J473" s="23">
        <f>'$ Portfolio Loss'!P473</f>
        <v>23.893183116668297</v>
      </c>
      <c r="K473" s="23">
        <f t="shared" si="38"/>
        <v>3206.1444294367952</v>
      </c>
      <c r="L473" s="23">
        <f t="shared" si="39"/>
        <v>56.622826046010765</v>
      </c>
      <c r="M473" s="23">
        <f t="shared" si="36"/>
        <v>1.2850987251965826</v>
      </c>
      <c r="N473" s="23">
        <f t="shared" si="37"/>
        <v>30.705099164118941</v>
      </c>
      <c r="P473">
        <v>252</v>
      </c>
      <c r="Q473" s="23">
        <v>-281.67243856089675</v>
      </c>
    </row>
    <row r="474" spans="9:17" x14ac:dyDescent="0.3">
      <c r="I474">
        <v>470</v>
      </c>
      <c r="J474" s="23">
        <f>'$ Portfolio Loss'!P474</f>
        <v>13.502199969872891</v>
      </c>
      <c r="K474" s="23">
        <f t="shared" si="38"/>
        <v>3024.7143279121733</v>
      </c>
      <c r="L474" s="23">
        <f t="shared" si="39"/>
        <v>54.997402919703156</v>
      </c>
      <c r="M474" s="23">
        <f t="shared" si="36"/>
        <v>1.3230792311228836</v>
      </c>
      <c r="N474" s="23">
        <f t="shared" si="37"/>
        <v>17.864480354606847</v>
      </c>
      <c r="P474">
        <v>405</v>
      </c>
      <c r="Q474" s="23">
        <v>-282.03517812006203</v>
      </c>
    </row>
    <row r="475" spans="9:17" x14ac:dyDescent="0.3">
      <c r="I475">
        <v>471</v>
      </c>
      <c r="J475" s="23">
        <f>'$ Portfolio Loss'!P475</f>
        <v>-27.698499162819644</v>
      </c>
      <c r="K475" s="23">
        <f t="shared" si="38"/>
        <v>2889.263879589806</v>
      </c>
      <c r="L475" s="23">
        <f t="shared" si="39"/>
        <v>53.751873265866799</v>
      </c>
      <c r="M475" s="23">
        <f t="shared" si="36"/>
        <v>1.3537374076033117</v>
      </c>
      <c r="N475" s="23">
        <f t="shared" si="37"/>
        <v>-37.496494451177966</v>
      </c>
      <c r="P475">
        <v>199</v>
      </c>
      <c r="Q475" s="23">
        <v>-282.82019490433817</v>
      </c>
    </row>
    <row r="476" spans="9:17" x14ac:dyDescent="0.3">
      <c r="I476">
        <v>472</v>
      </c>
      <c r="J476" s="23">
        <f>'$ Portfolio Loss'!P476</f>
        <v>-20.627131358325641</v>
      </c>
      <c r="K476" s="23">
        <f t="shared" si="38"/>
        <v>2741.436759698835</v>
      </c>
      <c r="L476" s="23">
        <f t="shared" si="39"/>
        <v>52.358731456165316</v>
      </c>
      <c r="M476" s="23">
        <f t="shared" si="36"/>
        <v>1.3897571531058932</v>
      </c>
      <c r="N476" s="23">
        <f t="shared" si="37"/>
        <v>-28.666703353287939</v>
      </c>
      <c r="P476">
        <v>326</v>
      </c>
      <c r="Q476" s="23">
        <v>-285.17431781573237</v>
      </c>
    </row>
    <row r="477" spans="9:17" x14ac:dyDescent="0.3">
      <c r="I477">
        <v>473</v>
      </c>
      <c r="J477" s="23">
        <f>'$ Portfolio Loss'!P477</f>
        <v>-21.491818802924172</v>
      </c>
      <c r="K477" s="23">
        <f t="shared" si="38"/>
        <v>2604.6644506443681</v>
      </c>
      <c r="L477" s="23">
        <f t="shared" si="39"/>
        <v>51.035913341923923</v>
      </c>
      <c r="M477" s="23">
        <f t="shared" si="36"/>
        <v>1.4257787664393975</v>
      </c>
      <c r="N477" s="23">
        <f t="shared" si="37"/>
        <v>-30.642578901372275</v>
      </c>
      <c r="P477">
        <v>72</v>
      </c>
      <c r="Q477" s="23">
        <v>-286.17726052272184</v>
      </c>
    </row>
    <row r="478" spans="9:17" x14ac:dyDescent="0.3">
      <c r="I478">
        <v>474</v>
      </c>
      <c r="J478" s="23">
        <f>'$ Portfolio Loss'!P478</f>
        <v>-42.337281221785815</v>
      </c>
      <c r="K478" s="23">
        <f t="shared" si="38"/>
        <v>2555.9313064808607</v>
      </c>
      <c r="L478" s="23">
        <f t="shared" si="39"/>
        <v>50.556219266088924</v>
      </c>
      <c r="M478" s="23">
        <f t="shared" si="36"/>
        <v>1.4393070254279225</v>
      </c>
      <c r="N478" s="23">
        <f t="shared" si="37"/>
        <v>-60.936346300033982</v>
      </c>
      <c r="P478">
        <v>361</v>
      </c>
      <c r="Q478" s="23">
        <v>-289.90230294637018</v>
      </c>
    </row>
    <row r="479" spans="9:17" x14ac:dyDescent="0.3">
      <c r="I479">
        <v>475</v>
      </c>
      <c r="J479" s="23">
        <f>'$ Portfolio Loss'!P479</f>
        <v>-1.8337507828091475</v>
      </c>
      <c r="K479" s="23">
        <f t="shared" si="38"/>
        <v>2402.7771866080161</v>
      </c>
      <c r="L479" s="23">
        <f t="shared" si="39"/>
        <v>49.018131202729627</v>
      </c>
      <c r="M479" s="23">
        <f t="shared" si="36"/>
        <v>1.4844695173671623</v>
      </c>
      <c r="N479" s="23">
        <f t="shared" si="37"/>
        <v>-2.7221471395283512</v>
      </c>
      <c r="P479">
        <v>258</v>
      </c>
      <c r="Q479" s="23">
        <v>-292.04866074910524</v>
      </c>
    </row>
    <row r="480" spans="9:17" x14ac:dyDescent="0.3">
      <c r="I480">
        <v>476</v>
      </c>
      <c r="J480" s="23">
        <f>'$ Portfolio Loss'!P480</f>
        <v>35.780308145516756</v>
      </c>
      <c r="K480" s="23">
        <f t="shared" si="38"/>
        <v>2335.4243824708233</v>
      </c>
      <c r="L480" s="23">
        <f t="shared" si="39"/>
        <v>48.326228721790649</v>
      </c>
      <c r="M480" s="23">
        <f t="shared" si="36"/>
        <v>1.5057231547626557</v>
      </c>
      <c r="N480" s="23">
        <f t="shared" si="37"/>
        <v>53.875238459247434</v>
      </c>
      <c r="P480">
        <v>102</v>
      </c>
      <c r="Q480" s="23">
        <v>-304.58885388011532</v>
      </c>
    </row>
    <row r="481" spans="9:17" x14ac:dyDescent="0.3">
      <c r="I481">
        <v>477</v>
      </c>
      <c r="J481" s="23">
        <f>'$ Portfolio Loss'!P481</f>
        <v>-12.539629671722651</v>
      </c>
      <c r="K481" s="23">
        <f t="shared" si="38"/>
        <v>2204.7334582608105</v>
      </c>
      <c r="L481" s="23">
        <f t="shared" si="39"/>
        <v>46.954589320542574</v>
      </c>
      <c r="M481" s="23">
        <f t="shared" si="36"/>
        <v>1.5497084017072063</v>
      </c>
      <c r="N481" s="23">
        <f t="shared" si="37"/>
        <v>-19.43276945656557</v>
      </c>
      <c r="P481">
        <v>136</v>
      </c>
      <c r="Q481" s="23">
        <v>-305.97363702359911</v>
      </c>
    </row>
    <row r="482" spans="9:17" x14ac:dyDescent="0.3">
      <c r="I482">
        <v>478</v>
      </c>
      <c r="J482" s="23">
        <f>'$ Portfolio Loss'!P482</f>
        <v>-6.4255922076281422</v>
      </c>
      <c r="K482" s="23">
        <f t="shared" si="38"/>
        <v>2074.9267448782857</v>
      </c>
      <c r="L482" s="23">
        <f t="shared" si="39"/>
        <v>45.551363809202087</v>
      </c>
      <c r="M482" s="23">
        <f t="shared" si="36"/>
        <v>1.5974477048271478</v>
      </c>
      <c r="N482" s="23">
        <f t="shared" si="37"/>
        <v>-10.264547524230782</v>
      </c>
      <c r="P482">
        <v>288</v>
      </c>
      <c r="Q482" s="23">
        <v>-309.24917373893805</v>
      </c>
    </row>
    <row r="483" spans="9:17" x14ac:dyDescent="0.3">
      <c r="I483">
        <v>479</v>
      </c>
      <c r="J483" s="23">
        <f>'$ Portfolio Loss'!P483</f>
        <v>-28.028253685497475</v>
      </c>
      <c r="K483" s="23">
        <f t="shared" si="38"/>
        <v>1997.5661204651046</v>
      </c>
      <c r="L483" s="23">
        <f t="shared" si="39"/>
        <v>44.694139665789571</v>
      </c>
      <c r="M483" s="23">
        <f t="shared" si="36"/>
        <v>1.6280864138538014</v>
      </c>
      <c r="N483" s="23">
        <f t="shared" si="37"/>
        <v>-45.632419029406179</v>
      </c>
      <c r="P483">
        <v>200</v>
      </c>
      <c r="Q483" s="23">
        <v>-312.91851810920195</v>
      </c>
    </row>
    <row r="484" spans="9:17" x14ac:dyDescent="0.3">
      <c r="I484">
        <v>480</v>
      </c>
      <c r="J484" s="23">
        <f>'$ Portfolio Loss'!P484</f>
        <v>66.743037878131872</v>
      </c>
      <c r="K484" s="23">
        <f t="shared" si="38"/>
        <v>2144.9901395493034</v>
      </c>
      <c r="L484" s="23">
        <f t="shared" si="39"/>
        <v>46.314038255687699</v>
      </c>
      <c r="M484" s="23">
        <f t="shared" si="36"/>
        <v>1.5711418029892934</v>
      </c>
      <c r="N484" s="23">
        <f t="shared" si="37"/>
        <v>104.86277686883081</v>
      </c>
      <c r="P484">
        <v>309</v>
      </c>
      <c r="Q484" s="23">
        <v>-315.2078279273727</v>
      </c>
    </row>
    <row r="485" spans="9:17" x14ac:dyDescent="0.3">
      <c r="I485">
        <v>481</v>
      </c>
      <c r="J485" s="23">
        <f>'$ Portfolio Loss'!P485</f>
        <v>-36.45878635076042</v>
      </c>
      <c r="K485" s="23">
        <f t="shared" si="38"/>
        <v>2096.0453173065689</v>
      </c>
      <c r="L485" s="23">
        <f t="shared" si="39"/>
        <v>45.782587490295576</v>
      </c>
      <c r="M485" s="23">
        <f t="shared" si="36"/>
        <v>1.5893798397519647</v>
      </c>
      <c r="N485" s="23">
        <f t="shared" si="37"/>
        <v>-57.946860007722712</v>
      </c>
      <c r="P485">
        <v>236</v>
      </c>
      <c r="Q485" s="23">
        <v>-320.89871364209</v>
      </c>
    </row>
    <row r="486" spans="9:17" x14ac:dyDescent="0.3">
      <c r="I486">
        <v>482</v>
      </c>
      <c r="J486" s="23">
        <f>'$ Portfolio Loss'!P486</f>
        <v>-20.022615070331085</v>
      </c>
      <c r="K486" s="23">
        <f t="shared" si="38"/>
        <v>1994.3369051234538</v>
      </c>
      <c r="L486" s="23">
        <f t="shared" si="39"/>
        <v>44.657999340806278</v>
      </c>
      <c r="M486" s="23">
        <f t="shared" si="36"/>
        <v>1.6294039733720533</v>
      </c>
      <c r="N486" s="23">
        <f t="shared" si="37"/>
        <v>-32.624928552896627</v>
      </c>
      <c r="P486">
        <v>162</v>
      </c>
      <c r="Q486" s="23">
        <v>-322.46170411601423</v>
      </c>
    </row>
    <row r="487" spans="9:17" x14ac:dyDescent="0.3">
      <c r="I487">
        <v>483</v>
      </c>
      <c r="J487" s="23">
        <f>'$ Portfolio Loss'!P487</f>
        <v>-95.535747797157455</v>
      </c>
      <c r="K487" s="23">
        <f t="shared" si="38"/>
        <v>2422.3014372457715</v>
      </c>
      <c r="L487" s="23">
        <f t="shared" si="39"/>
        <v>49.216881628621813</v>
      </c>
      <c r="M487" s="23">
        <f t="shared" si="36"/>
        <v>1.4784748476717724</v>
      </c>
      <c r="N487" s="23">
        <f t="shared" si="37"/>
        <v>-141.24720017161124</v>
      </c>
      <c r="P487">
        <v>173</v>
      </c>
      <c r="Q487" s="23">
        <v>-331.5934298786932</v>
      </c>
    </row>
    <row r="488" spans="9:17" x14ac:dyDescent="0.3">
      <c r="I488">
        <v>484</v>
      </c>
      <c r="J488" s="23">
        <f>'$ Portfolio Loss'!P488</f>
        <v>-27.413056304234487</v>
      </c>
      <c r="K488" s="23">
        <f t="shared" si="38"/>
        <v>2322.0518903673733</v>
      </c>
      <c r="L488" s="23">
        <f t="shared" si="39"/>
        <v>48.187673635146297</v>
      </c>
      <c r="M488" s="23">
        <f t="shared" si="36"/>
        <v>1.5100525939414415</v>
      </c>
      <c r="N488" s="23">
        <f t="shared" si="37"/>
        <v>-41.395156780072071</v>
      </c>
      <c r="P488">
        <v>61</v>
      </c>
      <c r="Q488" s="23">
        <v>-360.76655753411626</v>
      </c>
    </row>
    <row r="489" spans="9:17" x14ac:dyDescent="0.3">
      <c r="I489">
        <v>485</v>
      </c>
      <c r="J489" s="23">
        <f>'$ Portfolio Loss'!P489</f>
        <v>-46.187955856754343</v>
      </c>
      <c r="K489" s="23">
        <f t="shared" si="38"/>
        <v>2310.7284129188602</v>
      </c>
      <c r="L489" s="23">
        <f t="shared" si="39"/>
        <v>48.070036539603962</v>
      </c>
      <c r="M489" s="23">
        <f t="shared" si="36"/>
        <v>1.5137479978573736</v>
      </c>
      <c r="N489" s="23">
        <f t="shared" si="37"/>
        <v>-69.916925703286637</v>
      </c>
      <c r="P489">
        <v>463</v>
      </c>
      <c r="Q489" s="23">
        <v>-364.83346868195929</v>
      </c>
    </row>
    <row r="490" spans="9:17" x14ac:dyDescent="0.3">
      <c r="I490">
        <v>486</v>
      </c>
      <c r="J490" s="23">
        <f>'$ Portfolio Loss'!P490</f>
        <v>5.8969759222982248</v>
      </c>
      <c r="K490" s="23">
        <f t="shared" si="38"/>
        <v>2174.1711676454183</v>
      </c>
      <c r="L490" s="23">
        <f t="shared" si="39"/>
        <v>46.628008403162774</v>
      </c>
      <c r="M490" s="23">
        <f t="shared" si="36"/>
        <v>1.5605625043985489</v>
      </c>
      <c r="N490" s="23">
        <f t="shared" si="37"/>
        <v>9.2025995136796599</v>
      </c>
      <c r="P490">
        <v>395</v>
      </c>
      <c r="Q490" s="23">
        <v>-365.00908941337349</v>
      </c>
    </row>
    <row r="491" spans="9:17" x14ac:dyDescent="0.3">
      <c r="I491">
        <v>487</v>
      </c>
      <c r="J491" s="23">
        <f>'$ Portfolio Loss'!P491</f>
        <v>-14.380401273407188</v>
      </c>
      <c r="K491" s="23">
        <f t="shared" si="38"/>
        <v>2056.128654033746</v>
      </c>
      <c r="L491" s="23">
        <f t="shared" si="39"/>
        <v>45.344554844366328</v>
      </c>
      <c r="M491" s="23">
        <f t="shared" si="36"/>
        <v>1.6047333978358997</v>
      </c>
      <c r="N491" s="23">
        <f t="shared" si="37"/>
        <v>-23.076710197718416</v>
      </c>
      <c r="P491">
        <v>147</v>
      </c>
      <c r="Q491" s="23">
        <v>-368.82458157810316</v>
      </c>
    </row>
    <row r="492" spans="9:17" x14ac:dyDescent="0.3">
      <c r="I492">
        <v>488</v>
      </c>
      <c r="J492" s="23">
        <f>'$ Portfolio Loss'!P492</f>
        <v>-80.313251589239371</v>
      </c>
      <c r="K492" s="23">
        <f t="shared" si="38"/>
        <v>2319.7740376419092</v>
      </c>
      <c r="L492" s="23">
        <f t="shared" si="39"/>
        <v>48.16403261399433</v>
      </c>
      <c r="M492" s="23">
        <f t="shared" si="36"/>
        <v>1.5107937940315599</v>
      </c>
      <c r="N492" s="23">
        <f t="shared" si="37"/>
        <v>-121.33676207951815</v>
      </c>
      <c r="P492">
        <v>467</v>
      </c>
      <c r="Q492" s="23">
        <v>-378.23777349303009</v>
      </c>
    </row>
    <row r="493" spans="9:17" x14ac:dyDescent="0.3">
      <c r="I493">
        <v>489</v>
      </c>
      <c r="J493" s="23">
        <f>'$ Portfolio Loss'!P493</f>
        <v>11.210985196823458</v>
      </c>
      <c r="K493" s="23">
        <f t="shared" si="38"/>
        <v>2188.1287667283982</v>
      </c>
      <c r="L493" s="23">
        <f t="shared" si="39"/>
        <v>46.77743865078974</v>
      </c>
      <c r="M493" s="23">
        <f t="shared" si="36"/>
        <v>1.5555772968242199</v>
      </c>
      <c r="N493" s="23">
        <f t="shared" si="37"/>
        <v>17.439554047210979</v>
      </c>
      <c r="P493">
        <v>379</v>
      </c>
      <c r="Q493" s="23">
        <v>-415.76465093497944</v>
      </c>
    </row>
    <row r="494" spans="9:17" x14ac:dyDescent="0.3">
      <c r="I494">
        <v>490</v>
      </c>
      <c r="J494" s="23">
        <f>'$ Portfolio Loss'!P494</f>
        <v>16.928266969009201</v>
      </c>
      <c r="K494" s="23">
        <f t="shared" si="38"/>
        <v>2074.035014079137</v>
      </c>
      <c r="L494" s="23">
        <f t="shared" si="39"/>
        <v>45.541574567411885</v>
      </c>
      <c r="M494" s="23">
        <f t="shared" si="36"/>
        <v>1.5977910790292544</v>
      </c>
      <c r="N494" s="23">
        <f t="shared" si="37"/>
        <v>27.047833946508497</v>
      </c>
      <c r="P494">
        <v>263</v>
      </c>
      <c r="Q494" s="23">
        <v>-418.15804484497016</v>
      </c>
    </row>
    <row r="495" spans="9:17" x14ac:dyDescent="0.3">
      <c r="I495">
        <v>491</v>
      </c>
      <c r="J495" s="23">
        <f>'$ Portfolio Loss'!P495</f>
        <v>117.49099864514392</v>
      </c>
      <c r="K495" s="23">
        <f t="shared" si="38"/>
        <v>2777.8409989923821</v>
      </c>
      <c r="L495" s="23">
        <f t="shared" si="39"/>
        <v>52.705227435164169</v>
      </c>
      <c r="M495" s="23">
        <f t="shared" si="36"/>
        <v>1.3806205780682754</v>
      </c>
      <c r="N495" s="23">
        <f t="shared" si="37"/>
        <v>162.21049046727757</v>
      </c>
      <c r="P495">
        <v>218</v>
      </c>
      <c r="Q495" s="23">
        <v>-428.83827135692815</v>
      </c>
    </row>
    <row r="496" spans="9:17" x14ac:dyDescent="0.3">
      <c r="I496">
        <v>492</v>
      </c>
      <c r="J496" s="23">
        <f>'$ Portfolio Loss'!P496</f>
        <v>-76.684384230396972</v>
      </c>
      <c r="K496" s="23">
        <f t="shared" si="38"/>
        <v>2964.0002261405489</v>
      </c>
      <c r="L496" s="23">
        <f t="shared" si="39"/>
        <v>54.442632432134921</v>
      </c>
      <c r="M496" s="23">
        <f t="shared" si="36"/>
        <v>1.3365614100211287</v>
      </c>
      <c r="N496" s="23">
        <f t="shared" si="37"/>
        <v>-102.49338871358138</v>
      </c>
      <c r="P496">
        <v>115</v>
      </c>
      <c r="Q496" s="23">
        <v>-431.31749133258495</v>
      </c>
    </row>
    <row r="497" spans="9:17" x14ac:dyDescent="0.3">
      <c r="I497">
        <v>493</v>
      </c>
      <c r="J497" s="23">
        <f>'$ Portfolio Loss'!P497</f>
        <v>165.26531208639426</v>
      </c>
      <c r="K497" s="23">
        <f t="shared" si="38"/>
        <v>4424.9176153129147</v>
      </c>
      <c r="L497" s="23">
        <f t="shared" si="39"/>
        <v>66.520054234139906</v>
      </c>
      <c r="M497" s="23">
        <f t="shared" si="36"/>
        <v>1.093894501538317</v>
      </c>
      <c r="N497" s="23">
        <f t="shared" si="37"/>
        <v>180.78281618632064</v>
      </c>
      <c r="P497">
        <v>489</v>
      </c>
      <c r="Q497" s="23">
        <v>-432.6956568768361</v>
      </c>
    </row>
    <row r="498" spans="9:17" x14ac:dyDescent="0.3">
      <c r="I498">
        <v>494</v>
      </c>
      <c r="J498" s="23">
        <f>'$ Portfolio Loss'!P498</f>
        <v>15.090537042637152</v>
      </c>
      <c r="K498" s="23">
        <f t="shared" si="38"/>
        <v>4173.0860168882518</v>
      </c>
      <c r="L498" s="23">
        <f t="shared" si="39"/>
        <v>64.599427372758129</v>
      </c>
      <c r="M498" s="23">
        <f t="shared" si="36"/>
        <v>1.1264174394128144</v>
      </c>
      <c r="N498" s="23">
        <f t="shared" si="37"/>
        <v>16.998244094931565</v>
      </c>
      <c r="P498">
        <v>341</v>
      </c>
      <c r="Q498" s="23">
        <v>-432.92589720895205</v>
      </c>
    </row>
    <row r="499" spans="9:17" x14ac:dyDescent="0.3">
      <c r="I499">
        <v>495</v>
      </c>
      <c r="J499" s="23">
        <f>'$ Portfolio Loss'!P499</f>
        <v>26.445632558526995</v>
      </c>
      <c r="K499" s="23">
        <f t="shared" si="38"/>
        <v>3964.663144760194</v>
      </c>
      <c r="L499" s="23">
        <f t="shared" si="39"/>
        <v>62.965571106440336</v>
      </c>
      <c r="M499" s="23">
        <f t="shared" si="36"/>
        <v>1.1556461775872551</v>
      </c>
      <c r="N499" s="23">
        <f t="shared" si="37"/>
        <v>30.561794180138783</v>
      </c>
      <c r="P499">
        <v>123</v>
      </c>
      <c r="Q499" s="23">
        <v>-445.03200332646333</v>
      </c>
    </row>
    <row r="500" spans="9:17" x14ac:dyDescent="0.3">
      <c r="I500">
        <v>496</v>
      </c>
      <c r="J500" s="23">
        <f>'$ Portfolio Loss'!P500</f>
        <v>131.22854906940665</v>
      </c>
      <c r="K500" s="23">
        <f t="shared" si="38"/>
        <v>4760.039281526283</v>
      </c>
      <c r="L500" s="23">
        <f t="shared" si="39"/>
        <v>68.993037920693723</v>
      </c>
      <c r="M500" s="23">
        <f t="shared" si="36"/>
        <v>1.0546849908595042</v>
      </c>
      <c r="N500" s="23">
        <f t="shared" si="37"/>
        <v>138.40478107577314</v>
      </c>
      <c r="P500">
        <v>377</v>
      </c>
      <c r="Q500" s="23">
        <v>-448.06633469824078</v>
      </c>
    </row>
    <row r="501" spans="9:17" x14ac:dyDescent="0.3">
      <c r="I501">
        <v>497</v>
      </c>
      <c r="J501" s="23">
        <f>'$ Portfolio Loss'!P501</f>
        <v>27.583760532148517</v>
      </c>
      <c r="K501" s="23">
        <f t="shared" si="38"/>
        <v>4520.0887553404009</v>
      </c>
      <c r="L501" s="23">
        <f t="shared" si="39"/>
        <v>67.231605330680608</v>
      </c>
      <c r="M501" s="23">
        <f t="shared" si="36"/>
        <v>1.0823171811955847</v>
      </c>
      <c r="N501" s="23">
        <f t="shared" si="37"/>
        <v>29.854377945929006</v>
      </c>
      <c r="P501">
        <v>76</v>
      </c>
      <c r="Q501" s="23">
        <v>-450.42527640963345</v>
      </c>
    </row>
    <row r="502" spans="9:17" x14ac:dyDescent="0.3">
      <c r="I502">
        <v>498</v>
      </c>
      <c r="J502" s="23">
        <f>'$ Portfolio Loss'!P502</f>
        <v>82.803764222195241</v>
      </c>
      <c r="K502" s="23">
        <f t="shared" si="38"/>
        <v>4660.2712321818717</v>
      </c>
      <c r="L502" s="23">
        <f t="shared" si="39"/>
        <v>68.266179270425496</v>
      </c>
      <c r="M502" s="23">
        <f t="shared" si="36"/>
        <v>1.0659146644271065</v>
      </c>
      <c r="N502" s="23">
        <f t="shared" si="37"/>
        <v>88.261746554202489</v>
      </c>
      <c r="P502">
        <v>455</v>
      </c>
      <c r="Q502" s="23">
        <v>-464.59190915932771</v>
      </c>
    </row>
    <row r="503" spans="9:17" x14ac:dyDescent="0.3">
      <c r="I503">
        <v>499</v>
      </c>
      <c r="J503" s="23">
        <f>'$ Portfolio Loss'!P503</f>
        <v>-105.55205215652313</v>
      </c>
      <c r="K503" s="23">
        <f t="shared" si="38"/>
        <v>5049.129101118162</v>
      </c>
      <c r="L503" s="23">
        <f t="shared" si="39"/>
        <v>71.057224130401849</v>
      </c>
      <c r="M503" s="23">
        <f t="shared" si="36"/>
        <v>1.0240467800320865</v>
      </c>
      <c r="N503" s="23">
        <f t="shared" si="37"/>
        <v>-108.09023913666637</v>
      </c>
      <c r="P503">
        <v>94</v>
      </c>
      <c r="Q503" s="23">
        <v>-490.06135764740043</v>
      </c>
    </row>
    <row r="504" spans="9:17" x14ac:dyDescent="0.3">
      <c r="I504">
        <v>500</v>
      </c>
      <c r="J504" s="23">
        <f>'$ Portfolio Loss'!P504</f>
        <v>-95.629317915525462</v>
      </c>
      <c r="K504" s="23">
        <f t="shared" si="38"/>
        <v>5294.8793417503912</v>
      </c>
      <c r="L504" s="23">
        <f t="shared" si="39"/>
        <v>72.765921568756283</v>
      </c>
      <c r="M504" s="23">
        <f t="shared" si="36"/>
        <v>1</v>
      </c>
      <c r="N504" s="23">
        <f t="shared" si="37"/>
        <v>-95.629317915525462</v>
      </c>
      <c r="P504">
        <v>497</v>
      </c>
      <c r="Q504" s="23">
        <v>-526.5188377172426</v>
      </c>
    </row>
    <row r="505" spans="9:17" x14ac:dyDescent="0.3">
      <c r="J505" s="23"/>
      <c r="K505" s="23"/>
      <c r="L505" s="23"/>
      <c r="M505" s="23"/>
      <c r="N505" s="23"/>
    </row>
  </sheetData>
  <pageMargins left="0.7" right="0.7" top="0.75" bottom="0.75" header="0.3" footer="0.3"/>
  <pageSetup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Percentile</vt:lpstr>
      <vt:lpstr>Data</vt:lpstr>
      <vt:lpstr>$ Portfolio Loss</vt:lpstr>
      <vt:lpstr>$ Portfolio VaR</vt:lpstr>
      <vt:lpstr>$ Normal VaR</vt:lpstr>
      <vt:lpstr>$ t VaR</vt:lpstr>
      <vt:lpstr>$ Weighted VaR</vt:lpstr>
      <vt:lpstr>Parm VaR Eq Weights</vt:lpstr>
      <vt:lpstr>Parm VaR  EWMA</vt:lpstr>
      <vt:lpstr>$ VaR Vol Adjust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 Theunissen</dc:creator>
  <cp:lastModifiedBy>Deep Naidu</cp:lastModifiedBy>
  <dcterms:created xsi:type="dcterms:W3CDTF">2008-12-21T22:40:24Z</dcterms:created>
  <dcterms:modified xsi:type="dcterms:W3CDTF">2025-10-21T18:29:40Z</dcterms:modified>
</cp:coreProperties>
</file>